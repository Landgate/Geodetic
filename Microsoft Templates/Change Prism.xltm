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AssetsPCsAndSoftware\Software\Microsoft Templates\"/>
    </mc:Choice>
  </mc:AlternateContent>
  <xr:revisionPtr revIDLastSave="0" documentId="8_{D24FD009-469C-40FA-9116-B1784738CBDC}" xr6:coauthVersionLast="46" xr6:coauthVersionMax="46" xr10:uidLastSave="{00000000-0000-0000-0000-000000000000}"/>
  <bookViews>
    <workbookView xWindow="28680" yWindow="-120" windowWidth="29040" windowHeight="15840" xr2:uid="{71F11B8E-8F85-4509-B1AA-1EA0CEDB7ED9}"/>
  </bookViews>
  <sheets>
    <sheet name="Sheet1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1" i="1" l="1"/>
  <c r="L13" i="1"/>
  <c r="L12" i="1"/>
  <c r="M12" i="1" s="1"/>
  <c r="L11" i="1"/>
  <c r="M11" i="1" s="1"/>
  <c r="L5" i="1"/>
  <c r="M5" i="1" s="1"/>
  <c r="K3" i="1"/>
  <c r="L3" i="1" s="1"/>
  <c r="M3" i="1" s="1"/>
  <c r="K4" i="1"/>
  <c r="L4" i="1" s="1"/>
  <c r="K5" i="1"/>
  <c r="N5" i="1" s="1"/>
  <c r="K6" i="1"/>
  <c r="L6" i="1" s="1"/>
  <c r="K7" i="1"/>
  <c r="L7" i="1" s="1"/>
  <c r="M7" i="1" s="1"/>
  <c r="K8" i="1"/>
  <c r="L8" i="1" s="1"/>
  <c r="K9" i="1"/>
  <c r="L9" i="1" s="1"/>
  <c r="K10" i="1"/>
  <c r="L10" i="1" s="1"/>
  <c r="K11" i="1"/>
  <c r="K12" i="1"/>
  <c r="N12" i="1" s="1"/>
  <c r="K13" i="1"/>
  <c r="N13" i="1" s="1"/>
  <c r="K2" i="1"/>
  <c r="N2" i="1" s="1"/>
  <c r="M1" i="1"/>
  <c r="D25" i="1" a="1"/>
  <c r="D23" i="1" a="1"/>
  <c r="D24" i="1" a="1"/>
  <c r="D22" i="1" a="1"/>
  <c r="C23" i="1" a="1"/>
  <c r="C25" i="1" a="1"/>
  <c r="C24" i="1" a="1"/>
  <c r="C22" i="1" a="1"/>
  <c r="D20" i="1" a="1"/>
  <c r="D19" i="1" a="1"/>
  <c r="D18" i="1" a="1"/>
  <c r="D17" i="1" a="1"/>
  <c r="D16" i="1" a="1"/>
  <c r="S2" i="1" a="1"/>
  <c r="T2" i="1" a="1"/>
  <c r="D24" i="1" l="1"/>
  <c r="D23" i="1"/>
  <c r="D25" i="1"/>
  <c r="D22" i="1"/>
  <c r="C24" i="1"/>
  <c r="C25" i="1"/>
  <c r="C23" i="1"/>
  <c r="C22" i="1"/>
  <c r="D18" i="1"/>
  <c r="D19" i="1"/>
  <c r="D20" i="1"/>
  <c r="D17" i="1"/>
  <c r="D16" i="1"/>
  <c r="S2" i="1"/>
  <c r="T2" i="1"/>
  <c r="N3" i="1"/>
  <c r="O3" i="1" s="1"/>
  <c r="M13" i="1"/>
  <c r="O13" i="1" s="1"/>
  <c r="Q13" i="1" s="1"/>
  <c r="M10" i="1"/>
  <c r="M9" i="1"/>
  <c r="M8" i="1"/>
  <c r="M6" i="1"/>
  <c r="M4" i="1"/>
  <c r="P12" i="1"/>
  <c r="O12" i="1"/>
  <c r="Q12" i="1" s="1"/>
  <c r="O5" i="1"/>
  <c r="Q5" i="1" s="1"/>
  <c r="P5" i="1"/>
  <c r="N4" i="1"/>
  <c r="L2" i="1"/>
  <c r="M2" i="1" s="1"/>
  <c r="N6" i="1"/>
  <c r="O11" i="1"/>
  <c r="Q11" i="1" s="1"/>
  <c r="N7" i="1"/>
  <c r="N8" i="1"/>
  <c r="P11" i="1"/>
  <c r="N9" i="1"/>
  <c r="N10" i="1"/>
  <c r="E24" i="1" a="1"/>
  <c r="E23" i="1" a="1"/>
  <c r="E25" i="1" a="1"/>
  <c r="E22" i="1" a="1"/>
  <c r="E18" i="1" a="1"/>
  <c r="E20" i="1" a="1"/>
  <c r="E19" i="1" a="1"/>
  <c r="E17" i="1" a="1"/>
  <c r="E16" i="1" a="1"/>
  <c r="S5" i="1" a="1"/>
  <c r="T5" i="1" a="1"/>
  <c r="S12" i="1" a="1"/>
  <c r="T12" i="1" a="1"/>
  <c r="S11" i="1" a="1"/>
  <c r="T11" i="1" a="1"/>
  <c r="E25" i="1" l="1"/>
  <c r="E23" i="1"/>
  <c r="E24" i="1"/>
  <c r="E22" i="1"/>
  <c r="E17" i="1"/>
  <c r="E19" i="1"/>
  <c r="E20" i="1"/>
  <c r="E18" i="1"/>
  <c r="E16" i="1"/>
  <c r="P3" i="1"/>
  <c r="P13" i="1"/>
  <c r="T11" i="1"/>
  <c r="S11" i="1"/>
  <c r="T12" i="1"/>
  <c r="S12" i="1"/>
  <c r="T5" i="1"/>
  <c r="S5" i="1"/>
  <c r="P10" i="1"/>
  <c r="O10" i="1"/>
  <c r="Q10" i="1" s="1"/>
  <c r="P9" i="1"/>
  <c r="O9" i="1"/>
  <c r="Q9" i="1" s="1"/>
  <c r="P8" i="1"/>
  <c r="O8" i="1"/>
  <c r="Q8" i="1" s="1"/>
  <c r="O7" i="1"/>
  <c r="Q7" i="1" s="1"/>
  <c r="P7" i="1"/>
  <c r="P6" i="1"/>
  <c r="O6" i="1"/>
  <c r="Q6" i="1" s="1"/>
  <c r="O2" i="1"/>
  <c r="P4" i="1"/>
  <c r="O4" i="1"/>
  <c r="Q4" i="1" s="1"/>
  <c r="T13" i="1" a="1"/>
  <c r="S13" i="1" a="1"/>
  <c r="S10" i="1" a="1"/>
  <c r="T10" i="1" a="1"/>
  <c r="S6" i="1" a="1"/>
  <c r="T6" i="1" a="1"/>
  <c r="S9" i="1" a="1"/>
  <c r="T9" i="1" a="1"/>
  <c r="S4" i="1" a="1"/>
  <c r="T4" i="1" a="1"/>
  <c r="S7" i="1" a="1"/>
  <c r="T7" i="1" a="1"/>
  <c r="S8" i="1" a="1"/>
  <c r="T8" i="1" a="1"/>
  <c r="S13" i="1" l="1"/>
  <c r="T13" i="1"/>
  <c r="T8" i="1"/>
  <c r="S8" i="1"/>
  <c r="T7" i="1"/>
  <c r="S7" i="1"/>
  <c r="T4" i="1"/>
  <c r="S4" i="1"/>
  <c r="T9" i="1"/>
  <c r="S9" i="1"/>
  <c r="T6" i="1"/>
  <c r="S6" i="1"/>
  <c r="T10" i="1"/>
  <c r="S10" i="1"/>
  <c r="C20" i="1" a="1"/>
  <c r="C19" i="1" a="1"/>
  <c r="C18" i="1" a="1"/>
  <c r="C17" i="1" a="1"/>
  <c r="C16" i="1" a="1"/>
  <c r="C16" i="1" l="1"/>
  <c r="C17" i="1"/>
  <c r="C18" i="1"/>
  <c r="C19" i="1"/>
  <c r="C2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<sst xmlns="http://schemas.openxmlformats.org/spreadsheetml/2006/main" count="81" uniqueCount="45">
  <si>
    <t>-----------</t>
  </si>
  <si>
    <t>Point No</t>
  </si>
  <si>
    <t>Hz Dist</t>
  </si>
  <si>
    <t>HT Diff</t>
  </si>
  <si>
    <t>Easting</t>
  </si>
  <si>
    <t>Northing</t>
  </si>
  <si>
    <t>Prism-HT</t>
  </si>
  <si>
    <t>Inst-HT</t>
  </si>
  <si>
    <t>Prism-Type</t>
  </si>
  <si>
    <t>Code</t>
  </si>
  <si>
    <t>BLV9A DRM1</t>
  </si>
  <si>
    <t>Round Prism</t>
  </si>
  <si>
    <t>--------</t>
  </si>
  <si>
    <t>BLV9A</t>
  </si>
  <si>
    <t>Mini Prism</t>
  </si>
  <si>
    <t>BLV9A RM8</t>
  </si>
  <si>
    <t>BLV9A RM9</t>
  </si>
  <si>
    <t>BLV9A RM13</t>
  </si>
  <si>
    <t>BLV9A RM14</t>
  </si>
  <si>
    <t>BLV9A.RM8</t>
  </si>
  <si>
    <t>BLV9A.RM9</t>
  </si>
  <si>
    <t>BLV9A.RM13</t>
  </si>
  <si>
    <t>BLV9A.RM14</t>
  </si>
  <si>
    <t>BLV9A.</t>
  </si>
  <si>
    <t>Hz Angle</t>
  </si>
  <si>
    <t>0 00 00</t>
  </si>
  <si>
    <t>359 59 55</t>
  </si>
  <si>
    <t>49 41 42</t>
  </si>
  <si>
    <t>53 49 31</t>
  </si>
  <si>
    <t>50 08 57</t>
  </si>
  <si>
    <t>16 35 35</t>
  </si>
  <si>
    <t>33 49 22</t>
  </si>
  <si>
    <t>53 49 59</t>
  </si>
  <si>
    <t>50 06 03</t>
  </si>
  <si>
    <t>16 34 08</t>
  </si>
  <si>
    <t>33 48 52</t>
  </si>
  <si>
    <t>49 43 38</t>
  </si>
  <si>
    <t>SLOPE</t>
  </si>
  <si>
    <t>delta Ht</t>
  </si>
  <si>
    <t>Corrected delta</t>
  </si>
  <si>
    <t>VA (rad)</t>
  </si>
  <si>
    <t>Corrected Hz</t>
  </si>
  <si>
    <t>Corrected Hdiff</t>
  </si>
  <si>
    <t>Corrected Easting</t>
  </si>
  <si>
    <t>Corrected Northing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</si>
</sst>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000"/>
    <numFmt numFmtId="166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ikdw00\AppData\Roaming\Microsoft\AddIns\Geodetic-Calculations-v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ndgate Project Grids"/>
      <sheetName val="MRWA Project Grids"/>
      <sheetName val="GRS80 Geographic Calculations"/>
      <sheetName val="7 Parameter Transformations"/>
    </sheetNames>
    <definedNames>
      <definedName name="brg"/>
      <definedName name="dd"/>
      <definedName name="join"/>
    </defined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76B8C-0F0C-4B78-9A58-E55F41EC4146}">
  <sheetPr codeName="Sheet1"/>
  <dimension ref="A1:T25"/>
  <sheetViews>
    <sheetView tabSelected="1" workbookViewId="0">
      <selection activeCell="T2" sqref="T2"/>
    </sheetView>
  </sheetViews>
  <sheetFormatPr defaultRowHeight="15" x14ac:dyDescent="0.25"/>
  <cols>
    <col min="1" max="2" width="12.140625" bestFit="1" customWidth="1"/>
    <col min="5" max="5" width="12.5703125" bestFit="1" customWidth="1"/>
    <col min="9" max="9" width="12.140625" bestFit="1" customWidth="1"/>
    <col min="15" max="17" width="11" customWidth="1"/>
    <col min="19" max="20" width="10.42578125" customWidth="1"/>
  </cols>
  <sheetData>
    <row r="1" spans="1:20" ht="32.25" customHeight="1" x14ac:dyDescent="0.25">
      <c r="A1" t="s">
        <v>1</v>
      </c>
      <c r="B1" t="s">
        <v>24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38</v>
      </c>
      <c r="L1" s="1" t="s">
        <v>37</v>
      </c>
      <c r="M1" s="1">
        <f>0.03-0.0175</f>
        <v>1.2499999999999997E-2</v>
      </c>
      <c r="N1" s="1" t="s">
        <v>40</v>
      </c>
      <c r="O1" s="2" t="s">
        <v>39</v>
      </c>
      <c r="P1" s="2" t="s">
        <v>41</v>
      </c>
      <c r="Q1" s="2" t="s">
        <v>42</v>
      </c>
      <c r="S1" s="2" t="s">
        <v>43</v>
      </c>
      <c r="T1" s="2" t="s">
        <v>44</v>
      </c>
    </row>
    <row r="2" spans="1:20" x14ac:dyDescent="0.25">
      <c r="A2" t="s">
        <v>10</v>
      </c>
      <c r="B2" t="s">
        <v>25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 t="s">
        <v>11</v>
      </c>
      <c r="J2" t="s">
        <v>12</v>
      </c>
      <c r="K2">
        <f>D2+G2</f>
        <v>0</v>
      </c>
      <c r="L2">
        <f>SQRT(K2^2+C2^2)</f>
        <v>0</v>
      </c>
      <c r="M2">
        <f>L2+$M$1</f>
        <v>1.2499999999999997E-2</v>
      </c>
      <c r="N2" t="e">
        <f>ATAN(K2/C2)</f>
        <v>#DIV/0!</v>
      </c>
      <c r="O2" t="e">
        <f>SIN(N2)*M2</f>
        <v>#DIV/0!</v>
      </c>
      <c r="P2">
        <v>76.159700000000001</v>
      </c>
      <c r="S2" cm="1">
        <f t="array" ref="S2">ROUND(SIN(RADIANS([1]!dd(B2)))*P2,4)</f>
        <v>0</v>
      </c>
      <c r="T2" cm="1">
        <f t="array" ref="T2">ROUND(COS(RADIANS([1]!dd(B2)))*P2,4)</f>
        <v>76.159700000000001</v>
      </c>
    </row>
    <row r="3" spans="1:20" x14ac:dyDescent="0.25">
      <c r="A3" t="s">
        <v>10</v>
      </c>
      <c r="B3" t="s">
        <v>26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 t="s">
        <v>11</v>
      </c>
      <c r="J3" t="s">
        <v>12</v>
      </c>
      <c r="K3">
        <f t="shared" ref="K3:K13" si="0">D3+G3</f>
        <v>0</v>
      </c>
      <c r="L3">
        <f t="shared" ref="L3:L13" si="1">SQRT(K3^2+C3^2)</f>
        <v>0</v>
      </c>
      <c r="M3">
        <f t="shared" ref="M3:M13" si="2">L3+$M$1</f>
        <v>1.2499999999999997E-2</v>
      </c>
      <c r="N3" t="e">
        <f>ATAN(K3/C3)</f>
        <v>#DIV/0!</v>
      </c>
      <c r="O3" t="e">
        <f>SIN(N3)*M3</f>
        <v>#DIV/0!</v>
      </c>
      <c r="P3" t="e">
        <f>COS(N3)*M3</f>
        <v>#DIV/0!</v>
      </c>
    </row>
    <row r="4" spans="1:20" x14ac:dyDescent="0.25">
      <c r="A4" t="s">
        <v>13</v>
      </c>
      <c r="B4" t="s">
        <v>27</v>
      </c>
      <c r="C4">
        <v>7.1943999999999999</v>
      </c>
      <c r="D4">
        <v>-2.282</v>
      </c>
      <c r="E4">
        <v>5.4865000000000004</v>
      </c>
      <c r="F4">
        <v>4.6536999999999997</v>
      </c>
      <c r="G4">
        <v>0.96499999999999997</v>
      </c>
      <c r="H4">
        <v>0</v>
      </c>
      <c r="I4" t="s">
        <v>14</v>
      </c>
      <c r="J4" t="s">
        <v>12</v>
      </c>
      <c r="K4">
        <f t="shared" si="0"/>
        <v>-1.3170000000000002</v>
      </c>
      <c r="L4">
        <f t="shared" si="1"/>
        <v>7.3139510772222156</v>
      </c>
      <c r="M4">
        <f t="shared" si="2"/>
        <v>7.3264510772222158</v>
      </c>
      <c r="N4">
        <f>ATAN(K4/C4)</f>
        <v>-0.18105439340442767</v>
      </c>
      <c r="O4">
        <f>SIN(N4)*M4</f>
        <v>-1.3192508354002084</v>
      </c>
      <c r="P4" s="3">
        <f>COS(N4)*M4</f>
        <v>7.2066956797291235</v>
      </c>
      <c r="Q4" s="5">
        <f>O4-G4</f>
        <v>-2.2842508354002082</v>
      </c>
      <c r="S4" cm="1">
        <f t="array" ref="S4">ROUND(SIN(RADIANS([1]!dd(B4)))*P4,4)</f>
        <v>5.4958999999999998</v>
      </c>
      <c r="T4" cm="1">
        <f t="array" ref="T4">ROUND(COS(RADIANS([1]!dd(B4)))*P4,4)</f>
        <v>4.6616999999999997</v>
      </c>
    </row>
    <row r="5" spans="1:20" x14ac:dyDescent="0.25">
      <c r="A5" t="s">
        <v>15</v>
      </c>
      <c r="B5" t="s">
        <v>28</v>
      </c>
      <c r="C5">
        <v>9.2902000000000005</v>
      </c>
      <c r="D5">
        <v>-2.448</v>
      </c>
      <c r="E5">
        <v>7.4992999999999999</v>
      </c>
      <c r="F5">
        <v>5.4836</v>
      </c>
      <c r="G5">
        <v>0.96499999999999997</v>
      </c>
      <c r="H5">
        <v>0</v>
      </c>
      <c r="I5" t="s">
        <v>14</v>
      </c>
      <c r="J5" t="s">
        <v>12</v>
      </c>
      <c r="K5">
        <f t="shared" si="0"/>
        <v>-1.4830000000000001</v>
      </c>
      <c r="L5">
        <f t="shared" si="1"/>
        <v>9.4078214821498385</v>
      </c>
      <c r="M5">
        <f t="shared" si="2"/>
        <v>9.4203214821498378</v>
      </c>
      <c r="N5">
        <f>ATAN(K5/C5)</f>
        <v>-0.1582950410312213</v>
      </c>
      <c r="O5">
        <f>SIN(N5)*M5</f>
        <v>-1.484970434923236</v>
      </c>
      <c r="P5" s="3">
        <f>COS(N5)*M5</f>
        <v>9.3025437184921422</v>
      </c>
      <c r="Q5" s="5">
        <f>O5-G5</f>
        <v>-2.4499704349232361</v>
      </c>
      <c r="S5" cm="1">
        <f t="array" ref="S5">ROUND(SIN(RADIANS([1]!dd(B5)))*P5,4)</f>
        <v>7.5091999999999999</v>
      </c>
      <c r="T5" cm="1">
        <f t="array" ref="T5">ROUND(COS(RADIANS([1]!dd(B5)))*P5,4)</f>
        <v>5.4908000000000001</v>
      </c>
    </row>
    <row r="6" spans="1:20" x14ac:dyDescent="0.25">
      <c r="A6" t="s">
        <v>16</v>
      </c>
      <c r="B6" t="s">
        <v>29</v>
      </c>
      <c r="C6">
        <v>4.6872999999999996</v>
      </c>
      <c r="D6">
        <v>-2.476</v>
      </c>
      <c r="E6">
        <v>3.5985</v>
      </c>
      <c r="F6">
        <v>3.0036</v>
      </c>
      <c r="G6">
        <v>0.96499999999999997</v>
      </c>
      <c r="H6">
        <v>0</v>
      </c>
      <c r="I6" t="s">
        <v>14</v>
      </c>
      <c r="J6" t="s">
        <v>12</v>
      </c>
      <c r="K6">
        <f t="shared" si="0"/>
        <v>-1.5110000000000001</v>
      </c>
      <c r="L6">
        <f t="shared" si="1"/>
        <v>4.924825102478259</v>
      </c>
      <c r="M6">
        <f t="shared" si="2"/>
        <v>4.9373251024782592</v>
      </c>
      <c r="N6">
        <f>ATAN(K6/C6)</f>
        <v>-0.31184264058974226</v>
      </c>
      <c r="O6">
        <f>SIN(N6)*M6</f>
        <v>-1.5148351615756863</v>
      </c>
      <c r="P6" s="3">
        <f>COS(N6)*M6</f>
        <v>4.6991971230004728</v>
      </c>
      <c r="Q6" s="5">
        <f>O6-G6</f>
        <v>-2.4798351615756862</v>
      </c>
      <c r="S6" cm="1">
        <f t="array" ref="S6">ROUND(SIN(RADIANS([1]!dd(B6)))*P6,4)</f>
        <v>3.6076000000000001</v>
      </c>
      <c r="T6" cm="1">
        <f t="array" ref="T6">ROUND(COS(RADIANS([1]!dd(B6)))*P6,4)</f>
        <v>3.0112000000000001</v>
      </c>
    </row>
    <row r="7" spans="1:20" x14ac:dyDescent="0.25">
      <c r="A7" t="s">
        <v>17</v>
      </c>
      <c r="B7" t="s">
        <v>30</v>
      </c>
      <c r="C7">
        <v>6.3882000000000003</v>
      </c>
      <c r="D7">
        <v>-1.8420000000000001</v>
      </c>
      <c r="E7">
        <v>1.8243</v>
      </c>
      <c r="F7">
        <v>6.1222000000000003</v>
      </c>
      <c r="G7">
        <v>0.96499999999999997</v>
      </c>
      <c r="H7">
        <v>0</v>
      </c>
      <c r="I7" t="s">
        <v>14</v>
      </c>
      <c r="J7" t="s">
        <v>12</v>
      </c>
      <c r="K7">
        <f t="shared" si="0"/>
        <v>-0.87700000000000011</v>
      </c>
      <c r="L7">
        <f t="shared" si="1"/>
        <v>6.4481181937058194</v>
      </c>
      <c r="M7">
        <f t="shared" si="2"/>
        <v>6.4606181937058196</v>
      </c>
      <c r="N7">
        <f>ATAN(K7/C7)</f>
        <v>-0.13643152553421398</v>
      </c>
      <c r="O7">
        <f>SIN(N7)*M7</f>
        <v>-0.8787001084146846</v>
      </c>
      <c r="P7" s="3">
        <f>COS(N7)*M7</f>
        <v>6.4005838455811723</v>
      </c>
      <c r="Q7" s="5">
        <f>O7-G7</f>
        <v>-1.8437001084146845</v>
      </c>
      <c r="S7" cm="1">
        <f t="array" ref="S7">ROUND(SIN(RADIANS([1]!dd(B7)))*P7,4)</f>
        <v>1.8278000000000001</v>
      </c>
      <c r="T7" cm="1">
        <f t="array" ref="T7">ROUND(COS(RADIANS([1]!dd(B7)))*P7,4)</f>
        <v>6.1340000000000003</v>
      </c>
    </row>
    <row r="8" spans="1:20" x14ac:dyDescent="0.25">
      <c r="A8" t="s">
        <v>18</v>
      </c>
      <c r="B8" t="s">
        <v>31</v>
      </c>
      <c r="C8">
        <v>10.777200000000001</v>
      </c>
      <c r="D8">
        <v>-1.81</v>
      </c>
      <c r="E8">
        <v>5.9988999999999999</v>
      </c>
      <c r="F8">
        <v>8.9533000000000005</v>
      </c>
      <c r="G8">
        <v>0.96499999999999997</v>
      </c>
      <c r="H8">
        <v>0</v>
      </c>
      <c r="I8" t="s">
        <v>14</v>
      </c>
      <c r="J8" t="s">
        <v>12</v>
      </c>
      <c r="K8">
        <f t="shared" si="0"/>
        <v>-0.84500000000000008</v>
      </c>
      <c r="L8">
        <f t="shared" si="1"/>
        <v>10.810275891021469</v>
      </c>
      <c r="M8">
        <f t="shared" si="2"/>
        <v>10.822775891021468</v>
      </c>
      <c r="N8">
        <f>ATAN(K8/C8)</f>
        <v>-7.8246186505386353E-2</v>
      </c>
      <c r="O8">
        <f>SIN(N8)*M8</f>
        <v>-0.84597707959597712</v>
      </c>
      <c r="P8" s="3">
        <f>COS(N8)*M8</f>
        <v>10.789661754108597</v>
      </c>
      <c r="Q8" s="5">
        <f>O8-G8</f>
        <v>-1.8109770795959772</v>
      </c>
      <c r="S8" cm="1">
        <f t="array" ref="S8">ROUND(SIN(RADIANS([1]!dd(B8)))*P8,4)</f>
        <v>6.0057999999999998</v>
      </c>
      <c r="T8" cm="1">
        <f t="array" ref="T8">ROUND(COS(RADIANS([1]!dd(B8)))*P8,4)</f>
        <v>8.9636999999999993</v>
      </c>
    </row>
    <row r="9" spans="1:20" x14ac:dyDescent="0.25">
      <c r="A9" t="s">
        <v>19</v>
      </c>
      <c r="B9" t="s">
        <v>32</v>
      </c>
      <c r="C9">
        <v>9.2864000000000004</v>
      </c>
      <c r="D9">
        <v>-2.4500000000000002</v>
      </c>
      <c r="E9">
        <v>7.4969000000000001</v>
      </c>
      <c r="F9">
        <v>5.4802999999999997</v>
      </c>
      <c r="G9">
        <v>0.96499999999999997</v>
      </c>
      <c r="H9">
        <v>0</v>
      </c>
      <c r="I9" t="s">
        <v>14</v>
      </c>
      <c r="J9" t="s">
        <v>12</v>
      </c>
      <c r="K9">
        <f t="shared" si="0"/>
        <v>-1.4850000000000003</v>
      </c>
      <c r="L9">
        <f t="shared" si="1"/>
        <v>9.4043846135725442</v>
      </c>
      <c r="M9">
        <f t="shared" si="2"/>
        <v>9.4168846135725435</v>
      </c>
      <c r="N9">
        <f>ATAN(K9/C9)</f>
        <v>-0.1585687439169827</v>
      </c>
      <c r="O9">
        <f>SIN(N9)*M9</f>
        <v>-1.4869738133607608</v>
      </c>
      <c r="P9" s="3">
        <f>COS(N9)*M9</f>
        <v>9.2987431787160713</v>
      </c>
      <c r="Q9" s="5">
        <f>O9-G9</f>
        <v>-2.4519738133607607</v>
      </c>
      <c r="S9" cm="1">
        <f t="array" ref="S9">ROUND(SIN(RADIANS([1]!dd(B9)))*P9,4)</f>
        <v>7.5068999999999999</v>
      </c>
      <c r="T9" cm="1">
        <f t="array" ref="T9">ROUND(COS(RADIANS([1]!dd(B9)))*P9,4)</f>
        <v>5.4875999999999996</v>
      </c>
    </row>
    <row r="10" spans="1:20" x14ac:dyDescent="0.25">
      <c r="A10" t="s">
        <v>20</v>
      </c>
      <c r="B10" t="s">
        <v>33</v>
      </c>
      <c r="C10">
        <v>4.6870000000000003</v>
      </c>
      <c r="D10">
        <v>-2.476</v>
      </c>
      <c r="E10">
        <v>3.5956999999999999</v>
      </c>
      <c r="F10">
        <v>3.0064000000000002</v>
      </c>
      <c r="G10">
        <v>0.96499999999999997</v>
      </c>
      <c r="H10">
        <v>0</v>
      </c>
      <c r="I10" t="s">
        <v>14</v>
      </c>
      <c r="J10" t="s">
        <v>12</v>
      </c>
      <c r="K10">
        <f t="shared" si="0"/>
        <v>-1.5110000000000001</v>
      </c>
      <c r="L10">
        <f t="shared" si="1"/>
        <v>4.924539572386438</v>
      </c>
      <c r="M10">
        <f t="shared" si="2"/>
        <v>4.9370395723864382</v>
      </c>
      <c r="N10">
        <f>ATAN(K10/C10)</f>
        <v>-0.3118613314493584</v>
      </c>
      <c r="O10">
        <f>SIN(N10)*M10</f>
        <v>-1.5148353839424722</v>
      </c>
      <c r="P10" s="3">
        <f>COS(N10)*M10</f>
        <v>4.6988970513159281</v>
      </c>
      <c r="Q10" s="5">
        <f>O10-G10</f>
        <v>-2.479835383942472</v>
      </c>
      <c r="S10" cm="1">
        <f t="array" ref="S10">ROUND(SIN(RADIANS([1]!dd(B10)))*P10,4)</f>
        <v>3.6049000000000002</v>
      </c>
      <c r="T10" cm="1">
        <f t="array" ref="T10">ROUND(COS(RADIANS([1]!dd(B10)))*P10,4)</f>
        <v>3.0141</v>
      </c>
    </row>
    <row r="11" spans="1:20" x14ac:dyDescent="0.25">
      <c r="A11" t="s">
        <v>21</v>
      </c>
      <c r="B11" t="s">
        <v>34</v>
      </c>
      <c r="C11">
        <v>6.3860000000000001</v>
      </c>
      <c r="D11">
        <v>-1.84</v>
      </c>
      <c r="E11">
        <v>1.8210999999999999</v>
      </c>
      <c r="F11">
        <v>6.1208999999999998</v>
      </c>
      <c r="G11">
        <v>0.96499999999999997</v>
      </c>
      <c r="H11">
        <v>0</v>
      </c>
      <c r="I11" t="s">
        <v>14</v>
      </c>
      <c r="J11" t="s">
        <v>12</v>
      </c>
      <c r="K11">
        <f t="shared" si="0"/>
        <v>-0.87500000000000011</v>
      </c>
      <c r="L11">
        <f t="shared" si="1"/>
        <v>6.4456668390477647</v>
      </c>
      <c r="M11">
        <f t="shared" si="2"/>
        <v>6.4581668390477649</v>
      </c>
      <c r="N11">
        <f>ATAN(K11/C11)</f>
        <v>-0.13617054458792796</v>
      </c>
      <c r="O11">
        <f>SIN(N11)*M11</f>
        <v>-0.87669687640908478</v>
      </c>
      <c r="P11" s="3">
        <f>COS(N11)*M11</f>
        <v>6.3983842888553317</v>
      </c>
      <c r="Q11" s="5">
        <f>O11-G11</f>
        <v>-1.8416968764090846</v>
      </c>
      <c r="S11" cm="1">
        <f t="array" ref="S11">ROUND(SIN(RADIANS([1]!dd(B11)))*P11,4)</f>
        <v>1.8246</v>
      </c>
      <c r="T11" cm="1">
        <f t="array" ref="T11">ROUND(COS(RADIANS([1]!dd(B11)))*P11,4)</f>
        <v>6.1326999999999998</v>
      </c>
    </row>
    <row r="12" spans="1:20" x14ac:dyDescent="0.25">
      <c r="A12" t="s">
        <v>22</v>
      </c>
      <c r="B12" t="s">
        <v>35</v>
      </c>
      <c r="C12">
        <v>10.781499999999999</v>
      </c>
      <c r="D12">
        <v>-1.81</v>
      </c>
      <c r="E12">
        <v>6</v>
      </c>
      <c r="F12">
        <v>8.9578000000000007</v>
      </c>
      <c r="G12">
        <v>0.96499999999999997</v>
      </c>
      <c r="H12">
        <v>0</v>
      </c>
      <c r="I12" t="s">
        <v>14</v>
      </c>
      <c r="J12" t="s">
        <v>12</v>
      </c>
      <c r="K12">
        <f t="shared" si="0"/>
        <v>-0.84500000000000008</v>
      </c>
      <c r="L12">
        <f t="shared" si="1"/>
        <v>10.814562739658038</v>
      </c>
      <c r="M12">
        <f t="shared" si="2"/>
        <v>10.827062739658038</v>
      </c>
      <c r="N12">
        <f>ATAN(K12/C12)</f>
        <v>-7.8215106619018163E-2</v>
      </c>
      <c r="O12">
        <f>SIN(N12)*M12</f>
        <v>-0.84597669228560346</v>
      </c>
      <c r="P12" s="3">
        <f>COS(N12)*M12</f>
        <v>10.793961784470099</v>
      </c>
      <c r="Q12" s="5">
        <f>O12-G12</f>
        <v>-1.8109766922856034</v>
      </c>
      <c r="S12" cm="1">
        <f t="array" ref="S12">ROUND(SIN(RADIANS([1]!dd(B12)))*P12,4)</f>
        <v>6.0068999999999999</v>
      </c>
      <c r="T12" cm="1">
        <f t="array" ref="T12">ROUND(COS(RADIANS([1]!dd(B12)))*P12,4)</f>
        <v>8.9680999999999997</v>
      </c>
    </row>
    <row r="13" spans="1:20" x14ac:dyDescent="0.25">
      <c r="A13" t="s">
        <v>23</v>
      </c>
      <c r="B13" t="s">
        <v>36</v>
      </c>
      <c r="C13">
        <v>7.1925999999999997</v>
      </c>
      <c r="D13">
        <v>-2.2810000000000001</v>
      </c>
      <c r="E13">
        <v>5.4878</v>
      </c>
      <c r="F13">
        <v>4.6494999999999997</v>
      </c>
      <c r="G13">
        <v>0.96499999999999997</v>
      </c>
      <c r="H13">
        <v>0</v>
      </c>
      <c r="I13" t="s">
        <v>14</v>
      </c>
      <c r="J13" t="s">
        <v>12</v>
      </c>
      <c r="K13">
        <f t="shared" si="0"/>
        <v>-1.3160000000000003</v>
      </c>
      <c r="L13">
        <f t="shared" si="1"/>
        <v>7.3120004622538142</v>
      </c>
      <c r="M13">
        <f t="shared" si="2"/>
        <v>7.3245004622538143</v>
      </c>
      <c r="N13">
        <f>ATAN(K13/C13)</f>
        <v>-0.18096419454776744</v>
      </c>
      <c r="O13">
        <f>SIN(N13)*M13</f>
        <v>-1.3182497263347996</v>
      </c>
      <c r="P13" s="3">
        <f>COS(N13)*M13</f>
        <v>7.2048958827018845</v>
      </c>
      <c r="Q13" s="5">
        <f>O13-G13</f>
        <v>-2.2832497263347995</v>
      </c>
      <c r="S13" cm="1">
        <f t="array" ref="S13">ROUND(SIN(RADIANS([1]!dd(B13)))*P13,4)</f>
        <v>5.4972000000000003</v>
      </c>
      <c r="T13" cm="1">
        <f t="array" ref="T13">ROUND(COS(RADIANS([1]!dd(B13)))*P13,4)</f>
        <v>4.6574</v>
      </c>
    </row>
    <row r="14" spans="1:20" x14ac:dyDescent="0.25">
      <c r="A14" t="s">
        <v>0</v>
      </c>
    </row>
    <row r="16" spans="1:20" x14ac:dyDescent="0.25">
      <c r="A16" t="s">
        <v>13</v>
      </c>
      <c r="B16" t="s">
        <v>10</v>
      </c>
      <c r="C16" s="5" cm="1">
        <f t="array" ref="C16">[1]!join($S$4,$T$4,S2,T2)</f>
        <v>71.708918000552771</v>
      </c>
      <c r="D16" s="3" t="str" cm="1">
        <f t="array" ref="D16">[1]!brg($S$4,$T$4,S2,T2)</f>
        <v>355 36 15.98</v>
      </c>
      <c r="E16" s="4" cm="1">
        <f t="array" ref="E16">[1]!dd(D16)</f>
        <v>355.60443888888886</v>
      </c>
    </row>
    <row r="17" spans="1:5" x14ac:dyDescent="0.25">
      <c r="B17" t="s">
        <v>15</v>
      </c>
      <c r="C17" s="5" cm="1">
        <f t="array" ref="C17">[1]!join($S$4,$T$4,S5,T5)</f>
        <v>2.1773340809347563</v>
      </c>
      <c r="D17" s="3" t="str" cm="1">
        <f t="array" ref="D17">[1]!brg($S$4,$T$4,S5,T5)</f>
        <v>67 37 03.27</v>
      </c>
      <c r="E17" s="4" cm="1">
        <f t="array" ref="E17">[1]!dd(D17)</f>
        <v>67.617575000000002</v>
      </c>
    </row>
    <row r="18" spans="1:5" x14ac:dyDescent="0.25">
      <c r="B18" t="s">
        <v>16</v>
      </c>
      <c r="C18" s="5" cm="1">
        <f t="array" ref="C18">[1]!join($S$4,$T$4,S6,T6)</f>
        <v>2.5079527786623093</v>
      </c>
      <c r="D18" s="3" t="str" cm="1">
        <f t="array" ref="D18">[1]!brg($S$4,$T$4,S6,T6)</f>
        <v>228 50 39.76</v>
      </c>
      <c r="E18" s="4" cm="1">
        <f t="array" ref="E18">[1]!dd(D18)</f>
        <v>228.84437777777777</v>
      </c>
    </row>
    <row r="19" spans="1:5" x14ac:dyDescent="0.25">
      <c r="B19" t="s">
        <v>17</v>
      </c>
      <c r="C19" s="5" cm="1">
        <f t="array" ref="C19">[1]!join($S$4,$T$4,S7,T7)</f>
        <v>3.9525466347659961</v>
      </c>
      <c r="D19" s="3" t="str" cm="1">
        <f t="array" ref="D19">[1]!brg($S$4,$T$4,S7,T7)</f>
        <v>291 52 10.25</v>
      </c>
      <c r="E19" s="4" cm="1">
        <f t="array" ref="E19">[1]!dd(D19)</f>
        <v>291.86951388888889</v>
      </c>
    </row>
    <row r="20" spans="1:5" x14ac:dyDescent="0.25">
      <c r="B20" t="s">
        <v>18</v>
      </c>
      <c r="C20" s="5" cm="1">
        <f t="array" ref="C20">[1]!join($S$4,$T$4,S8,T8)</f>
        <v>4.3321128805699418</v>
      </c>
      <c r="D20" s="3" t="str" cm="1">
        <f t="array" ref="D20">[1]!brg($S$4,$T$4,S8,T8)</f>
        <v>6 45 34.27</v>
      </c>
      <c r="E20" s="4" cm="1">
        <f t="array" ref="E20">[1]!dd(D20)</f>
        <v>6.7595194444444449</v>
      </c>
    </row>
    <row r="22" spans="1:5" x14ac:dyDescent="0.25">
      <c r="A22" t="s">
        <v>15</v>
      </c>
      <c r="B22" t="s">
        <v>16</v>
      </c>
      <c r="C22" s="5" cm="1">
        <f t="array" ref="C22">[1]!join($S$9,$T$9,S10,T10)</f>
        <v>4.6199357408951043</v>
      </c>
      <c r="D22" s="3" t="str" cm="1">
        <f t="array" ref="D22">[1]!brg(S9,T9,S10,T10)</f>
        <v>237 37 44.97</v>
      </c>
      <c r="E22" s="4" cm="1">
        <f t="array" ref="E22">[1]!dd(D22)</f>
        <v>237.62915833333332</v>
      </c>
    </row>
    <row r="23" spans="1:5" x14ac:dyDescent="0.25">
      <c r="A23" t="s">
        <v>16</v>
      </c>
      <c r="B23" t="s">
        <v>17</v>
      </c>
      <c r="C23" s="5" cm="1">
        <f t="array" ref="C23">[1]!join($S$9,$T$9,S11,T11)</f>
        <v>5.7188012117925551</v>
      </c>
      <c r="D23" s="3" t="str" cm="1">
        <f t="array" ref="D23">[1]!brg(S10,T10,S11,T11)</f>
        <v>330 16 46.06</v>
      </c>
      <c r="E23" s="4" cm="1">
        <f t="array" ref="E23">[1]!dd(D23)</f>
        <v>330.27946111111112</v>
      </c>
    </row>
    <row r="24" spans="1:5" x14ac:dyDescent="0.25">
      <c r="A24" t="s">
        <v>17</v>
      </c>
      <c r="B24" t="s">
        <v>18</v>
      </c>
      <c r="C24" s="5" cm="1">
        <f t="array" ref="C24">[1]!join($S$9,$T$9,S12,T12)</f>
        <v>3.7899710091239487</v>
      </c>
      <c r="D24" s="3" t="str" cm="1">
        <f t="array" ref="D24">[1]!brg(S11,T11,S12,T12)</f>
        <v>55 51 52.56</v>
      </c>
      <c r="E24" s="4" cm="1">
        <f t="array" ref="E24">[1]!dd(D24)</f>
        <v>55.864600000000003</v>
      </c>
    </row>
    <row r="25" spans="1:5" x14ac:dyDescent="0.25">
      <c r="A25" t="s">
        <v>18</v>
      </c>
      <c r="B25" t="s">
        <v>15</v>
      </c>
      <c r="C25" s="5" cm="1">
        <f t="array" ref="C25">[1]!join($S$9,$T$9,S13,T13)</f>
        <v>2.17442547124522</v>
      </c>
      <c r="D25" s="3" t="str" cm="1">
        <f t="array" ref="D25">[1]!brg(S12,T12,S13,T13)</f>
        <v>186 44 36.17</v>
      </c>
      <c r="E25" s="4" cm="1">
        <f t="array" ref="E25">[1]!dd(D25)</f>
        <v>186.74338055555555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likdw00</dc:creator>
  <cp:lastModifiedBy>Kent Wheeler</cp:lastModifiedBy>
  <dcterms:created xsi:type="dcterms:W3CDTF">2021-05-03T10:16:38Z</dcterms:created>
  <dcterms:modified xsi:type="dcterms:W3CDTF">2021-05-03T23:50:16Z</dcterms:modified>
</cp:coreProperties>
</file>