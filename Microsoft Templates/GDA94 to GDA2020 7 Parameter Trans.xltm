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AE148972-7D1E-4279-940F-DE07ADBD5DC8}" xr6:coauthVersionLast="47" xr6:coauthVersionMax="47" xr10:uidLastSave="{00000000-0000-0000-0000-000000000000}"/>
  <bookViews>
    <workbookView xWindow="40875" yWindow="0" windowWidth="21600" windowHeight="21600" xr2:uid="{00000000-000D-0000-FFFF-FFFF00000000}"/>
  </bookViews>
  <sheets>
    <sheet name="7 Parameter Transformations" sheetId="4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4" l="1" a="1"/>
  <c r="H2" i="4" a="1"/>
  <c r="G4" i="4" a="1"/>
  <c r="G2" i="4" a="1"/>
  <c r="M3" i="4" a="1"/>
  <c r="L3" i="4" a="1"/>
  <c r="K3" i="4" a="1"/>
  <c r="K3" i="4" l="1"/>
  <c r="L3" i="4"/>
  <c r="M3" i="4"/>
  <c r="G2" i="4"/>
  <c r="G4" i="4"/>
  <c r="H2" i="4"/>
  <c r="H4" i="4"/>
  <c r="L2" i="4" a="1"/>
  <c r="M2" i="4" a="1"/>
  <c r="K2" i="4" a="1"/>
  <c r="K4" i="4" a="1"/>
  <c r="L4" i="4" a="1"/>
  <c r="M4" i="4" a="1"/>
  <c r="M4" i="4" l="1"/>
  <c r="L4" i="4"/>
  <c r="K4" i="4"/>
  <c r="K2" i="4"/>
  <c r="M2" i="4"/>
  <c r="L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<sst xmlns="http://schemas.openxmlformats.org/spreadsheetml/2006/main" count="26" uniqueCount="18">
  <si>
    <t>Zone</t>
  </si>
  <si>
    <t>Easting</t>
  </si>
  <si>
    <t>Northing</t>
  </si>
  <si>
    <t>Latitude</t>
  </si>
  <si>
    <t>Longitude</t>
  </si>
  <si>
    <t>MGA94</t>
  </si>
  <si>
    <t>Ellipsoidal Height (m)</t>
  </si>
  <si>
    <t>Datum</t>
  </si>
  <si>
    <t>GDA94</t>
  </si>
  <si>
    <t>GDA2020</t>
  </si>
  <si>
    <t>Projection</t>
  </si>
  <si>
    <t>Name</t>
  </si>
  <si>
    <t>PRJ 111</t>
  </si>
  <si>
    <t>PCG94</t>
  </si>
  <si>
    <t>S 29 50 00.47039</t>
  </si>
  <si>
    <t>E 116 56 59.14874</t>
  </si>
  <si>
    <t>PRJ 112</t>
  </si>
  <si>
    <t>APP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</si>
</sst>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3">
    <xf numFmtId="0" fontId="0" fillId="0" borderId="0" xfId="0"/>
    <xf numFmtId="0" fontId="1" fillId="4" borderId="1" xfId="3" applyBorder="1" applyAlignment="1">
      <alignment horizontal="center"/>
    </xf>
    <xf numFmtId="0" fontId="1" fillId="2" borderId="1" xfId="1" applyBorder="1" applyAlignment="1">
      <alignment horizontal="center"/>
    </xf>
    <xf numFmtId="0" fontId="1" fillId="3" borderId="0" xfId="2"/>
    <xf numFmtId="0" fontId="0" fillId="3" borderId="0" xfId="2" applyFont="1"/>
    <xf numFmtId="0" fontId="1" fillId="5" borderId="2" xfId="4" applyBorder="1"/>
    <xf numFmtId="0" fontId="1" fillId="5" borderId="3" xfId="4" applyBorder="1"/>
    <xf numFmtId="0" fontId="0" fillId="5" borderId="3" xfId="4" applyFont="1" applyBorder="1"/>
    <xf numFmtId="0" fontId="0" fillId="6" borderId="3" xfId="4" applyFont="1" applyFill="1" applyBorder="1"/>
    <xf numFmtId="0" fontId="1" fillId="6" borderId="3" xfId="4" applyFill="1" applyBorder="1"/>
    <xf numFmtId="0" fontId="2" fillId="0" borderId="0" xfId="0" applyFont="1"/>
    <xf numFmtId="0" fontId="2" fillId="0" borderId="2" xfId="0" applyFont="1" applyBorder="1"/>
    <xf numFmtId="0" fontId="2" fillId="0" borderId="3" xfId="0" applyFont="1" applyBorder="1"/>
  </cellXfs>
  <cellStyles count="5">
    <cellStyle name="20% - Accent3" xfId="2" builtinId="38"/>
    <cellStyle name="20% - Accent6" xfId="4" builtinId="50"/>
    <cellStyle name="40% - Accent1" xfId="1" builtinId="31"/>
    <cellStyle name="40% - Accent3" xfId="3" builtinId="3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0</xdr:row>
          <xdr:rowOff>55245</xdr:rowOff>
        </xdr:from>
        <xdr:to>
          <xdr:col>15</xdr:col>
          <xdr:colOff>95250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*.csv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4"/>
  <sheetViews>
    <sheetView tabSelected="1" zoomScaleNormal="100" workbookViewId="0">
      <selection activeCell="K28" sqref="K28"/>
    </sheetView>
  </sheetViews>
  <sheetFormatPr defaultRowHeight="14.4" x14ac:dyDescent="0.3"/>
  <cols>
    <col min="2" max="2" width="10.109375" bestFit="1" customWidth="1"/>
    <col min="3" max="3" width="12.109375" bestFit="1" customWidth="1"/>
    <col min="4" max="4" width="13.33203125" bestFit="1" customWidth="1"/>
    <col min="5" max="5" width="5.44140625" bestFit="1" customWidth="1"/>
    <col min="6" max="6" width="8.44140625" bestFit="1" customWidth="1"/>
    <col min="7" max="7" width="19.88671875" bestFit="1" customWidth="1"/>
    <col min="8" max="8" width="18.109375" bestFit="1" customWidth="1"/>
    <col min="9" max="9" width="24.5546875" bestFit="1" customWidth="1"/>
    <col min="11" max="11" width="16.33203125" bestFit="1" customWidth="1"/>
    <col min="12" max="12" width="17.44140625" bestFit="1" customWidth="1"/>
    <col min="13" max="13" width="24.5546875" bestFit="1" customWidth="1"/>
  </cols>
  <sheetData>
    <row r="1" spans="1:13" ht="15" thickBot="1" x14ac:dyDescent="0.35">
      <c r="A1" s="3" t="s">
        <v>11</v>
      </c>
      <c r="B1" s="3" t="s">
        <v>10</v>
      </c>
      <c r="C1" s="4" t="s">
        <v>1</v>
      </c>
      <c r="D1" s="4" t="s">
        <v>2</v>
      </c>
      <c r="E1" s="4" t="s">
        <v>0</v>
      </c>
      <c r="F1" s="1" t="s">
        <v>7</v>
      </c>
      <c r="G1" s="1" t="s">
        <v>3</v>
      </c>
      <c r="H1" s="1" t="s">
        <v>4</v>
      </c>
      <c r="I1" s="1" t="s">
        <v>6</v>
      </c>
      <c r="J1" s="2" t="s">
        <v>7</v>
      </c>
      <c r="K1" s="2" t="s">
        <v>3</v>
      </c>
      <c r="L1" s="2" t="s">
        <v>4</v>
      </c>
      <c r="M1" s="2" t="s">
        <v>6</v>
      </c>
    </row>
    <row r="2" spans="1:13" x14ac:dyDescent="0.3">
      <c r="A2" s="7" t="s">
        <v>12</v>
      </c>
      <c r="B2" s="7" t="s">
        <v>5</v>
      </c>
      <c r="C2" s="6">
        <v>492341.87199999997</v>
      </c>
      <c r="D2" s="6">
        <v>6694889.0970000001</v>
      </c>
      <c r="E2" s="6">
        <v>50</v>
      </c>
      <c r="F2" s="10" t="s">
        <v>8</v>
      </c>
      <c r="G2" s="10" t="str" cm="1">
        <f t="array" ref="G2">datumlat(C2,D2,E2,B2)</f>
        <v>-29 52 35.64635</v>
      </c>
      <c r="H2" s="10" t="str" cm="1">
        <f t="array" ref="H2">datumlong(C2,D2,E2,B2)</f>
        <v>116 55 14.50591</v>
      </c>
      <c r="I2" s="5">
        <v>298.20999999999998</v>
      </c>
      <c r="J2" s="11" t="s">
        <v>9</v>
      </c>
      <c r="K2" s="11" t="str" cm="1">
        <f t="array" ref="K2">latsevenpara(F2,J2,G2,H2,I2)</f>
        <v>-29 52 35.59790</v>
      </c>
      <c r="L2" s="11" t="str" cm="1">
        <f t="array" ref="L2">lngsevenpara(F2,J2,G2,H2,I2)</f>
        <v>116 55 14.54339</v>
      </c>
      <c r="M2" s="11" cm="1">
        <f t="array" ref="M2">htsevenpara(F2,J2,G2,H2,I2)</f>
        <v>298.1292952792719</v>
      </c>
    </row>
    <row r="3" spans="1:13" x14ac:dyDescent="0.3">
      <c r="A3" s="7" t="s">
        <v>16</v>
      </c>
      <c r="B3" s="8"/>
      <c r="C3" s="9"/>
      <c r="D3" s="9"/>
      <c r="E3" s="9"/>
      <c r="F3" s="6" t="s">
        <v>8</v>
      </c>
      <c r="G3" s="7" t="s">
        <v>14</v>
      </c>
      <c r="H3" s="7" t="s">
        <v>15</v>
      </c>
      <c r="I3" s="6">
        <v>270.185</v>
      </c>
      <c r="J3" s="12" t="s">
        <v>9</v>
      </c>
      <c r="K3" s="12" t="str" cm="1">
        <f t="array" ref="K3">latsevenpara(F3,J3,G3,H3,I3)</f>
        <v>-29 50 00.42193</v>
      </c>
      <c r="L3" s="12" t="str" cm="1">
        <f t="array" ref="L3">lngsevenpara(F3,J3,G3,H3,I3)</f>
        <v>116 56 59.18620</v>
      </c>
      <c r="M3" s="12" cm="1">
        <f t="array" ref="M3">htsevenpara(F3,J3,G3,H3,I3)</f>
        <v>270.10423538275063</v>
      </c>
    </row>
    <row r="4" spans="1:13" x14ac:dyDescent="0.3">
      <c r="A4" s="7" t="s">
        <v>17</v>
      </c>
      <c r="B4" s="7" t="s">
        <v>13</v>
      </c>
      <c r="C4" s="6">
        <v>51049.275000000001</v>
      </c>
      <c r="D4" s="6">
        <v>254840.12899999999</v>
      </c>
      <c r="E4" s="6">
        <v>1</v>
      </c>
      <c r="F4" s="10" t="s">
        <v>8</v>
      </c>
      <c r="G4" s="10" t="str" cm="1">
        <f t="array" ref="G4">datumlat(C4,D4,E4,B4)</f>
        <v>-32 01 47.48390</v>
      </c>
      <c r="H4" s="10" t="str" cm="1">
        <f t="array" ref="H4">datumlong(C4,D4,E4,B4)</f>
        <v>115 49 39.98828</v>
      </c>
      <c r="I4" s="5">
        <v>8.4719999999999995</v>
      </c>
      <c r="J4" s="11" t="s">
        <v>9</v>
      </c>
      <c r="K4" s="11" t="str" cm="1">
        <f t="array" ref="K4">latsevenpara(F4,J4,G4,H4,I4)</f>
        <v>-32 01 47.43569</v>
      </c>
      <c r="L4" s="11" t="str" cm="1">
        <f t="array" ref="L4">lngsevenpara(F4,J4,G4,H4,I4)</f>
        <v>115 49 40.02686</v>
      </c>
      <c r="M4" s="11" cm="1">
        <f t="array" ref="M4">htsevenpara(F4,J4,G4,H4,I4)</f>
        <v>8.3939648801460862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SV">
                <anchor>
                  <from>
                    <xdr:col>13</xdr:col>
                    <xdr:colOff>457200</xdr:colOff>
                    <xdr:row>0</xdr:row>
                    <xdr:rowOff>68580</xdr:rowOff>
                  </from>
                  <to>
                    <xdr:col>15</xdr:col>
                    <xdr:colOff>99060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dcterms:created xsi:type="dcterms:W3CDTF">2017-02-07T07:13:58Z</dcterms:created>
  <dcterms:modified xsi:type="dcterms:W3CDTF">2023-08-01T23:58:13Z</dcterms:modified>
</cp:coreProperties>
</file>