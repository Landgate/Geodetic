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ndgatewagovau.sharepoint.com/teams/GeoD-O/Financial Related/"/>
    </mc:Choice>
  </mc:AlternateContent>
  <xr:revisionPtr revIDLastSave="0" documentId="13_ncr:1_{D9A5DB6E-BEBA-494D-8A75-5BDEC1C93D2F}" xr6:coauthVersionLast="47" xr6:coauthVersionMax="47" xr10:uidLastSave="{00000000-0000-0000-0000-000000000000}"/>
  <bookViews>
    <workbookView xWindow="-120" yWindow="-120" windowWidth="29040" windowHeight="15840" xr2:uid="{FB1DBFB5-8018-487B-84CB-5D18F6CEFFC0}"/>
  </bookViews>
  <sheets>
    <sheet name="Flexi - Overtime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1" l="1"/>
  <c r="L11" i="1"/>
  <c r="C11" i="1" s="1"/>
  <c r="L12" i="1"/>
  <c r="C12" i="1" s="1"/>
  <c r="L13" i="1"/>
  <c r="C13" i="1" s="1"/>
  <c r="L14" i="1"/>
  <c r="C14" i="1" s="1"/>
  <c r="L15" i="1"/>
  <c r="C15" i="1" s="1"/>
  <c r="L16" i="1"/>
  <c r="C16" i="1" s="1"/>
  <c r="L10" i="1"/>
  <c r="C10" i="1" s="1"/>
  <c r="A10" i="1"/>
  <c r="A11" i="1"/>
  <c r="A12" i="1"/>
  <c r="A13" i="1"/>
  <c r="A14" i="1"/>
  <c r="A15" i="1"/>
  <c r="D23" i="1"/>
  <c r="C23" i="1" s="1"/>
  <c r="D24" i="1"/>
  <c r="C24" i="1" s="1"/>
  <c r="D25" i="1"/>
  <c r="C25" i="1" s="1"/>
  <c r="D26" i="1"/>
  <c r="C26" i="1" s="1"/>
  <c r="D27" i="1"/>
  <c r="C27" i="1" s="1"/>
  <c r="D28" i="1"/>
  <c r="C28" i="1" s="1"/>
  <c r="D29" i="1"/>
  <c r="C29" i="1" s="1"/>
  <c r="D22" i="1"/>
  <c r="C22" i="1" s="1"/>
  <c r="E10" i="1" l="1"/>
  <c r="C17" i="1"/>
  <c r="E15" i="1"/>
  <c r="E14" i="1"/>
  <c r="L17" i="1"/>
  <c r="E13" i="1"/>
  <c r="E12" i="1"/>
  <c r="E11" i="1"/>
  <c r="E16" i="1"/>
  <c r="D14" i="1"/>
  <c r="F14" i="1" s="1"/>
  <c r="D16" i="1"/>
  <c r="D13" i="1"/>
  <c r="D12" i="1"/>
  <c r="D15" i="1"/>
  <c r="G15" i="1" s="1"/>
  <c r="D11" i="1"/>
  <c r="D10" i="1"/>
  <c r="E17" i="1" l="1"/>
  <c r="C35" i="1" s="1"/>
  <c r="G10" i="1"/>
  <c r="D17" i="1"/>
  <c r="G14" i="1"/>
  <c r="H14" i="1" s="1"/>
  <c r="I14" i="1" s="1"/>
  <c r="G13" i="1"/>
  <c r="F13" i="1"/>
  <c r="G16" i="1"/>
  <c r="F16" i="1"/>
  <c r="G12" i="1"/>
  <c r="F12" i="1"/>
  <c r="H12" i="1" s="1"/>
  <c r="I12" i="1" s="1"/>
  <c r="F11" i="1"/>
  <c r="G11" i="1"/>
  <c r="F10" i="1"/>
  <c r="F15" i="1"/>
  <c r="H15" i="1" s="1"/>
  <c r="I15" i="1" s="1"/>
  <c r="H10" i="1" l="1"/>
  <c r="F17" i="1"/>
  <c r="C36" i="1" s="1"/>
  <c r="G17" i="1"/>
  <c r="C37" i="1" s="1"/>
  <c r="H16" i="1"/>
  <c r="I16" i="1" s="1"/>
  <c r="H11" i="1"/>
  <c r="I11" i="1" s="1"/>
  <c r="H13" i="1"/>
  <c r="I13" i="1" s="1"/>
  <c r="D35" i="1"/>
  <c r="E35" i="1"/>
  <c r="I10" i="1" l="1"/>
  <c r="I17" i="1" s="1"/>
  <c r="C39" i="1" s="1"/>
  <c r="H17" i="1"/>
  <c r="C38" i="1" s="1"/>
  <c r="D39" i="1" l="1"/>
  <c r="E39" i="1"/>
  <c r="E38" i="1"/>
  <c r="D38" i="1"/>
  <c r="D37" i="1"/>
  <c r="E37" i="1"/>
  <c r="D36" i="1"/>
  <c r="E36" i="1"/>
</calcChain>
</file>

<file path=xl/sharedStrings.xml><?xml version="1.0" encoding="utf-8"?>
<sst xmlns="http://schemas.openxmlformats.org/spreadsheetml/2006/main" count="39" uniqueCount="36">
  <si>
    <t xml:space="preserve">GOSAC Award 1989 section 22 (4)(b)&amp;(c) </t>
  </si>
  <si>
    <t>Day</t>
  </si>
  <si>
    <t>Date</t>
  </si>
  <si>
    <t xml:space="preserve">Total Hrs </t>
  </si>
  <si>
    <t>Flex accrued</t>
  </si>
  <si>
    <t>Total Hrs for Web Kiosk</t>
  </si>
  <si>
    <t>Hrs</t>
  </si>
  <si>
    <t>Rate (Hr)</t>
  </si>
  <si>
    <t>SCL 2.1</t>
  </si>
  <si>
    <t>SCL 2.4</t>
  </si>
  <si>
    <t>Fortnight</t>
  </si>
  <si>
    <t>Overtime (Hrs)</t>
  </si>
  <si>
    <t>Web Kiosk</t>
  </si>
  <si>
    <t>Public Sector CSA Agreement 2022 section 25</t>
  </si>
  <si>
    <t>Start</t>
  </si>
  <si>
    <t>Finish</t>
  </si>
  <si>
    <t>1.5 x</t>
  </si>
  <si>
    <t>2.0 x</t>
  </si>
  <si>
    <t>1.0 x</t>
  </si>
  <si>
    <t>2023 Rate</t>
  </si>
  <si>
    <t>SCL 2.2</t>
  </si>
  <si>
    <t>SCL 2.3</t>
  </si>
  <si>
    <t>Yearly</t>
  </si>
  <si>
    <t>SCL 3.1</t>
  </si>
  <si>
    <t>SCL 3.2</t>
  </si>
  <si>
    <t>SCL 3.3</t>
  </si>
  <si>
    <t>Flex</t>
  </si>
  <si>
    <t>1.0 x Hrs</t>
  </si>
  <si>
    <t>1.5 x Hrs</t>
  </si>
  <si>
    <t>2.0 x Hrs</t>
  </si>
  <si>
    <t>Hours for [Name] - [Location]</t>
  </si>
  <si>
    <t xml:space="preserve">Calendar </t>
  </si>
  <si>
    <t>Select cell then date below on calendar to insert date into cell</t>
  </si>
  <si>
    <t>SCL 3.4</t>
  </si>
  <si>
    <t>Pay Level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</si>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</sst>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0.0"/>
    <numFmt numFmtId="165" formatCode="00\: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5" fillId="2" borderId="0" applyNumberFormat="0" applyBorder="0" applyAlignment="0" applyProtection="0"/>
    <xf numFmtId="44" fontId="5" fillId="0" borderId="0" applyFont="0" applyFill="0" applyBorder="0" applyAlignment="0" applyProtection="0"/>
    <xf numFmtId="0" fontId="6" fillId="3" borderId="2" applyNumberFormat="0" applyAlignment="0" applyProtection="0"/>
    <xf numFmtId="0" fontId="7" fillId="4" borderId="3" applyNumberFormat="0" applyAlignment="0" applyProtection="0"/>
    <xf numFmtId="0" fontId="8" fillId="4" borderId="2" applyNumberFormat="0" applyAlignment="0" applyProtection="0"/>
    <xf numFmtId="0" fontId="9" fillId="5" borderId="4" applyNumberFormat="0" applyAlignment="0" applyProtection="0"/>
  </cellStyleXfs>
  <cellXfs count="69">
    <xf numFmtId="0" fontId="0" fillId="0" borderId="0" xfId="0"/>
    <xf numFmtId="0" fontId="1" fillId="0" borderId="1" xfId="0" applyFont="1" applyBorder="1"/>
    <xf numFmtId="0" fontId="1" fillId="0" borderId="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44" fontId="0" fillId="0" borderId="1" xfId="2" applyFont="1" applyBorder="1" applyProtection="1"/>
    <xf numFmtId="44" fontId="0" fillId="0" borderId="1" xfId="2" applyFont="1" applyFill="1" applyBorder="1" applyProtection="1"/>
    <xf numFmtId="44" fontId="7" fillId="0" borderId="0" xfId="4" applyNumberFormat="1" applyFill="1" applyBorder="1" applyProtection="1"/>
    <xf numFmtId="44" fontId="7" fillId="4" borderId="1" xfId="4" applyNumberFormat="1" applyBorder="1" applyProtection="1"/>
    <xf numFmtId="44" fontId="7" fillId="4" borderId="7" xfId="4" applyNumberFormat="1" applyBorder="1" applyProtection="1"/>
    <xf numFmtId="165" fontId="0" fillId="0" borderId="1" xfId="0" applyNumberFormat="1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3" fillId="0" borderId="0" xfId="0" applyFont="1"/>
    <xf numFmtId="0" fontId="2" fillId="0" borderId="0" xfId="0" applyFont="1"/>
    <xf numFmtId="0" fontId="1" fillId="0" borderId="0" xfId="0" applyFont="1"/>
    <xf numFmtId="44" fontId="0" fillId="0" borderId="0" xfId="0" applyNumberFormat="1"/>
    <xf numFmtId="0" fontId="0" fillId="0" borderId="5" xfId="0" applyBorder="1"/>
    <xf numFmtId="0" fontId="0" fillId="0" borderId="0" xfId="0" applyAlignment="1">
      <alignment horizontal="right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44" fontId="0" fillId="0" borderId="0" xfId="2" applyFont="1" applyBorder="1" applyProtection="1"/>
    <xf numFmtId="14" fontId="0" fillId="0" borderId="0" xfId="0" applyNumberFormat="1"/>
    <xf numFmtId="0" fontId="1" fillId="0" borderId="1" xfId="0" applyFont="1" applyBorder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2" fontId="0" fillId="0" borderId="0" xfId="2" applyNumberFormat="1" applyFont="1" applyBorder="1" applyProtection="1">
      <protection locked="0"/>
    </xf>
    <xf numFmtId="0" fontId="0" fillId="0" borderId="0" xfId="0" applyProtection="1">
      <protection locked="0"/>
    </xf>
    <xf numFmtId="44" fontId="0" fillId="0" borderId="0" xfId="2" applyFont="1" applyBorder="1" applyProtection="1">
      <protection locked="0"/>
    </xf>
    <xf numFmtId="4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44" fontId="7" fillId="0" borderId="0" xfId="4" applyNumberForma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0" xfId="0" applyNumberFormat="1"/>
    <xf numFmtId="14" fontId="5" fillId="0" borderId="1" xfId="1" applyNumberFormat="1" applyFill="1" applyBorder="1" applyAlignment="1" applyProtection="1">
      <alignment horizontal="center"/>
      <protection locked="0"/>
    </xf>
    <xf numFmtId="165" fontId="5" fillId="0" borderId="1" xfId="1" applyNumberFormat="1" applyFill="1" applyBorder="1" applyAlignment="1" applyProtection="1">
      <alignment horizontal="center"/>
      <protection locked="0"/>
    </xf>
    <xf numFmtId="2" fontId="0" fillId="0" borderId="6" xfId="0" applyNumberFormat="1" applyBorder="1"/>
    <xf numFmtId="2" fontId="5" fillId="0" borderId="6" xfId="1" applyNumberFormat="1" applyFill="1" applyBorder="1"/>
    <xf numFmtId="164" fontId="0" fillId="0" borderId="1" xfId="0" applyNumberFormat="1" applyBorder="1"/>
    <xf numFmtId="164" fontId="0" fillId="0" borderId="6" xfId="0" applyNumberFormat="1" applyBorder="1"/>
    <xf numFmtId="164" fontId="5" fillId="0" borderId="1" xfId="1" applyNumberFormat="1" applyFill="1" applyBorder="1" applyProtection="1"/>
    <xf numFmtId="164" fontId="5" fillId="0" borderId="6" xfId="1" applyNumberFormat="1" applyFill="1" applyBorder="1"/>
    <xf numFmtId="0" fontId="0" fillId="0" borderId="8" xfId="0" applyBorder="1"/>
    <xf numFmtId="0" fontId="5" fillId="0" borderId="8" xfId="1" applyFill="1" applyBorder="1" applyProtection="1"/>
    <xf numFmtId="164" fontId="0" fillId="0" borderId="13" xfId="0" applyNumberFormat="1" applyBorder="1" applyAlignment="1">
      <alignment horizontal="center"/>
    </xf>
    <xf numFmtId="164" fontId="5" fillId="0" borderId="13" xfId="1" applyNumberFormat="1" applyFill="1" applyBorder="1" applyAlignment="1">
      <alignment horizontal="center"/>
    </xf>
    <xf numFmtId="0" fontId="1" fillId="0" borderId="14" xfId="0" applyFont="1" applyBorder="1"/>
    <xf numFmtId="0" fontId="1" fillId="0" borderId="15" xfId="0" applyFont="1" applyBorder="1" applyAlignment="1">
      <alignment horizontal="left"/>
    </xf>
    <xf numFmtId="0" fontId="1" fillId="0" borderId="16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5" fillId="0" borderId="17" xfId="1" applyFill="1" applyBorder="1" applyProtection="1"/>
    <xf numFmtId="14" fontId="5" fillId="0" borderId="18" xfId="1" applyNumberFormat="1" applyFill="1" applyBorder="1" applyAlignment="1" applyProtection="1">
      <alignment horizontal="center"/>
      <protection locked="0"/>
    </xf>
    <xf numFmtId="164" fontId="5" fillId="0" borderId="18" xfId="1" applyNumberFormat="1" applyFill="1" applyBorder="1" applyProtection="1"/>
    <xf numFmtId="164" fontId="5" fillId="0" borderId="19" xfId="1" applyNumberFormat="1" applyFill="1" applyBorder="1"/>
    <xf numFmtId="2" fontId="5" fillId="0" borderId="19" xfId="1" applyNumberFormat="1" applyFill="1" applyBorder="1"/>
    <xf numFmtId="165" fontId="5" fillId="0" borderId="18" xfId="1" applyNumberFormat="1" applyFill="1" applyBorder="1" applyAlignment="1" applyProtection="1">
      <alignment horizontal="center"/>
      <protection locked="0"/>
    </xf>
    <xf numFmtId="164" fontId="5" fillId="0" borderId="12" xfId="1" applyNumberFormat="1" applyFill="1" applyBorder="1" applyAlignment="1">
      <alignment horizontal="center"/>
    </xf>
    <xf numFmtId="0" fontId="0" fillId="0" borderId="17" xfId="0" applyBorder="1"/>
    <xf numFmtId="0" fontId="0" fillId="0" borderId="18" xfId="0" applyBorder="1" applyAlignment="1" applyProtection="1">
      <alignment horizontal="center"/>
      <protection locked="0"/>
    </xf>
    <xf numFmtId="164" fontId="0" fillId="0" borderId="12" xfId="0" applyNumberFormat="1" applyBorder="1" applyAlignment="1">
      <alignment horizontal="center"/>
    </xf>
    <xf numFmtId="164" fontId="0" fillId="0" borderId="18" xfId="0" applyNumberFormat="1" applyBorder="1"/>
    <xf numFmtId="164" fontId="0" fillId="0" borderId="19" xfId="0" applyNumberFormat="1" applyBorder="1"/>
    <xf numFmtId="2" fontId="0" fillId="0" borderId="19" xfId="0" applyNumberFormat="1" applyBorder="1"/>
    <xf numFmtId="164" fontId="6" fillId="3" borderId="9" xfId="3" applyNumberFormat="1" applyBorder="1" applyProtection="1"/>
    <xf numFmtId="164" fontId="8" fillId="4" borderId="10" xfId="5" applyNumberFormat="1" applyBorder="1" applyProtection="1"/>
    <xf numFmtId="2" fontId="8" fillId="4" borderId="10" xfId="5" applyNumberFormat="1" applyBorder="1" applyProtection="1"/>
    <xf numFmtId="2" fontId="9" fillId="5" borderId="4" xfId="6" applyNumberFormat="1" applyProtection="1"/>
  </cellXfs>
  <cellStyles count="7">
    <cellStyle name="20% - Accent2" xfId="1" builtinId="34"/>
    <cellStyle name="Calculation" xfId="5" builtinId="22"/>
    <cellStyle name="Check Cell" xfId="6" builtinId="23"/>
    <cellStyle name="Currency" xfId="2" builtinId="4"/>
    <cellStyle name="Input" xfId="3" builtinId="20"/>
    <cellStyle name="Normal" xfId="0" builtinId="0"/>
    <cellStyle name="Output" xfId="4" builtinId="21"/>
  </cellStyles>
  <dxfs count="28">
    <dxf>
      <numFmt numFmtId="164" formatCode="0.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0.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0.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0.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0.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0.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0.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00\: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5" formatCode="00\: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0.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0.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0.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0.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Relationship Id="rId5" Type="http://schemas.openxmlformats.org/officeDocument/2006/relationships/image" Target="../media/image4.png"/><Relationship Id="rId4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1</xdr:row>
      <xdr:rowOff>76201</xdr:rowOff>
    </xdr:from>
    <xdr:to>
      <xdr:col>20</xdr:col>
      <xdr:colOff>371475</xdr:colOff>
      <xdr:row>25</xdr:row>
      <xdr:rowOff>137816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7977390-AD5F-428B-94AE-733A30953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314326"/>
          <a:ext cx="4010025" cy="4871740"/>
        </a:xfrm>
        <a:prstGeom prst="rect">
          <a:avLst/>
        </a:prstGeom>
      </xdr:spPr>
    </xdr:pic>
    <xdr:clientData/>
  </xdr:twoCellAnchor>
  <xdr:twoCellAnchor editAs="oneCell">
    <xdr:from>
      <xdr:col>14</xdr:col>
      <xdr:colOff>19050</xdr:colOff>
      <xdr:row>23</xdr:row>
      <xdr:rowOff>171450</xdr:rowOff>
    </xdr:from>
    <xdr:to>
      <xdr:col>20</xdr:col>
      <xdr:colOff>430973</xdr:colOff>
      <xdr:row>39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932196-1383-4B7F-B1A3-C1BB512FA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5219700"/>
          <a:ext cx="4069523" cy="3057525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</xdr:colOff>
      <xdr:row>1</xdr:row>
      <xdr:rowOff>57150</xdr:rowOff>
    </xdr:from>
    <xdr:to>
      <xdr:col>28</xdr:col>
      <xdr:colOff>104775</xdr:colOff>
      <xdr:row>13</xdr:row>
      <xdr:rowOff>46512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001CC0-15C4-A991-F211-73ACE909E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68675" y="295275"/>
          <a:ext cx="4467225" cy="2513487"/>
        </a:xfrm>
        <a:prstGeom prst="rect">
          <a:avLst/>
        </a:prstGeom>
      </xdr:spPr>
    </xdr:pic>
    <xdr:clientData/>
  </xdr:twoCellAnchor>
  <xdr:twoCellAnchor>
    <xdr:from>
      <xdr:col>6</xdr:col>
      <xdr:colOff>485775</xdr:colOff>
      <xdr:row>21</xdr:row>
      <xdr:rowOff>90487</xdr:rowOff>
    </xdr:from>
    <xdr:to>
      <xdr:col>8</xdr:col>
      <xdr:colOff>1019175</xdr:colOff>
      <xdr:row>32</xdr:row>
      <xdr:rowOff>90487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 title="Mini Calendar and Date Picker">
              <a:extLst>
                <a:ext uri="{FF2B5EF4-FFF2-40B4-BE49-F238E27FC236}">
                  <a16:creationId xmlns:a16="http://schemas.microsoft.com/office/drawing/2014/main" id="{132E3A88-C02F-6787-D083-C41CC6AF56D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"/>
            </a:graphicData>
          </a:graphic>
        </xdr:graphicFrame>
      </mc:Choice>
      <mc:Fallback>
        <xdr:pic>
          <xdr:nvPicPr>
            <xdr:cNvPr id="2" name="Add-in 1" title="Mini Calendar and Date Picker">
              <a:extLst>
                <a:ext uri="{FF2B5EF4-FFF2-40B4-BE49-F238E27FC236}">
                  <a16:creationId xmlns:a16="http://schemas.microsoft.com/office/drawing/2014/main" id="{132E3A88-C02F-6787-D083-C41CC6AF56D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0</xdr:colOff>
      <xdr:row>1</xdr:row>
      <xdr:rowOff>28575</xdr:rowOff>
    </xdr:from>
    <xdr:to>
      <xdr:col>6</xdr:col>
      <xdr:colOff>0</xdr:colOff>
      <xdr:row>7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01FA7DE-68C3-5DA6-4143-A4049D3126A6}"/>
            </a:ext>
          </a:extLst>
        </xdr:cNvPr>
        <xdr:cNvSpPr txBox="1"/>
      </xdr:nvSpPr>
      <xdr:spPr>
        <a:xfrm>
          <a:off x="0" y="266700"/>
          <a:ext cx="5448300" cy="1285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rgbClr val="FF0000"/>
              </a:solidFill>
            </a:rPr>
            <a:t>Notes: </a:t>
          </a:r>
        </a:p>
        <a:p>
          <a:r>
            <a:rPr lang="en-AU" sz="1100">
              <a:solidFill>
                <a:srgbClr val="FF0000"/>
              </a:solidFill>
            </a:rPr>
            <a:t>1.</a:t>
          </a:r>
          <a:r>
            <a:rPr lang="en-AU" sz="1100" baseline="0">
              <a:solidFill>
                <a:srgbClr val="FF0000"/>
              </a:solidFill>
            </a:rPr>
            <a:t> Enter data into Start, Finish and Date cells </a:t>
          </a:r>
          <a:r>
            <a:rPr lang="en-AU" sz="1100" b="1" baseline="0">
              <a:solidFill>
                <a:srgbClr val="FF0000"/>
              </a:solidFill>
            </a:rPr>
            <a:t>ONLY</a:t>
          </a:r>
          <a:r>
            <a:rPr lang="en-AU" sz="1100" b="0" baseline="0">
              <a:solidFill>
                <a:srgbClr val="FF0000"/>
              </a:solidFill>
            </a:rPr>
            <a:t>.</a:t>
          </a:r>
        </a:p>
        <a:p>
          <a:r>
            <a:rPr lang="en-AU" sz="1100" b="0" baseline="0">
              <a:solidFill>
                <a:srgbClr val="FF0000"/>
              </a:solidFill>
            </a:rPr>
            <a:t>2. Times to be entered as 24hr (e.g 0800 or 1600).</a:t>
          </a:r>
        </a:p>
        <a:p>
          <a:r>
            <a:rPr lang="en-AU" sz="1100" baseline="0">
              <a:solidFill>
                <a:srgbClr val="FF0000"/>
              </a:solidFill>
            </a:rPr>
            <a:t>2. Select pay level under Pay Level heading using the drop down list.</a:t>
          </a:r>
          <a:endParaRPr lang="en-AU" sz="1100">
            <a:solidFill>
              <a:srgbClr val="FF0000"/>
            </a:solidFill>
          </a:endParaRPr>
        </a:p>
        <a:p>
          <a:r>
            <a:rPr lang="en-AU" sz="1100">
              <a:solidFill>
                <a:srgbClr val="FF0000"/>
              </a:solidFill>
            </a:rPr>
            <a:t>2. These are total hrs worked and breaks have already been subtracted.</a:t>
          </a:r>
        </a:p>
        <a:p>
          <a:r>
            <a:rPr lang="en-AU" sz="1100">
              <a:solidFill>
                <a:srgbClr val="FF0000"/>
              </a:solidFill>
            </a:rPr>
            <a:t>3.</a:t>
          </a:r>
          <a:r>
            <a:rPr lang="en-AU" sz="1100" baseline="0">
              <a:solidFill>
                <a:srgbClr val="FF0000"/>
              </a:solidFill>
            </a:rPr>
            <a:t> Calculations are for both flexi and overtime, only one is to be entered into Web Kiosk.</a:t>
          </a:r>
        </a:p>
        <a:p>
          <a:r>
            <a:rPr lang="en-AU" sz="1100" baseline="0">
              <a:solidFill>
                <a:srgbClr val="FF0000"/>
              </a:solidFill>
            </a:rPr>
            <a:t>4. If overtime has been approved, use the additional hours claim in Web Kiosk.</a:t>
          </a:r>
        </a:p>
        <a:p>
          <a:r>
            <a:rPr lang="en-AU" sz="1100" baseline="0">
              <a:solidFill>
                <a:srgbClr val="FF0000"/>
              </a:solidFill>
            </a:rPr>
            <a:t>5. Check rates when preparing budgets</a:t>
          </a:r>
          <a:endParaRPr lang="en-AU" sz="1100">
            <a:solidFill>
              <a:srgbClr val="FF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506676-A6B1-45E5-A77D-215DE592B01C}" name="Table1" displayName="Table1" ref="A9:L17" totalsRowCount="1" headerRowDxfId="12" headerRowBorderDxfId="26" tableBorderDxfId="27" totalsRowBorderDxfId="25">
  <autoFilter ref="A9:L16" xr:uid="{B9506676-A6B1-45E5-A77D-215DE592B01C}"/>
  <tableColumns count="12">
    <tableColumn id="1" xr3:uid="{1C9A44F3-A7E8-48BB-8853-5027C31749C8}" name="Day" totalsRowLabel="Totals" dataDxfId="24" totalsRowDxfId="11">
      <calculatedColumnFormula>TEXT(B10,"dddd")</calculatedColumnFormula>
    </tableColumn>
    <tableColumn id="2" xr3:uid="{51792403-D1B9-4388-8DAE-860BD120BAAD}" name="Date" dataDxfId="23" totalsRowDxfId="10"/>
    <tableColumn id="3" xr3:uid="{36C9F94B-C120-4DA7-96C5-0EBC645CD4B2}" name="Total Hrs " totalsRowFunction="sum" dataDxfId="22" totalsRowDxfId="9">
      <calculatedColumnFormula>L10</calculatedColumnFormula>
    </tableColumn>
    <tableColumn id="4" xr3:uid="{86F78E24-0153-4600-8006-3A14A76D0049}" name="Overtime (Hrs)" totalsRowFunction="sum" dataDxfId="21" totalsRowDxfId="8">
      <calculatedColumnFormula>IF(AND(OR(A10="Monday",A10="Tuesday",A10="Wednesday",A10="Thursday",A10="Friday"),C10&lt;=7.5),0,IF(AND(OR(A10="Monday",A10="Tuesday",A10="Wednesday",A10="Thursday",A10="Friday"),C10&gt;=7.5),C10-7.5,C10))</calculatedColumnFormula>
    </tableColumn>
    <tableColumn id="5" xr3:uid="{223C7EE8-3159-4C2E-8F1A-670019340B97}" name="1.0 x" totalsRowFunction="sum" dataDxfId="20" totalsRowDxfId="7">
      <calculatedColumnFormula>IF(AND(OR(A10="Monday",A10="Tuesday",A10="Wednesday",A10="Thursday",A10="Friday"),C10&lt;7.5),C10,IF(AND(OR(A10="Monday",A10="Tuesday",A10="Wednesday",A10="Thursday",A10="Friday"),C10&gt;=7.5),7.5,))</calculatedColumnFormula>
    </tableColumn>
    <tableColumn id="6" xr3:uid="{5F488C0A-D62C-4F52-B948-CE2259369D72}" name="1.5 x" totalsRowFunction="sum" dataDxfId="19" totalsRowDxfId="6">
      <calculatedColumnFormula>IF(AND(OR(A10="Monday",A10="Tuesday",A10="Wednesday",A10="Thursday",A10="Friday"),D10&gt;3),3,IF(AND(OR(A10="Monday",A10="Tuesday",A10="Wednesday",A10="Thursday",A10="Friday"),D10&lt;=3),D10,IF(AND(A10="Saturday",D10&gt;=3),3,IF(AND(A10="Saturday",D10&lt;3),D10,))))</calculatedColumnFormula>
    </tableColumn>
    <tableColumn id="7" xr3:uid="{2C253D05-3E6E-4E8B-951A-C7944E2982B3}" name="2.0 x" totalsRowFunction="sum" dataDxfId="18" totalsRowDxfId="5">
      <calculatedColumnFormula>IF(AND(OR(A10="Monday",A10="Tuesday",A10="Wednesday",A10="Thursday",A10="Friday"),D10&gt;3),D10-3,IF(AND(A10="Saturday",D10&gt;3),D10-3,IF(A10="Sunday",D10,)))</calculatedColumnFormula>
    </tableColumn>
    <tableColumn id="8" xr3:uid="{3FA36159-B6EF-4EC5-942A-C039DDC060DD}" name="Flex accrued" totalsRowFunction="sum" dataDxfId="17" totalsRowDxfId="4">
      <calculatedColumnFormula>(F10*3/2)+(G10*2/1)</calculatedColumnFormula>
    </tableColumn>
    <tableColumn id="9" xr3:uid="{697E2067-BC33-43AB-8589-BE6F741C188F}" name="Total Hrs for Web Kiosk" totalsRowFunction="sum" dataDxfId="16" totalsRowDxfId="3">
      <calculatedColumnFormula>E10+H10</calculatedColumnFormula>
    </tableColumn>
    <tableColumn id="10" xr3:uid="{87924B67-75ED-4E78-A496-F258EAE3B603}" name="Start" dataDxfId="15" totalsRowDxfId="2"/>
    <tableColumn id="11" xr3:uid="{561C34C8-8B38-464F-A91C-783D14395B2E}" name="Finish" dataDxfId="14" totalsRowDxfId="1"/>
    <tableColumn id="12" xr3:uid="{45DD5351-9754-43F6-AD25-C61B1995BB4E}" name="Hrs" totalsRowFunction="sum" dataDxfId="13" totalsRowDxfId="0">
      <calculatedColumnFormula>IF(((TEXT(K10,"00\:00")-TEXT(J10,"00\:00"))*24)&lt;=5,((TEXT(K10,"00\:00")-TEXT(J10,"00\:00"))*24),(((TEXT(K10,"00\:00")-TEXT(J10,"00\:00")+(J10&gt;K10))-30/1440)*24))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webextensions/webextension1.xml><?xml version="1.0" encoding="utf-8"?>
<we:webextension xmlns:we="http://schemas.microsoft.com/office/webextensions/webextension/2010/11" id="{132E3A88-C02F-6787-D083-C41CC6AF56D5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cal_sys" value="21"/>
    <we:property name="opt_wn" value="false"/>
    <we:property name="opt_theme" value="1"/>
    <we:property name="opt_size" value="0"/>
    <we:property name="opt_confirm" value="true"/>
  </we:properties>
  <we:bindings>
    <we:binding id="eventsBinding" type="matrix" appref="{FC565F5E-3EBD-45CC-AB16-ABB7D1B89247}"/>
  </we:bindings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1F2B9-231B-4567-BFD2-24330CECD531}">
  <sheetPr codeName="Sheet1"/>
  <dimension ref="A1:V40"/>
  <sheetViews>
    <sheetView tabSelected="1" workbookViewId="0">
      <selection activeCell="I33" sqref="I33"/>
    </sheetView>
  </sheetViews>
  <sheetFormatPr defaultRowHeight="15" x14ac:dyDescent="0.25"/>
  <cols>
    <col min="1" max="1" width="14.140625" customWidth="1"/>
    <col min="2" max="2" width="14.140625" bestFit="1" customWidth="1"/>
    <col min="3" max="3" width="12.85546875" customWidth="1"/>
    <col min="4" max="4" width="18.85546875" bestFit="1" customWidth="1"/>
    <col min="5" max="7" width="14.28515625" customWidth="1"/>
    <col min="8" max="8" width="16.5703125" bestFit="1" customWidth="1"/>
    <col min="9" max="9" width="26.5703125" bestFit="1" customWidth="1"/>
    <col min="10" max="10" width="9.7109375" bestFit="1" customWidth="1"/>
    <col min="11" max="11" width="10.85546875" bestFit="1" customWidth="1"/>
    <col min="12" max="12" width="8.42578125" bestFit="1" customWidth="1"/>
    <col min="13" max="13" width="10.5703125" customWidth="1"/>
    <col min="24" max="24" width="9.28515625" bestFit="1" customWidth="1"/>
    <col min="25" max="25" width="10.5703125" bestFit="1" customWidth="1"/>
  </cols>
  <sheetData>
    <row r="1" spans="1:22" ht="18.75" x14ac:dyDescent="0.3">
      <c r="A1" s="24" t="s">
        <v>30</v>
      </c>
      <c r="B1" s="11"/>
      <c r="O1" s="13" t="s">
        <v>0</v>
      </c>
      <c r="V1" s="13" t="s">
        <v>13</v>
      </c>
    </row>
    <row r="2" spans="1:22" ht="18.75" x14ac:dyDescent="0.3">
      <c r="A2" s="11"/>
      <c r="B2" s="11"/>
    </row>
    <row r="3" spans="1:22" ht="18.75" x14ac:dyDescent="0.3">
      <c r="A3" s="11"/>
      <c r="B3" s="11"/>
    </row>
    <row r="4" spans="1:22" ht="18.75" x14ac:dyDescent="0.3">
      <c r="A4" s="11"/>
      <c r="B4" s="11"/>
    </row>
    <row r="5" spans="1:22" ht="18.75" x14ac:dyDescent="0.3">
      <c r="A5" s="11"/>
      <c r="B5" s="11"/>
    </row>
    <row r="6" spans="1:22" ht="18.75" x14ac:dyDescent="0.3">
      <c r="A6" s="11"/>
      <c r="B6" s="11"/>
    </row>
    <row r="7" spans="1:22" x14ac:dyDescent="0.25">
      <c r="A7" s="12"/>
      <c r="B7" s="12"/>
    </row>
    <row r="9" spans="1:22" x14ac:dyDescent="0.25">
      <c r="A9" s="48" t="s">
        <v>1</v>
      </c>
      <c r="B9" s="49" t="s">
        <v>2</v>
      </c>
      <c r="C9" s="51" t="s">
        <v>3</v>
      </c>
      <c r="D9" s="51" t="s">
        <v>11</v>
      </c>
      <c r="E9" s="50" t="s">
        <v>18</v>
      </c>
      <c r="F9" s="50" t="s">
        <v>16</v>
      </c>
      <c r="G9" s="50" t="s">
        <v>17</v>
      </c>
      <c r="H9" s="50" t="s">
        <v>4</v>
      </c>
      <c r="I9" s="50" t="s">
        <v>5</v>
      </c>
      <c r="J9" s="51" t="s">
        <v>14</v>
      </c>
      <c r="K9" s="51" t="s">
        <v>15</v>
      </c>
      <c r="L9" s="31" t="s">
        <v>6</v>
      </c>
    </row>
    <row r="10" spans="1:22" x14ac:dyDescent="0.25">
      <c r="A10" s="44" t="str">
        <f>TEXT(B10,"dddd")</f>
        <v>Monday</v>
      </c>
      <c r="B10" s="10">
        <v>45152</v>
      </c>
      <c r="C10" s="40">
        <f>L10</f>
        <v>7.5</v>
      </c>
      <c r="D10" s="40">
        <f t="shared" ref="D10:D14" si="0">IF(AND(OR(A10="Monday",A10="Tuesday",A10="Wednesday",A10="Thursday",A10="Friday"),C10&lt;=7.5),0,IF(AND(OR(A10="Monday",A10="Tuesday",A10="Wednesday",A10="Thursday",A10="Friday"),C10&gt;=7.5),C10-7.5,C10))</f>
        <v>0</v>
      </c>
      <c r="E10" s="41">
        <f>IF(AND(OR(A10="Monday",A10="Tuesday",A10="Wednesday",A10="Thursday",A10="Friday"),C10&lt;7.5),C10,IF(AND(OR(A10="Monday",A10="Tuesday",A10="Wednesday",A10="Thursday",A10="Friday"),C10&gt;=7.5),7.5,))</f>
        <v>7.5</v>
      </c>
      <c r="F10" s="41">
        <f t="shared" ref="F10:F15" si="1">IF(AND(OR(A10="Monday",A10="Tuesday",A10="Wednesday",A10="Thursday",A10="Friday"),D10&gt;3),3,IF(AND(OR(A10="Monday",A10="Tuesday",A10="Wednesday",A10="Thursday",A10="Friday"),D10&lt;=3),D10,IF(AND(A10="Saturday",D10&gt;=3),3,IF(AND(A10="Saturday",D10&lt;3),D10,))))</f>
        <v>0</v>
      </c>
      <c r="G10" s="41">
        <f t="shared" ref="G10:G15" si="2">IF(AND(OR(A10="Monday",A10="Tuesday",A10="Wednesday",A10="Thursday",A10="Friday"),D10&gt;3),D10-3,IF(AND(A10="Saturday",D10&gt;3),D10-3,IF(A10="Sunday",D10,)))</f>
        <v>0</v>
      </c>
      <c r="H10" s="38">
        <f>(F10*3/2)+(G10*2/1)</f>
        <v>0</v>
      </c>
      <c r="I10" s="38">
        <f>E10+H10</f>
        <v>7.5</v>
      </c>
      <c r="J10" s="9">
        <v>830</v>
      </c>
      <c r="K10" s="9">
        <v>1630</v>
      </c>
      <c r="L10" s="46">
        <f>IF(((TEXT(K10,"00\:00")-TEXT(J10,"00\:00"))*24)&lt;=5,((TEXT(K10,"00\:00")-TEXT(J10,"00\:00"))*24),(((TEXT(K10,"00\:00")-TEXT(J10,"00\:00")+(J10&gt;K10))-30/1440)*24))</f>
        <v>7.5</v>
      </c>
      <c r="M10" s="14"/>
    </row>
    <row r="11" spans="1:22" x14ac:dyDescent="0.25">
      <c r="A11" s="44" t="str">
        <f t="shared" ref="A11:A16" si="3">TEXT(B11,"dddd")</f>
        <v>Tuesday</v>
      </c>
      <c r="B11" s="10">
        <v>45153</v>
      </c>
      <c r="C11" s="40">
        <f t="shared" ref="C11:C16" si="4">L11</f>
        <v>7.5</v>
      </c>
      <c r="D11" s="40">
        <f t="shared" si="0"/>
        <v>0</v>
      </c>
      <c r="E11" s="41">
        <f t="shared" ref="E11:E16" si="5">IF(AND(OR(A11="Monday",A11="Tuesday",A11="Wednesday",A11="Thursday",A11="Friday"),C11&lt;7.5),C11,IF(AND(OR(A11="Monday",A11="Tuesday",A11="Wednesday",A11="Thursday",A11="Friday"),C11&gt;=7.5),7.5,))</f>
        <v>7.5</v>
      </c>
      <c r="F11" s="41">
        <f t="shared" si="1"/>
        <v>0</v>
      </c>
      <c r="G11" s="41">
        <f t="shared" si="2"/>
        <v>0</v>
      </c>
      <c r="H11" s="38">
        <f t="shared" ref="H11:H16" si="6">(F11*3/2)+(G11*2/1)</f>
        <v>0</v>
      </c>
      <c r="I11" s="38">
        <f t="shared" ref="I11:I16" si="7">E11+H11</f>
        <v>7.5</v>
      </c>
      <c r="J11" s="9">
        <v>700</v>
      </c>
      <c r="K11" s="9">
        <v>1500</v>
      </c>
      <c r="L11" s="46">
        <f t="shared" ref="L11:L16" si="8">IF(((TEXT(K11,"00\:00")-TEXT(J11,"00\:00"))*24)&lt;=5,((TEXT(K11,"00\:00")-TEXT(J11,"00\:00"))*24),(((TEXT(K11,"00\:00")-TEXT(J11,"00\:00")+(J11&gt;K11))-30/1440)*24))</f>
        <v>7.5</v>
      </c>
    </row>
    <row r="12" spans="1:22" x14ac:dyDescent="0.25">
      <c r="A12" s="44" t="str">
        <f>TEXT(B12,"dddd")</f>
        <v>Wednesday</v>
      </c>
      <c r="B12" s="10">
        <v>45154</v>
      </c>
      <c r="C12" s="40">
        <f t="shared" si="4"/>
        <v>9</v>
      </c>
      <c r="D12" s="40">
        <f t="shared" si="0"/>
        <v>1.5</v>
      </c>
      <c r="E12" s="41">
        <f t="shared" si="5"/>
        <v>7.5</v>
      </c>
      <c r="F12" s="41">
        <f t="shared" si="1"/>
        <v>1.5</v>
      </c>
      <c r="G12" s="41">
        <f t="shared" si="2"/>
        <v>0</v>
      </c>
      <c r="H12" s="38">
        <f t="shared" si="6"/>
        <v>2.25</v>
      </c>
      <c r="I12" s="38">
        <f t="shared" si="7"/>
        <v>9.75</v>
      </c>
      <c r="J12" s="9">
        <v>700</v>
      </c>
      <c r="K12" s="9">
        <v>1630</v>
      </c>
      <c r="L12" s="46">
        <f t="shared" si="8"/>
        <v>9</v>
      </c>
    </row>
    <row r="13" spans="1:22" x14ac:dyDescent="0.25">
      <c r="A13" s="44" t="str">
        <f t="shared" si="3"/>
        <v>Thursday</v>
      </c>
      <c r="B13" s="10">
        <v>45155</v>
      </c>
      <c r="C13" s="40">
        <f t="shared" si="4"/>
        <v>10.5</v>
      </c>
      <c r="D13" s="40">
        <f t="shared" si="0"/>
        <v>3</v>
      </c>
      <c r="E13" s="41">
        <f t="shared" si="5"/>
        <v>7.5</v>
      </c>
      <c r="F13" s="41">
        <f t="shared" si="1"/>
        <v>3</v>
      </c>
      <c r="G13" s="41">
        <f t="shared" si="2"/>
        <v>0</v>
      </c>
      <c r="H13" s="38">
        <f t="shared" si="6"/>
        <v>4.5</v>
      </c>
      <c r="I13" s="38">
        <f t="shared" si="7"/>
        <v>12</v>
      </c>
      <c r="J13" s="9">
        <v>700</v>
      </c>
      <c r="K13" s="9">
        <v>1800</v>
      </c>
      <c r="L13" s="46">
        <f t="shared" si="8"/>
        <v>10.5</v>
      </c>
    </row>
    <row r="14" spans="1:22" x14ac:dyDescent="0.25">
      <c r="A14" s="44" t="str">
        <f t="shared" si="3"/>
        <v>Friday</v>
      </c>
      <c r="B14" s="10">
        <v>45156</v>
      </c>
      <c r="C14" s="40">
        <f t="shared" si="4"/>
        <v>11</v>
      </c>
      <c r="D14" s="40">
        <f t="shared" si="0"/>
        <v>3.5</v>
      </c>
      <c r="E14" s="41">
        <f t="shared" si="5"/>
        <v>7.5</v>
      </c>
      <c r="F14" s="41">
        <f t="shared" si="1"/>
        <v>3</v>
      </c>
      <c r="G14" s="41">
        <f t="shared" si="2"/>
        <v>0.5</v>
      </c>
      <c r="H14" s="38">
        <f t="shared" si="6"/>
        <v>5.5</v>
      </c>
      <c r="I14" s="38">
        <f t="shared" si="7"/>
        <v>13</v>
      </c>
      <c r="J14" s="9">
        <v>700</v>
      </c>
      <c r="K14" s="9">
        <v>1830</v>
      </c>
      <c r="L14" s="46">
        <f t="shared" si="8"/>
        <v>11</v>
      </c>
    </row>
    <row r="15" spans="1:22" x14ac:dyDescent="0.25">
      <c r="A15" s="45" t="str">
        <f t="shared" si="3"/>
        <v>Saturday</v>
      </c>
      <c r="B15" s="36">
        <v>45157</v>
      </c>
      <c r="C15" s="42">
        <f t="shared" si="4"/>
        <v>7.5</v>
      </c>
      <c r="D15" s="42">
        <f>IF(AND(OR(A15="Monday",A15="Tuesday",A15="Wednesday",A15="Thursday",A15="Friday"),C15&lt;=7.5),0,IF(AND(OR(A15="Monday",A15="Tuesday",A15="Wednesday",A15="Thursday",A15="Friday"),C15&gt;=7.5),C15-7.5,C15))</f>
        <v>7.5</v>
      </c>
      <c r="E15" s="43">
        <f t="shared" si="5"/>
        <v>0</v>
      </c>
      <c r="F15" s="43">
        <f t="shared" si="1"/>
        <v>3</v>
      </c>
      <c r="G15" s="43">
        <f t="shared" si="2"/>
        <v>4.5</v>
      </c>
      <c r="H15" s="39">
        <f t="shared" si="6"/>
        <v>13.5</v>
      </c>
      <c r="I15" s="39">
        <f t="shared" si="7"/>
        <v>13.5</v>
      </c>
      <c r="J15" s="37">
        <v>700</v>
      </c>
      <c r="K15" s="37">
        <v>1500</v>
      </c>
      <c r="L15" s="47">
        <f t="shared" si="8"/>
        <v>7.5</v>
      </c>
    </row>
    <row r="16" spans="1:22" x14ac:dyDescent="0.25">
      <c r="A16" s="52" t="str">
        <f t="shared" si="3"/>
        <v>Sunday</v>
      </c>
      <c r="B16" s="53">
        <v>45158</v>
      </c>
      <c r="C16" s="54">
        <f t="shared" si="4"/>
        <v>5</v>
      </c>
      <c r="D16" s="54">
        <f>IF(AND(OR(A16="Monday",A16="Tuesday",A16="Wednesday",A16="Thursday",A16="Friday"),C16&lt;=7.5),0,IF(AND(OR(A16="Monday",A16="Tuesday",A16="Wednesday",A16="Thursday",A16="Friday"),C16&gt;=7.5),C16-7.5,C16))</f>
        <v>5</v>
      </c>
      <c r="E16" s="55">
        <f t="shared" si="5"/>
        <v>0</v>
      </c>
      <c r="F16" s="55">
        <f>IF(AND(OR(A16="Monday",A16="Tuesday",A16="Wednesday",A16="Thursday",A16="Friday"),D16&gt;3),3,IF(AND(OR(A16="Monday",A16="Tuesday",A16="Wednesday",A16="Thursday",A16="Friday"),D16&lt;=3),D16,IF(AND(A16="Saturday",D16&gt;=3),3,IF(AND(A16="Saturday",D16&lt;3),D16,))))</f>
        <v>0</v>
      </c>
      <c r="G16" s="55">
        <f>IF(AND(OR(A16="Monday",A16="Tuesday",A16="Wednesday",A16="Thursday",A16="Friday"),D16&gt;3),D16-3,IF(AND(A16="Saturday",D16&gt;3),D16-3,IF(A16="Sunday",D16,)))</f>
        <v>5</v>
      </c>
      <c r="H16" s="56">
        <f t="shared" si="6"/>
        <v>10</v>
      </c>
      <c r="I16" s="56">
        <f t="shared" si="7"/>
        <v>10</v>
      </c>
      <c r="J16" s="57">
        <v>700</v>
      </c>
      <c r="K16" s="57">
        <v>1200</v>
      </c>
      <c r="L16" s="58">
        <f t="shared" si="8"/>
        <v>5</v>
      </c>
    </row>
    <row r="17" spans="1:12" x14ac:dyDescent="0.25">
      <c r="A17" s="59" t="s">
        <v>35</v>
      </c>
      <c r="B17" s="60"/>
      <c r="C17" s="62">
        <f>SUBTOTAL(109,Table1[[Total Hrs ]])</f>
        <v>58</v>
      </c>
      <c r="D17" s="62">
        <f>SUBTOTAL(109,Table1[Overtime (Hrs)])</f>
        <v>20.5</v>
      </c>
      <c r="E17" s="63">
        <f>SUBTOTAL(109,Table1[1.0 x])</f>
        <v>37.5</v>
      </c>
      <c r="F17" s="63">
        <f>SUBTOTAL(109,Table1[1.5 x])</f>
        <v>10.5</v>
      </c>
      <c r="G17" s="63">
        <f>SUBTOTAL(109,Table1[2.0 x])</f>
        <v>10</v>
      </c>
      <c r="H17" s="64">
        <f>SUBTOTAL(109,Table1[Flex accrued])</f>
        <v>35.75</v>
      </c>
      <c r="I17" s="64">
        <f>SUBTOTAL(109,Table1[Total Hrs for Web Kiosk])</f>
        <v>73.25</v>
      </c>
      <c r="J17" s="60"/>
      <c r="K17" s="60"/>
      <c r="L17" s="61">
        <f>SUBTOTAL(109,Table1[Hrs])</f>
        <v>58</v>
      </c>
    </row>
    <row r="18" spans="1:12" x14ac:dyDescent="0.25">
      <c r="C18" s="15"/>
      <c r="D18" s="15"/>
      <c r="E18" s="16"/>
      <c r="F18" s="16"/>
      <c r="G18" s="16"/>
      <c r="H18" s="17"/>
    </row>
    <row r="20" spans="1:12" x14ac:dyDescent="0.25">
      <c r="C20" s="32" t="s">
        <v>19</v>
      </c>
      <c r="D20" s="32"/>
      <c r="E20" s="32"/>
      <c r="F20" s="18"/>
      <c r="G20" s="19" t="s">
        <v>31</v>
      </c>
    </row>
    <row r="21" spans="1:12" x14ac:dyDescent="0.25">
      <c r="C21" s="3" t="s">
        <v>7</v>
      </c>
      <c r="D21" s="3" t="s">
        <v>10</v>
      </c>
      <c r="E21" s="3" t="s">
        <v>22</v>
      </c>
      <c r="F21" s="18"/>
      <c r="G21" s="20" t="s">
        <v>32</v>
      </c>
    </row>
    <row r="22" spans="1:12" x14ac:dyDescent="0.25">
      <c r="B22" s="1" t="s">
        <v>8</v>
      </c>
      <c r="C22" s="4">
        <f>D22/75</f>
        <v>52.560327198364014</v>
      </c>
      <c r="D22" s="4">
        <f>E22/26.08</f>
        <v>3942.0245398773009</v>
      </c>
      <c r="E22" s="4">
        <v>102808</v>
      </c>
      <c r="F22" s="21"/>
      <c r="G22" s="25"/>
      <c r="H22" s="26"/>
      <c r="I22" s="26"/>
    </row>
    <row r="23" spans="1:12" x14ac:dyDescent="0.25">
      <c r="B23" s="1" t="s">
        <v>20</v>
      </c>
      <c r="C23" s="4">
        <f t="shared" ref="C23:C29" si="9">D23/75</f>
        <v>54.138036809815958</v>
      </c>
      <c r="D23" s="4">
        <f t="shared" ref="D23:D29" si="10">E23/26.08</f>
        <v>4060.3527607361966</v>
      </c>
      <c r="E23" s="4">
        <v>105894</v>
      </c>
      <c r="F23" s="21"/>
      <c r="G23" s="25"/>
      <c r="H23" s="26"/>
      <c r="I23" s="26"/>
    </row>
    <row r="24" spans="1:12" x14ac:dyDescent="0.25">
      <c r="B24" s="1" t="s">
        <v>21</v>
      </c>
      <c r="C24" s="4">
        <f t="shared" si="9"/>
        <v>55.804703476482622</v>
      </c>
      <c r="D24" s="4">
        <f t="shared" si="10"/>
        <v>4185.3527607361966</v>
      </c>
      <c r="E24" s="4">
        <v>109154</v>
      </c>
      <c r="F24" s="21"/>
      <c r="G24" s="27"/>
      <c r="H24" s="26"/>
      <c r="I24" s="26"/>
    </row>
    <row r="25" spans="1:12" x14ac:dyDescent="0.25">
      <c r="B25" s="1" t="s">
        <v>9</v>
      </c>
      <c r="C25" s="4">
        <f t="shared" si="9"/>
        <v>57.589468302658481</v>
      </c>
      <c r="D25" s="4">
        <f t="shared" si="10"/>
        <v>4319.2101226993864</v>
      </c>
      <c r="E25" s="4">
        <v>112645</v>
      </c>
      <c r="F25" s="21"/>
      <c r="G25" s="27"/>
      <c r="H25" s="26"/>
      <c r="I25" s="26"/>
    </row>
    <row r="26" spans="1:12" x14ac:dyDescent="0.25">
      <c r="B26" s="1" t="s">
        <v>23</v>
      </c>
      <c r="C26" s="4">
        <f t="shared" si="9"/>
        <v>60.493353783231093</v>
      </c>
      <c r="D26" s="4">
        <f t="shared" si="10"/>
        <v>4537.001533742332</v>
      </c>
      <c r="E26" s="5">
        <v>118325</v>
      </c>
      <c r="G26" s="28"/>
      <c r="H26" s="26"/>
      <c r="I26" s="26"/>
    </row>
    <row r="27" spans="1:12" x14ac:dyDescent="0.25">
      <c r="B27" s="1" t="s">
        <v>24</v>
      </c>
      <c r="C27" s="4">
        <f t="shared" si="9"/>
        <v>62.469325153374243</v>
      </c>
      <c r="D27" s="4">
        <f t="shared" si="10"/>
        <v>4685.1993865030681</v>
      </c>
      <c r="E27" s="4">
        <v>122190</v>
      </c>
      <c r="F27" s="18"/>
      <c r="G27" s="29"/>
      <c r="H27" s="28"/>
      <c r="I27" s="26"/>
      <c r="J27" s="35"/>
    </row>
    <row r="28" spans="1:12" x14ac:dyDescent="0.25">
      <c r="B28" s="1" t="s">
        <v>25</v>
      </c>
      <c r="C28" s="4">
        <f t="shared" si="9"/>
        <v>64.512781186094074</v>
      </c>
      <c r="D28" s="4">
        <f t="shared" si="10"/>
        <v>4838.4585889570553</v>
      </c>
      <c r="E28" s="4">
        <v>126187</v>
      </c>
      <c r="F28" s="18"/>
      <c r="G28" s="29"/>
      <c r="H28" s="26"/>
      <c r="I28" s="26"/>
    </row>
    <row r="29" spans="1:12" x14ac:dyDescent="0.25">
      <c r="B29" s="1" t="s">
        <v>33</v>
      </c>
      <c r="C29" s="4">
        <f t="shared" si="9"/>
        <v>66.696319018404907</v>
      </c>
      <c r="D29" s="4">
        <f t="shared" si="10"/>
        <v>5002.2239263803685</v>
      </c>
      <c r="E29" s="4">
        <v>130458</v>
      </c>
      <c r="F29" s="6"/>
      <c r="G29" s="30"/>
      <c r="H29" s="26"/>
      <c r="I29" s="26"/>
    </row>
    <row r="30" spans="1:12" x14ac:dyDescent="0.25">
      <c r="E30" s="6"/>
      <c r="F30" s="6"/>
      <c r="G30" s="30"/>
      <c r="H30" s="26"/>
      <c r="I30" s="26"/>
    </row>
    <row r="31" spans="1:12" x14ac:dyDescent="0.25">
      <c r="E31" s="6"/>
      <c r="F31" s="6"/>
      <c r="G31" s="26"/>
      <c r="H31" s="26"/>
      <c r="I31" s="26"/>
    </row>
    <row r="32" spans="1:12" x14ac:dyDescent="0.25">
      <c r="G32" s="26"/>
      <c r="H32" s="26"/>
      <c r="I32" s="26"/>
    </row>
    <row r="33" spans="2:9" x14ac:dyDescent="0.25">
      <c r="D33" s="33" t="s">
        <v>34</v>
      </c>
      <c r="E33" s="34"/>
      <c r="G33" s="26"/>
      <c r="H33" s="26"/>
      <c r="I33" s="26"/>
    </row>
    <row r="34" spans="2:9" x14ac:dyDescent="0.25">
      <c r="C34" s="2" t="s">
        <v>6</v>
      </c>
      <c r="D34" s="23" t="s">
        <v>8</v>
      </c>
      <c r="E34" s="23" t="s">
        <v>9</v>
      </c>
    </row>
    <row r="35" spans="2:9" x14ac:dyDescent="0.25">
      <c r="B35" s="1" t="s">
        <v>27</v>
      </c>
      <c r="C35" s="65">
        <f>Table1[[#Totals],[1.0 x]]</f>
        <v>37.5</v>
      </c>
      <c r="D35" s="7">
        <f>IF($D$34=$B$22,$C$35*$C$22,IF($D$34=$B$23,$C$35*$C$23,IF($D$34=$B$24,$C$35*$C$24,IF($D$34=$B$25,$C$35*$C$25,IF($D$34=$B$26,$C$35*$C$26,IF($D$34=$B$27,$C$35*$C$27,IF($D$34=$B$28,$C$35*$C$28,IF($D$34=$B$29,$C$35*$C$29,))))))))</f>
        <v>1971.0122699386504</v>
      </c>
      <c r="E35" s="7">
        <f>IF($E$34=$B$22,$C$35*$C$22,IF($E$34=$B$23,$C$35*$C$23,IF($E$34=$B$24,$C$35*$C$24,IF($E$34=$B$25,$C$35*$C$25,IF($E$34=$B$26,$C$35*$C$26,IF($E$34=$B$27,$C$35*$C$27,IF($E$34=$B$28,$C$35*$C$28,IF($E$34=$B$29,$C$35*$C$29,))))))))</f>
        <v>2159.6050613496932</v>
      </c>
      <c r="G35" s="22"/>
    </row>
    <row r="36" spans="2:9" x14ac:dyDescent="0.25">
      <c r="B36" s="1" t="s">
        <v>28</v>
      </c>
      <c r="C36" s="66">
        <f>Table1[[#Totals],[1.5 x]]</f>
        <v>10.5</v>
      </c>
      <c r="D36" s="7">
        <f>IF($D$34=$B$22,$C$36*($C$22*3/2),IF($D$34=$B$23,$C$36*($C$23*3/2),IF($D$34=$B$24,$C$36*($C$24*3/2),IF($D$34=$B$25,$C$36*($C$25*3/2),IF($D$34=$B$26,$C$36*($C$26*3/2),IF($D$34=$B$27,$C$36*($C$27*3/2),IF($D$34=$B$28,$C$36*($C$28*3/2),IF($D$34=$B$29,$C$36*($C$29*3/2),))))))))</f>
        <v>827.82515337423331</v>
      </c>
      <c r="E36" s="7">
        <f>IF($E$34=$B$22,$C$36*($C$22*3/2),IF($E$34=$B$23,$C$36*($C$23*3/2),IF($E$34=$B$24,$C$36*($C$24*3/2),IF($E$34=$B$25,$C$36*($C$25*3/2),IF($E$34=$B$26,$C$36*($C$26*3/2),IF($E$34=$B$27,$C$36*($C$27*3/2),IF($E$34=$B$28,$C$36*($C$28*3/2),IF($E$34=$B$29,$C$36*($C$29*3/2),))))))))</f>
        <v>907.03412576687117</v>
      </c>
    </row>
    <row r="37" spans="2:9" x14ac:dyDescent="0.25">
      <c r="B37" s="1" t="s">
        <v>29</v>
      </c>
      <c r="C37" s="66">
        <f>Table1[[#Totals],[2.0 x]]</f>
        <v>10</v>
      </c>
      <c r="D37" s="7">
        <f>IF($D$34=$B$22,$C$37*($C$22*2/1),IF($D$34=$B$23,$C$37*($C$23*2/1),IF($D$34=$B$24,$C$37*($C$24*2/1),IF($D$34=$B$25,$C$37*($C$25*2/1),IF($D$34=$B$26,$C$37*($C$26*2/1),IF($D$34=$B$27,$C$37*($C$27*2/1),IF($D$34=$B$28,$C$37*($C$28*2/1),IF($D$34=$B$29,$C$37*($C$29*2/1),))))))))</f>
        <v>1051.2065439672804</v>
      </c>
      <c r="E37" s="7">
        <f>IF($E$34=$B$22,$C$37*($C$22*2/1),IF($E$34=$B$23,$C$37*($C$23*2/1),IF($E$34=$B$24,$C$37*($C$24*2/1),IF($E$34=$B$25,$C$37*($C$25*2/1),IF($E$34=$B$26,$C$37*($C$26*2/1),IF($E$34=$B$27,$C$37*($C$27*2/1),IF($E$34=$B$28,$C$37*($C$28*2/1),IF($E$34=$B$29,$C$37*($C$29*2/1),))))))))</f>
        <v>1151.7893660531697</v>
      </c>
    </row>
    <row r="38" spans="2:9" ht="15.75" thickBot="1" x14ac:dyDescent="0.3">
      <c r="B38" s="1" t="s">
        <v>26</v>
      </c>
      <c r="C38" s="67">
        <f>Table1[[#Totals],[Flex accrued]]</f>
        <v>35.75</v>
      </c>
      <c r="D38" s="7">
        <f>IF($D$34=$B$22,$C$38*$C$22,IF($D$34=$B$23,$C$38*$C$23,IF($D$34=$B$24,$C$38*$C$24,IF($D$34=$B$25,$C$38*$C$25,IF($D$34=$B$26,$C$38*$C$26,IF($D$34=$B$27,$C$38*$C$27,IF($D$34=$B$28,$C$38*$C$28,IF($D$34=$B$29,$C$38*$C$29,))))))))</f>
        <v>1879.0316973415136</v>
      </c>
      <c r="E38" s="7">
        <f>IF($E$34=$B$22,$C$38*$C$22,IF($E$34=$B$23,$C$38*$C$23,IF($E$34=$B$24,$C$38*$C$24,IF($E$34=$B$25,$C$38*$C$25,IF($E$34=$B$26,$C$38*$C$26,IF($E$34=$B$27,$C$38*$C$27,IF($E$34=$B$28,$C$38*$C$28,IF($E$34=$B$29,$C$38*$C$29,))))))))</f>
        <v>2058.8234918200405</v>
      </c>
      <c r="F38" s="14"/>
    </row>
    <row r="39" spans="2:9" ht="16.5" thickTop="1" thickBot="1" x14ac:dyDescent="0.3">
      <c r="B39" s="1" t="s">
        <v>12</v>
      </c>
      <c r="C39" s="68">
        <f>Table1[[#Totals],[Total Hrs for Web Kiosk]]</f>
        <v>73.25</v>
      </c>
      <c r="D39" s="8">
        <f>IF($D$34=$B$22,$C$39*$C$22,IF($D$34=$B$23,$C$39*$C$23,IF($D$34=$B$24,$C$39*$C$24,IF($D$34=$B$25,$C$39*$C$25,IF($D$34=$B$26,$C$39*$C$26,IF($D$34=$B$27,$C$39*$C$27,IF($D$34=$B$28,$C$39*$C$28,IF($D$34=$B$29,$C$39*$C$29,))))))))</f>
        <v>3850.043967280164</v>
      </c>
      <c r="E39" s="8">
        <f>IF($E$34=$B$22,$C$39*$C$22,IF($E$34=$B$23,$C$39*$C$23,IF($E$34=$B$24,$C$39*$C$24,IF($E$34=$B$25,$C$39*$C$25,IF($E$34=$B$26,$C$39*$C$26,IF($E$34=$B$27,$C$39*$C$27,IF($E$34=$B$28,$C$39*$C$28,IF($E$34=$B$29,$C$39*$C$29,))))))))</f>
        <v>4218.4285531697342</v>
      </c>
    </row>
    <row r="40" spans="2:9" ht="15.75" thickTop="1" x14ac:dyDescent="0.25"/>
  </sheetData>
  <sheetProtection selectLockedCells="1"/>
  <mergeCells count="2">
    <mergeCell ref="C20:E20"/>
    <mergeCell ref="D33:E33"/>
  </mergeCells>
  <phoneticPr fontId="4" type="noConversion"/>
  <dataValidations count="1">
    <dataValidation type="list" allowBlank="1" showInputMessage="1" showErrorMessage="1" sqref="D34:E34" xr:uid="{3756CCE5-0C2D-4342-BA7C-53D06C3E1DC9}">
      <formula1>$B$22:$B$29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FC565F5E-3EBD-45CC-AB16-ABB7D1B89247}">
          <xm:f>'Flexi - Overtime'!#REF!</xm:f>
        </x15:webExtension>
      </x15:webExtens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C605D214FFE94CBDBF0BAAED7B12B9" ma:contentTypeVersion="5" ma:contentTypeDescription="Create a new document." ma:contentTypeScope="" ma:versionID="d348d80587a301a25e8a019050831a85">
  <xsd:schema xmlns:xsd="http://www.w3.org/2001/XMLSchema" xmlns:xs="http://www.w3.org/2001/XMLSchema" xmlns:p="http://schemas.microsoft.com/office/2006/metadata/properties" xmlns:ns2="13a2edb4-f0b5-45f8-b88f-cfd7fb28aaae" xmlns:ns3="e918e316-8ebf-402b-8dc9-510f44632d57" targetNamespace="http://schemas.microsoft.com/office/2006/metadata/properties" ma:root="true" ma:fieldsID="a293ab67f0f0012522ed8080e1e2e875" ns2:_="" ns3:_="">
    <xsd:import namespace="13a2edb4-f0b5-45f8-b88f-cfd7fb28aaae"/>
    <xsd:import namespace="e918e316-8ebf-402b-8dc9-510f44632d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a2edb4-f0b5-45f8-b88f-cfd7fb28aa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8e316-8ebf-402b-8dc9-510f44632d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4D193E6-2E7B-46E7-A919-B83BBF79B30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8EBD0F6-8902-49CE-A9E9-5D5FCE7F24F9}"/>
</file>

<file path=customXml/itemProps3.xml><?xml version="1.0" encoding="utf-8"?>
<ds:datastoreItem xmlns:ds="http://schemas.openxmlformats.org/officeDocument/2006/customXml" ds:itemID="{57E2BF53-DC7C-4748-B219-D07F929F6E53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3a2edb4-f0b5-45f8-b88f-cfd7fb28aaa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Flexi - Overtime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Flexi and Overtime Calculator Template</dc:title>
  <dc:subject/>
  <dc:creator>Brendon Hellmund</dc:creator>
  <cp:keywords/>
  <dc:description/>
  <cp:lastModifiedBy>Brendon</cp:lastModifiedBy>
  <cp:revision/>
  <dcterms:created xsi:type="dcterms:W3CDTF">2019-07-31T00:42:27Z</dcterms:created>
  <dcterms:modified xsi:type="dcterms:W3CDTF">2023-08-18T11:05:37Z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0x010100A7C605D214FFE94CBDBF0BAAED7B12B9</vt:lpwstr>
  </property>
  <property fmtid="{D5CDD505-2E9C-101B-9397-08002B2CF9AE}" pid="3" name="_NewReviewCycle">
    <vt:lpwstr/>
  </property>
</Properties>
</file>