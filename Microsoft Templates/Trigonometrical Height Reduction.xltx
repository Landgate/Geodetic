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029"/>
  <workbookPr defaultThemeVersion="166925"/>
  <mc:AlternateContent xmlns:mc="http://schemas.openxmlformats.org/markup-compatibility/2006">
    <mc:Choice Requires="x15">
      <x15ac:absPath xmlns:x15ac="http://schemas.microsoft.com/office/spreadsheetml/2010/11/ac" url="\\dli\public\Business Unit\Operations\Registrations\CadastralSubdivisions\Geodetic\AssetsPCsAndSoftware\Software\PC Re-build\Microsoft Templates\Templates\"/>
    </mc:Choice>
  </mc:AlternateContent>
  <xr:revisionPtr revIDLastSave="0" documentId="8_{D5AAE050-A459-4430-AD9E-4AE014E75A54}" xr6:coauthVersionLast="28" xr6:coauthVersionMax="28" xr10:uidLastSave="{00000000-0000-0000-0000-000000000000}"/>
  <bookViews>
    <workbookView xWindow="120" yWindow="0" windowWidth="13950" windowHeight="9090"/>
  </bookViews>
  <sheets>
    <sheet name="VAHeightRed7" sheetId="1" r:id="rId1"/>
  </sheets>
  <calcPr calcId="171027"/>
</workbook>
</file>

<file path=xl/calcChain.xml><?xml version="1.0" encoding="utf-8"?>
<calcChain xmlns="http://schemas.openxmlformats.org/spreadsheetml/2006/main">
  <c r="L6" i="1" l="1"/>
  <c r="K6" i="1"/>
  <c r="I6" i="1"/>
  <c r="J6" i="1"/>
</calcChain>
</file>

<file path=xl/sharedStrings.xml><?xml version="1.0" encoding="utf-8"?>
<sst xmlns="http://schemas.openxmlformats.org/spreadsheetml/2006/main" count="17" uniqueCount="17">
  <si>
    <t>AT</t>
  </si>
  <si>
    <t>TO</t>
  </si>
  <si>
    <t>HI</t>
  </si>
  <si>
    <t>HT</t>
  </si>
  <si>
    <t>Vertical Angle</t>
  </si>
  <si>
    <t>Slope Distance</t>
  </si>
  <si>
    <t>C+R</t>
  </si>
  <si>
    <t>Diff Height</t>
  </si>
  <si>
    <t>D</t>
  </si>
  <si>
    <t>M</t>
  </si>
  <si>
    <t>S</t>
  </si>
  <si>
    <t>m</t>
  </si>
  <si>
    <t xml:space="preserve">SURVEYOR </t>
  </si>
  <si>
    <t xml:space="preserve">Date of Survey  February 1986                 </t>
  </si>
  <si>
    <t>CRI 113</t>
  </si>
  <si>
    <t>STN 1501</t>
  </si>
  <si>
    <t xml:space="preserve">Fieldbook GS 26/92/2 FB 11415 Page 21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</si>
</sst>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2" formatCode="0.000"/>
    <numFmt numFmtId="173" formatCode="0.000000"/>
  </numFmts>
  <fonts count="4" x14ac:knownFonts="1">
    <font>
      <sz val="10"/>
      <name val="Arial"/>
    </font>
    <font>
      <b/>
      <sz val="9"/>
      <name val="Times New Roman"/>
      <family val="1"/>
    </font>
    <font>
      <b/>
      <sz val="10"/>
      <name val="Times New Roman"/>
    </font>
    <font>
      <b/>
      <sz val="10"/>
      <name val="Times New Roman"/>
      <family val="1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NumberFormat="1"/>
    <xf numFmtId="2" fontId="0" fillId="0" borderId="0" xfId="0" applyNumberFormat="1"/>
    <xf numFmtId="2" fontId="0" fillId="0" borderId="1" xfId="0" applyNumberFormat="1" applyBorder="1"/>
    <xf numFmtId="172" fontId="0" fillId="0" borderId="0" xfId="0" applyNumberFormat="1"/>
    <xf numFmtId="173" fontId="0" fillId="0" borderId="0" xfId="0" applyNumberFormat="1"/>
    <xf numFmtId="173" fontId="0" fillId="0" borderId="1" xfId="0" applyNumberForma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3" xfId="0" applyNumberFormat="1" applyBorder="1"/>
    <xf numFmtId="2" fontId="0" fillId="0" borderId="4" xfId="0" applyNumberFormat="1" applyBorder="1"/>
    <xf numFmtId="0" fontId="0" fillId="0" borderId="4" xfId="0" applyBorder="1"/>
    <xf numFmtId="0" fontId="0" fillId="0" borderId="5" xfId="0" applyBorder="1"/>
    <xf numFmtId="172" fontId="0" fillId="0" borderId="5" xfId="0" applyNumberFormat="1" applyBorder="1"/>
    <xf numFmtId="173" fontId="0" fillId="0" borderId="4" xfId="0" applyNumberFormat="1" applyBorder="1"/>
    <xf numFmtId="173" fontId="0" fillId="0" borderId="5" xfId="0" applyNumberFormat="1" applyBorder="1"/>
    <xf numFmtId="172" fontId="0" fillId="0" borderId="1" xfId="0" applyNumberFormat="1" applyBorder="1" applyAlignment="1">
      <alignment horizontal="right"/>
    </xf>
    <xf numFmtId="0" fontId="0" fillId="0" borderId="6" xfId="0" applyNumberFormat="1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1" xfId="0" applyBorder="1" applyAlignment="1">
      <alignment horizontal="right"/>
    </xf>
    <xf numFmtId="0" fontId="1" fillId="0" borderId="0" xfId="0" applyFont="1" applyBorder="1" applyAlignment="1">
      <alignment horizontal="left"/>
    </xf>
    <xf numFmtId="0" fontId="2" fillId="0" borderId="0" xfId="0" applyFont="1" applyBorder="1" applyAlignment="1"/>
    <xf numFmtId="0" fontId="3" fillId="0" borderId="0" xfId="0" applyFont="1" applyBorder="1" applyAlignment="1"/>
    <xf numFmtId="0" fontId="0" fillId="0" borderId="7" xfId="0" applyFill="1" applyBorder="1"/>
    <xf numFmtId="0" fontId="0" fillId="0" borderId="8" xfId="0" applyFill="1" applyBorder="1"/>
    <xf numFmtId="172" fontId="0" fillId="0" borderId="8" xfId="0" applyNumberFormat="1" applyFill="1" applyBorder="1"/>
    <xf numFmtId="0" fontId="0" fillId="0" borderId="8" xfId="0" applyNumberFormat="1" applyFill="1" applyBorder="1"/>
    <xf numFmtId="173" fontId="0" fillId="0" borderId="9" xfId="0" applyNumberFormat="1" applyFill="1" applyBorder="1"/>
    <xf numFmtId="2" fontId="0" fillId="0" borderId="10" xfId="0" applyNumberFormat="1" applyFill="1" applyBorder="1"/>
    <xf numFmtId="0" fontId="0" fillId="0" borderId="0" xfId="0" applyFill="1"/>
    <xf numFmtId="0" fontId="0" fillId="0" borderId="11" xfId="0" applyFill="1" applyBorder="1"/>
    <xf numFmtId="0" fontId="0" fillId="0" borderId="12" xfId="0" applyFill="1" applyBorder="1"/>
    <xf numFmtId="172" fontId="0" fillId="0" borderId="12" xfId="0" applyNumberFormat="1" applyFill="1" applyBorder="1"/>
    <xf numFmtId="0" fontId="0" fillId="0" borderId="12" xfId="0" applyNumberFormat="1" applyFill="1" applyBorder="1"/>
    <xf numFmtId="173" fontId="0" fillId="0" borderId="12" xfId="0" applyNumberFormat="1" applyFill="1" applyBorder="1"/>
    <xf numFmtId="2" fontId="0" fillId="0" borderId="13" xfId="0" applyNumberFormat="1" applyFill="1" applyBorder="1"/>
    <xf numFmtId="2" fontId="0" fillId="0" borderId="0" xfId="0" applyNumberFormat="1" applyFill="1"/>
    <xf numFmtId="0" fontId="0" fillId="0" borderId="14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"/>
  <sheetViews>
    <sheetView tabSelected="1" workbookViewId="0">
      <selection activeCell="L7" sqref="L7"/>
    </sheetView>
  </sheetViews>
  <sheetFormatPr defaultRowHeight="12.75" x14ac:dyDescent="0.2"/>
  <cols>
    <col min="1" max="2" width="14.7109375" customWidth="1"/>
    <col min="5" max="5" width="13.42578125" style="4" customWidth="1"/>
    <col min="6" max="6" width="4.5703125" style="1" customWidth="1"/>
    <col min="7" max="7" width="4" customWidth="1"/>
    <col min="8" max="8" width="4.5703125" customWidth="1"/>
    <col min="9" max="9" width="11" style="5" customWidth="1"/>
    <col min="10" max="10" width="10.7109375" style="5" customWidth="1"/>
    <col min="11" max="11" width="9.140625" style="5" customWidth="1"/>
    <col min="12" max="12" width="9.140625" style="2" customWidth="1"/>
  </cols>
  <sheetData>
    <row r="1" spans="1:13" x14ac:dyDescent="0.2">
      <c r="A1" s="21"/>
    </row>
    <row r="2" spans="1:13" x14ac:dyDescent="0.2">
      <c r="A2" s="22" t="s">
        <v>12</v>
      </c>
      <c r="D2" s="23" t="s">
        <v>16</v>
      </c>
      <c r="I2" s="23" t="s">
        <v>13</v>
      </c>
    </row>
    <row r="4" spans="1:13" x14ac:dyDescent="0.2">
      <c r="A4" s="13" t="s">
        <v>0</v>
      </c>
      <c r="B4" s="13" t="s">
        <v>1</v>
      </c>
      <c r="C4" s="13" t="s">
        <v>2</v>
      </c>
      <c r="D4" s="13" t="s">
        <v>3</v>
      </c>
      <c r="E4" s="14" t="s">
        <v>5</v>
      </c>
      <c r="F4" s="10" t="s">
        <v>4</v>
      </c>
      <c r="G4" s="9"/>
      <c r="H4" s="12"/>
      <c r="I4" s="16"/>
      <c r="J4" s="15"/>
      <c r="K4" s="16" t="s">
        <v>6</v>
      </c>
      <c r="L4" s="11" t="s">
        <v>7</v>
      </c>
    </row>
    <row r="5" spans="1:13" x14ac:dyDescent="0.2">
      <c r="A5" s="8"/>
      <c r="B5" s="7"/>
      <c r="C5" s="7"/>
      <c r="D5" s="7"/>
      <c r="E5" s="17" t="s">
        <v>11</v>
      </c>
      <c r="F5" s="18" t="s">
        <v>8</v>
      </c>
      <c r="G5" s="19" t="s">
        <v>9</v>
      </c>
      <c r="H5" s="20" t="s">
        <v>10</v>
      </c>
      <c r="I5" s="6"/>
      <c r="J5" s="6"/>
      <c r="K5" s="6"/>
      <c r="L5" s="3"/>
    </row>
    <row r="6" spans="1:13" s="30" customFormat="1" x14ac:dyDescent="0.2">
      <c r="A6" s="24" t="s">
        <v>14</v>
      </c>
      <c r="B6" s="25" t="s">
        <v>15</v>
      </c>
      <c r="C6" s="25">
        <v>1.62</v>
      </c>
      <c r="D6" s="25">
        <v>1.5049999999999999</v>
      </c>
      <c r="E6" s="26">
        <v>3023.4470000000001</v>
      </c>
      <c r="F6" s="27">
        <v>90</v>
      </c>
      <c r="G6" s="25">
        <v>36</v>
      </c>
      <c r="H6" s="25">
        <v>55</v>
      </c>
      <c r="I6" s="28">
        <f>(((H6/60)+G6)/60)+F6</f>
        <v>90.615277777777777</v>
      </c>
      <c r="J6" s="28">
        <f>90-I6</f>
        <v>-0.61527777777777715</v>
      </c>
      <c r="K6" s="28">
        <f>((E6/1000)*13.8)/3600</f>
        <v>1.1589880166666667E-2</v>
      </c>
      <c r="L6" s="29">
        <f>((SIN((J6+K6)*PI()/180))*E6)+(C6-D6)</f>
        <v>-31.740480590699484</v>
      </c>
      <c r="M6" s="37"/>
    </row>
    <row r="7" spans="1:13" s="30" customFormat="1" x14ac:dyDescent="0.2">
      <c r="A7" s="24"/>
      <c r="B7" s="31"/>
      <c r="D7" s="25"/>
      <c r="E7" s="25"/>
      <c r="F7" s="27"/>
      <c r="G7" s="25"/>
      <c r="H7" s="25"/>
      <c r="I7" s="28"/>
      <c r="J7" s="28"/>
      <c r="K7" s="28"/>
      <c r="L7" s="29"/>
      <c r="M7" s="37"/>
    </row>
    <row r="8" spans="1:13" s="30" customFormat="1" x14ac:dyDescent="0.2">
      <c r="A8" s="24"/>
      <c r="B8" s="31"/>
      <c r="C8" s="25"/>
      <c r="D8" s="25"/>
      <c r="E8" s="26"/>
      <c r="F8" s="27"/>
      <c r="G8" s="25"/>
      <c r="H8" s="25"/>
      <c r="I8" s="28"/>
      <c r="J8" s="28"/>
      <c r="K8" s="28"/>
      <c r="L8" s="29"/>
      <c r="M8" s="37"/>
    </row>
    <row r="9" spans="1:13" s="30" customFormat="1" x14ac:dyDescent="0.2">
      <c r="A9" s="24"/>
      <c r="B9" s="31"/>
      <c r="C9" s="25"/>
      <c r="D9" s="25"/>
      <c r="E9" s="26"/>
      <c r="F9" s="27"/>
      <c r="G9" s="25"/>
      <c r="H9" s="25"/>
      <c r="I9" s="28"/>
      <c r="J9" s="28"/>
      <c r="K9" s="28"/>
      <c r="L9" s="29"/>
      <c r="M9" s="37"/>
    </row>
    <row r="10" spans="1:13" s="30" customFormat="1" x14ac:dyDescent="0.2">
      <c r="A10" s="38"/>
      <c r="B10" s="32"/>
      <c r="C10" s="32"/>
      <c r="D10" s="32"/>
      <c r="E10" s="33"/>
      <c r="F10" s="34"/>
      <c r="G10" s="32"/>
      <c r="H10" s="32"/>
      <c r="I10" s="35"/>
      <c r="J10" s="35"/>
      <c r="K10" s="35"/>
      <c r="L10" s="36"/>
      <c r="M10" s="37"/>
    </row>
  </sheetData>
  <printOptions horizontalCentered="1"/>
  <pageMargins left="0.75" right="0.75" top="1" bottom="1" header="0.5" footer="0.5"/>
  <pageSetup paperSize="9" orientation="landscape" r:id="rId1"/>
  <headerFooter alignWithMargins="0">
    <oddFooter>&amp;LAPPENDIX 1318&amp;CVAHeightRed1.xls
Page &amp;P&amp;R&amp;8Appendix 1318
22/06/2001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VAHeightRed7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Linda</dc:creator>
  <cp:lastModifiedBy>likdw00</cp:lastModifiedBy>
  <cp:lastPrinted>2000-03-02T03:39:19Z</cp:lastPrinted>
  <dcterms:created xsi:type="dcterms:W3CDTF">2000-02-16T00:42:26Z</dcterms:created>
  <dcterms:modified xsi:type="dcterms:W3CDTF">2018-12-05T07:00:45Z</dcterms:modified>
</cp:coreProperties>
</file>