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9219050A-74DA-41C2-A6AD-08219ADFCAED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externalReferences>
    <externalReference r:id="rId7"/>
  </externalReferences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4" i="16" l="1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H19" i="15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S22" i="16" a="1"/>
  <c r="S17" i="16" a="1"/>
  <c r="Y22" i="16" a="1"/>
  <c r="AA12" i="16" a="1"/>
  <c r="Z13" i="16" a="1"/>
  <c r="Y12" i="16" a="1"/>
  <c r="Y22" i="16" l="1"/>
  <c r="AA12" i="16"/>
  <c r="Z13" i="16"/>
  <c r="Y12" i="16"/>
  <c r="S22" i="16"/>
  <c r="S17" i="16"/>
  <c r="Q13" i="15"/>
  <c r="J12" i="15"/>
  <c r="M12" i="15" s="1"/>
  <c r="M15" i="15" s="1"/>
  <c r="X22" i="16"/>
  <c r="S23" i="16" a="1"/>
  <c r="S24" i="16" a="1"/>
  <c r="S18" i="16" a="1"/>
  <c r="S24" i="16" l="1"/>
  <c r="S23" i="16"/>
  <c r="S18" i="16"/>
  <c r="X23" i="16"/>
  <c r="X24" i="16"/>
  <c r="AA22" i="16" a="1"/>
  <c r="Y17" i="16" a="1"/>
  <c r="S19" i="16" a="1"/>
  <c r="Z23" i="16" a="1"/>
  <c r="AA22" i="16" l="1"/>
  <c r="Z23" i="16"/>
  <c r="Y17" i="16"/>
  <c r="S19" i="16"/>
  <c r="Z18" i="16" a="1"/>
  <c r="AA17" i="16" a="1"/>
  <c r="AA17" i="16" l="1"/>
  <c r="Z18" i="16"/>
  <c r="J14" i="14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<sst xmlns="http://schemas.openxmlformats.org/spreadsheetml/2006/main" count="255" uniqueCount="88">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</sst>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5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33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8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164" fontId="1" fillId="0" borderId="39" xfId="1" applyNumberFormat="1" applyBorder="1" applyAlignment="1">
      <alignment horizontal="center" vertical="center"/>
    </xf>
    <xf numFmtId="164" fontId="1" fillId="0" borderId="40" xfId="1" applyNumberFormat="1" applyBorder="1" applyAlignment="1">
      <alignment horizontal="center" vertical="center"/>
    </xf>
    <xf numFmtId="164" fontId="1" fillId="0" borderId="41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0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AssetsPCsAndSoftware\Software\Microsoft%20Templates\Geodetic-Calculations-v4.xlam" TargetMode="External"/><Relationship Id="rId1" Type="http://schemas.openxmlformats.org/officeDocument/2006/relationships/externalLinkPath" Target="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ndgate Project Grids"/>
      <sheetName val="MRWA Project Grids"/>
      <sheetName val="GRS80 Geographic Calculations"/>
      <sheetName val="7 Parameter Transformations"/>
    </sheetNames>
    <definedNames>
      <definedName name="hmsminus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AB21" sqref="AB21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2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mergeCells count="1">
    <mergeCell ref="Y10:AA10"/>
  </mergeCells>
  <phoneticPr fontId="0" type="noConversion"/>
  <conditionalFormatting sqref="J1:J1048576">
    <cfRule type="expression" dxfId="9" priority="2">
      <formula>ABS(W1)&gt;0.01</formula>
    </cfRule>
  </conditionalFormatting>
  <conditionalFormatting sqref="W1:W9 W11:W1048576">
    <cfRule type="expression" dxfId="8" priority="3">
      <formula>ABS(W1)&gt;0.01</formula>
    </cfRule>
  </conditionalFormatting>
  <conditionalFormatting sqref="X1:X9 X11:X1048576">
    <cfRule type="expression" dxfId="7" priority="4">
      <formula>ABS(W1)&gt;0.01</formula>
    </cfRule>
  </conditionalFormatting>
  <conditionalFormatting sqref="W10:Y10">
    <cfRule type="expression" dxfId="6" priority="1">
      <formula>ABS(W10)&gt;0.01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</row>
    <row r="10" spans="1:17" s="43" customFormat="1" ht="15.6" customHeight="1">
      <c r="A10" s="192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W40" sqref="W4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84"/>
      <c r="V11" s="184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196" cm="1">
        <f t="array" ref="Y12">Law_of_Cosine(T12,T13,[1]!hmsminus(U13,U12))</f>
        <v>6.7589957979182111</v>
      </c>
      <c r="AA12" s="200" cm="1">
        <f t="array" ref="AA12">Law_of_Cosine(T12,T14,[1]!hmsminus(U14,U12))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199"/>
      <c r="Z13" s="203" cm="1">
        <f t="array" ref="Z13">Law_of_Cosine(T13,T14,[1]!hmsminus(U14,U13))</f>
        <v>6.7398157942301298</v>
      </c>
      <c r="AA13" s="201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04"/>
      <c r="AA14" s="202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84"/>
      <c r="V15" s="184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83" t="s">
        <v>75</v>
      </c>
      <c r="S16" s="185" t="s">
        <v>74</v>
      </c>
      <c r="T16" s="170"/>
      <c r="V16" s="184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84" t="str" cm="1">
        <f t="array" ref="S17">hmsplus([1]!hmsminus(V17,V16),S16)</f>
        <v>54 34 51.48</v>
      </c>
      <c r="T17" s="170"/>
      <c r="V17" s="184" t="s">
        <v>71</v>
      </c>
      <c r="W17" s="170"/>
      <c r="X17" s="170"/>
      <c r="Y17" s="196" cm="1">
        <f t="array" ref="Y17">Law_of_Cosine(R17,R18,[1]!hmsminus(S18,S17))</f>
        <v>4.9219863715012799</v>
      </c>
      <c r="Z17" s="6"/>
      <c r="AA17" s="196" cm="1">
        <f t="array" ref="AA17">Law_of_Cosine(R17,R19,[1]!hmsminus(S19,S17))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84" t="str" cm="1">
        <f t="array" ref="S18">hmsplus([1]!hmsminus(V18,V17),S17)</f>
        <v>154 40 35.48</v>
      </c>
      <c r="T18" s="170"/>
      <c r="V18" s="184" t="s">
        <v>72</v>
      </c>
      <c r="W18" s="170"/>
      <c r="X18" s="170"/>
      <c r="Y18" s="197"/>
      <c r="Z18" s="196" cm="1">
        <f t="array" ref="Z18">Law_of_Cosine(R18,R19,[1]!hmsminus(S19,S18))</f>
        <v>6.7741522811244721</v>
      </c>
      <c r="AA18" s="198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84" t="str" cm="1">
        <f t="array" ref="S19">hmsplus([1]!hmsminus(V19,V18),S18)</f>
        <v>315 50 30.48</v>
      </c>
      <c r="T19" s="170"/>
      <c r="V19" s="184" t="s">
        <v>73</v>
      </c>
      <c r="W19" s="170"/>
      <c r="X19" s="170"/>
      <c r="Y19" s="6"/>
      <c r="Z19" s="197"/>
      <c r="AA19" s="197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84"/>
      <c r="V20" s="184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84"/>
      <c r="V21" s="184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86" t="str" cm="1">
        <f t="array" ref="S22">hmsplus(U22,"0 3 28.81")</f>
        <v>192 24 29.81</v>
      </c>
      <c r="T22" s="170">
        <v>4.1379999999999999</v>
      </c>
      <c r="U22" s="186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196" cm="1">
        <f t="array" ref="Y22">Law_of_Cosine(T22,T23,[1]!hmsminus(U23,U22))</f>
        <v>6.0777607575550254</v>
      </c>
      <c r="AA22" s="200" cm="1">
        <f t="array" ref="AA22">Law_of_Cosine(T22,R24,[1]!hmsminus(S24,U22))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86" t="str" cm="1">
        <f t="array" ref="S23">hmsplus(S22,V23)</f>
        <v>94 12 58.81</v>
      </c>
      <c r="T23" s="170">
        <v>3.9079999999999999</v>
      </c>
      <c r="U23" s="186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199"/>
      <c r="Z23" s="203" cm="1">
        <f t="array" ref="Z23">Law_of_Cosine(T23,R24,[1]!hmsminus(S24,U23))</f>
        <v>7.4671220003561753</v>
      </c>
      <c r="AA23" s="201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87">
        <v>3.8570000000000002</v>
      </c>
      <c r="U24" s="188" t="s">
        <v>80</v>
      </c>
      <c r="V24" s="129" t="s">
        <v>79</v>
      </c>
      <c r="W24" s="187">
        <f>R24-T24</f>
        <v>4.9999999999999822E-2</v>
      </c>
      <c r="X24" s="189">
        <f>TAN(RADIANS(dd(S24)-dd(U24))*R24)</f>
        <v>1.1324004054147968E-2</v>
      </c>
      <c r="Z24" s="204"/>
      <c r="AA24" s="202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84"/>
      <c r="V25" s="184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84"/>
      <c r="V26" s="184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84"/>
      <c r="V27" s="184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84"/>
      <c r="V28" s="184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84"/>
      <c r="V29" s="184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84"/>
      <c r="V30" s="184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84"/>
      <c r="V31" s="184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84"/>
      <c r="V32" s="184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84"/>
      <c r="V33" s="184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84"/>
      <c r="V34" s="184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84"/>
      <c r="V35" s="184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84"/>
      <c r="V36" s="184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2024-04-10T08:50:37Z</dcterms:modified>
</cp:coreProperties>
</file>