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template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drawings/drawing3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drawings/drawing4.xml" ContentType="application/vnd.openxmlformats-officedocument.drawing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drawings/drawing5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025" codeName="{372AB895-14C1-FC20-EB20-F1B4BCFD95A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Data\Development\Landgate.Geodetic\Geodetic\"/>
    </mc:Choice>
  </mc:AlternateContent>
  <xr:revisionPtr revIDLastSave="0" documentId="8_{BBF205BD-A165-458C-8D00-67B0A7663415}" xr6:coauthVersionLast="47" xr6:coauthVersionMax="47" xr10:uidLastSave="{00000000-0000-0000-0000-000000000000}"/>
  <bookViews>
    <workbookView xWindow="-120" yWindow="-120" windowWidth="38640" windowHeight="21240" activeTab="1" xr2:uid="{00000000-000D-0000-FFFF-FFFF00000000}"/>
  </bookViews>
  <sheets>
    <sheet name="Calibration Certificate" sheetId="17" r:id="rId1"/>
    <sheet name="PAGE 1" sheetId="18" r:id="rId2"/>
    <sheet name="PAGE 2" sheetId="13" r:id="rId3"/>
    <sheet name="VRS" sheetId="19" state="hidden" r:id="rId4"/>
    <sheet name="PAGE 1 Template" sheetId="15" r:id="rId5"/>
    <sheet name="PAGE 2 Template" sheetId="16" r:id="rId6"/>
    <sheet name="PAGE 3 Template" sheetId="14" r:id="rId7"/>
  </sheets>
  <functionGroups builtInGroupCount="19"/>
  <definedNames>
    <definedName name="_xleta.COLUMN" hidden="1" xlm="1">#NAME?</definedName>
    <definedName name="_xlnm.Print_Titles" localSheetId="2">'PAGE 2'!$1:$7</definedName>
    <definedName name="_xlnm.Print_Titles" localSheetId="5">'PAGE 2 Template'!$1:$7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J19" i="14" l="1"/>
  <c r="H19" i="14"/>
  <c r="D19" i="14"/>
  <c r="C19" i="14"/>
  <c r="J16" i="14"/>
  <c r="D16" i="14"/>
  <c r="J15" i="14"/>
  <c r="D15" i="14"/>
  <c r="J14" i="14"/>
  <c r="D14" i="14"/>
  <c r="C14" i="14"/>
  <c r="W24" i="16"/>
  <c r="J24" i="16"/>
  <c r="H24" i="16"/>
  <c r="D24" i="16"/>
  <c r="W23" i="16"/>
  <c r="J23" i="16"/>
  <c r="H23" i="16"/>
  <c r="D23" i="16"/>
  <c r="W22" i="16"/>
  <c r="J22" i="16"/>
  <c r="H22" i="16"/>
  <c r="D22" i="16"/>
  <c r="C22" i="16"/>
  <c r="H19" i="16"/>
  <c r="D19" i="16"/>
  <c r="H18" i="16"/>
  <c r="D18" i="16"/>
  <c r="H17" i="16"/>
  <c r="D17" i="16"/>
  <c r="C17" i="16"/>
  <c r="W14" i="16"/>
  <c r="J14" i="16"/>
  <c r="H14" i="16"/>
  <c r="D14" i="16"/>
  <c r="W13" i="16"/>
  <c r="J13" i="16"/>
  <c r="H13" i="16"/>
  <c r="D13" i="16"/>
  <c r="W12" i="16"/>
  <c r="J12" i="16"/>
  <c r="H12" i="16"/>
  <c r="D12" i="16"/>
  <c r="C12" i="16"/>
  <c r="K19" i="15"/>
  <c r="E19" i="15"/>
  <c r="I19" i="15"/>
  <c r="H19" i="15"/>
  <c r="D19" i="15"/>
  <c r="C19" i="15"/>
  <c r="K16" i="15"/>
  <c r="E16" i="15"/>
  <c r="I16" i="15"/>
  <c r="H16" i="15"/>
  <c r="D16" i="15"/>
  <c r="C16" i="15"/>
  <c r="K13" i="15"/>
  <c r="E13" i="15"/>
  <c r="Q13" i="15"/>
  <c r="J13" i="15"/>
  <c r="I13" i="15"/>
  <c r="H13" i="15"/>
  <c r="D13" i="15"/>
  <c r="C13" i="15"/>
  <c r="J12" i="15"/>
  <c r="M12" i="15" s="1"/>
  <c r="K12" i="15"/>
  <c r="E12" i="15"/>
  <c r="I12" i="15"/>
  <c r="H12" i="15"/>
  <c r="D12" i="15"/>
  <c r="C12" i="15"/>
  <c r="S17" i="16" a="1"/>
  <c r="Z13" i="16" a="1"/>
  <c r="Y22" i="16" a="1"/>
  <c r="AA12" i="16" a="1"/>
  <c r="Y12" i="16" a="1"/>
  <c r="S22" i="16" a="1"/>
  <c r="AA12" i="16" l="1"/>
  <c r="Z13" i="16"/>
  <c r="Y12" i="16"/>
  <c r="S17" i="16"/>
  <c r="Y22" i="16"/>
  <c r="M15" i="15"/>
  <c r="S22" i="16"/>
  <c r="S23" i="16" a="1"/>
  <c r="S18" i="16" a="1"/>
  <c r="X22" i="16"/>
  <c r="S24" i="16" a="1"/>
  <c r="S18" i="16" l="1"/>
  <c r="S24" i="16"/>
  <c r="S23" i="16"/>
  <c r="X24" i="16"/>
  <c r="Y17" i="16" a="1"/>
  <c r="X23" i="16"/>
  <c r="S19" i="16" a="1"/>
  <c r="Z23" i="16" a="1"/>
  <c r="AA22" i="16" a="1"/>
  <c r="Z23" i="16" l="1"/>
  <c r="AA22" i="16"/>
  <c r="S19" i="16"/>
  <c r="Y17" i="16"/>
  <c r="AA17" i="16" a="1"/>
  <c r="Z18" i="16" a="1"/>
  <c r="AA17" i="16" l="1"/>
  <c r="Z18" i="16"/>
  <c r="M14" i="14"/>
  <c r="K11" i="14" s="1"/>
  <c r="M15" i="14"/>
  <c r="K12" i="14" s="1"/>
  <c r="M16" i="14"/>
  <c r="K13" i="14" s="1"/>
  <c r="M13" i="14" l="1"/>
  <c r="K19" i="14" s="1"/>
  <c r="F19" i="14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<sst xmlns="http://schemas.openxmlformats.org/spreadsheetml/2006/main" count="282" uniqueCount="119">
  <si>
    <t>ABSTRACT OF CLASS C LEVELLING</t>
  </si>
  <si>
    <t>From BM</t>
  </si>
  <si>
    <t xml:space="preserve">Total </t>
  </si>
  <si>
    <t>Difference in Elevation</t>
  </si>
  <si>
    <t>Adjustment</t>
  </si>
  <si>
    <t>Elevation Above AHD</t>
  </si>
  <si>
    <t>Distance</t>
  </si>
  <si>
    <t>Forward</t>
  </si>
  <si>
    <t>Backward</t>
  </si>
  <si>
    <t>Calibrated</t>
  </si>
  <si>
    <t>Remarks</t>
  </si>
  <si>
    <t>km</t>
  </si>
  <si>
    <t>To BM</t>
  </si>
  <si>
    <t>From</t>
  </si>
  <si>
    <t>Mean</t>
  </si>
  <si>
    <t>Closure</t>
  </si>
  <si>
    <t>Observed</t>
  </si>
  <si>
    <t>BM</t>
  </si>
  <si>
    <t>Adjusted</t>
  </si>
  <si>
    <t>C Const =</t>
  </si>
  <si>
    <t>COE =</t>
  </si>
  <si>
    <t>Temp</t>
  </si>
  <si>
    <t xml:space="preserve"> </t>
  </si>
  <si>
    <t>To RM</t>
  </si>
  <si>
    <t>Difference</t>
  </si>
  <si>
    <t>(Allow 0.010)</t>
  </si>
  <si>
    <t>Original Diff.</t>
  </si>
  <si>
    <t>SSM A</t>
  </si>
  <si>
    <t>SSM B</t>
  </si>
  <si>
    <t>SSM C</t>
  </si>
  <si>
    <t xml:space="preserve">SURVEYOR   </t>
  </si>
  <si>
    <t xml:space="preserve">Calculation File  GS </t>
  </si>
  <si>
    <t xml:space="preserve">Level Book No.  GS </t>
  </si>
  <si>
    <t xml:space="preserve">Job No.  </t>
  </si>
  <si>
    <t xml:space="preserve">Computer   </t>
  </si>
  <si>
    <t xml:space="preserve">Date of Survey   </t>
  </si>
  <si>
    <t xml:space="preserve">Staff No.   </t>
  </si>
  <si>
    <t xml:space="preserve">Inst. No.  </t>
  </si>
  <si>
    <t xml:space="preserve">Date   </t>
  </si>
  <si>
    <t>RL from RMs above</t>
  </si>
  <si>
    <t>CAL</t>
  </si>
  <si>
    <t>GS 33/1976/7</t>
  </si>
  <si>
    <t>GS 33/1976/30</t>
  </si>
  <si>
    <t>RM 7</t>
  </si>
  <si>
    <t>RM 6</t>
  </si>
  <si>
    <t>RM 5</t>
  </si>
  <si>
    <t>SSM 1</t>
  </si>
  <si>
    <t>SSM 1A</t>
  </si>
  <si>
    <t>SSM 1 moved horiz. Now SSM 1A</t>
  </si>
  <si>
    <t>RM 1</t>
  </si>
  <si>
    <t>RM 2</t>
  </si>
  <si>
    <t>RM 3</t>
  </si>
  <si>
    <t>New HD Adopted</t>
  </si>
  <si>
    <r>
      <t xml:space="preserve">RM </t>
    </r>
    <r>
      <rPr>
        <strike/>
        <sz val="10"/>
        <rFont val="Arial"/>
        <family val="2"/>
      </rPr>
      <t>3</t>
    </r>
    <r>
      <rPr>
        <sz val="10"/>
        <rFont val="Arial"/>
        <family val="2"/>
      </rPr>
      <t xml:space="preserve"> 4</t>
    </r>
  </si>
  <si>
    <t>RM Moved</t>
  </si>
  <si>
    <t>Allow</t>
  </si>
  <si>
    <r>
      <t>STP(</t>
    </r>
    <r>
      <rPr>
        <b/>
        <vertAlign val="superscript"/>
        <sz val="9"/>
        <rFont val="Times New Roman"/>
        <family val="1"/>
      </rPr>
      <t>o</t>
    </r>
    <r>
      <rPr>
        <b/>
        <sz val="9"/>
        <rFont val="Times New Roman"/>
        <family val="1"/>
      </rPr>
      <t>C) =</t>
    </r>
  </si>
  <si>
    <t>From Above</t>
  </si>
  <si>
    <t>SSM D</t>
  </si>
  <si>
    <t>SSM E</t>
  </si>
  <si>
    <t>GS xx/xxxx/xx</t>
  </si>
  <si>
    <t>SSM F</t>
  </si>
  <si>
    <t>Meas Dist</t>
  </si>
  <si>
    <t>Meas Az</t>
  </si>
  <si>
    <t>Orig Dist</t>
  </si>
  <si>
    <t>Orig Az</t>
  </si>
  <si>
    <t>Meas Dir</t>
  </si>
  <si>
    <t>Dist Diff(m)</t>
  </si>
  <si>
    <t>Az Diff(m)</t>
  </si>
  <si>
    <t>DBs</t>
  </si>
  <si>
    <t>0 0 0</t>
  </si>
  <si>
    <t>250 15 39</t>
  </si>
  <si>
    <t>350 21 23</t>
  </si>
  <si>
    <t>151 31 18</t>
  </si>
  <si>
    <t>164 19 12.48</t>
  </si>
  <si>
    <t>RO</t>
  </si>
  <si>
    <t>192 21 01</t>
  </si>
  <si>
    <t>94 16 27.61</t>
  </si>
  <si>
    <t>261 48 29</t>
  </si>
  <si>
    <t>116 11 8</t>
  </si>
  <si>
    <t>308 25 40</t>
  </si>
  <si>
    <t>12 19 3</t>
  </si>
  <si>
    <t>102 20 0</t>
  </si>
  <si>
    <t>192 21 0</t>
  </si>
  <si>
    <t>New SSM</t>
  </si>
  <si>
    <t>New RM (Dsp in Bit)(0.0 BGL)</t>
  </si>
  <si>
    <t>New RM (Sp in Conc)(0.3 BGL)</t>
  </si>
  <si>
    <t>(0.4 BGL)</t>
  </si>
  <si>
    <t>DesignPointID</t>
  </si>
  <si>
    <t>GPSSetup_ID</t>
  </si>
  <si>
    <t>networkType</t>
  </si>
  <si>
    <t>ipAddress</t>
  </si>
  <si>
    <t>port</t>
  </si>
  <si>
    <t>mountpoint</t>
  </si>
  <si>
    <t>GPSSetupID_12</t>
  </si>
  <si>
    <t>VRS</t>
  </si>
  <si>
    <t>server2020.rtknetwest.com</t>
  </si>
  <si>
    <t>VRS-RTCM3.2</t>
  </si>
  <si>
    <t>uniqueID</t>
  </si>
  <si>
    <t>lat</t>
  </si>
  <si>
    <t>lon</t>
  </si>
  <si>
    <t>hghthO</t>
  </si>
  <si>
    <t>CQ3D</t>
  </si>
  <si>
    <t>CQPos</t>
  </si>
  <si>
    <t>CQHeight</t>
  </si>
  <si>
    <t>Computer   K. Wheeler</t>
  </si>
  <si>
    <t>ABSTRACT OF HexagonLandXML</t>
  </si>
  <si>
    <t>Coordinate System</t>
  </si>
  <si>
    <t>name</t>
  </si>
  <si>
    <t>ellipsoidName</t>
  </si>
  <si>
    <t>projectedCoordinateSystemName</t>
  </si>
  <si>
    <t>MGA20_50</t>
  </si>
  <si>
    <t>GRS1980</t>
  </si>
  <si>
    <t>UTM 50</t>
  </si>
  <si>
    <t>Code - Description</t>
  </si>
  <si>
    <t>Name</t>
  </si>
  <si>
    <t>SphDist Diff</t>
  </si>
  <si>
    <t>Vt Diff</t>
  </si>
  <si>
    <t>GESMAR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</si>
</sst>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0.000"/>
    <numFmt numFmtId="165" formatCode="0.000000"/>
    <numFmt numFmtId="166" formatCode="0.0000"/>
    <numFmt numFmtId="167" formatCode="0.00000000"/>
  </numFmts>
  <fonts count="34">
    <font>
      <sz val="10"/>
      <name val="Arial"/>
    </font>
    <font>
      <sz val="10"/>
      <name val="Arial"/>
      <family val="2"/>
    </font>
    <font>
      <b/>
      <sz val="9"/>
      <name val="Times New Roman"/>
      <family val="1"/>
    </font>
    <font>
      <sz val="9"/>
      <name val="Times New Roman"/>
      <family val="1"/>
    </font>
    <font>
      <sz val="9"/>
      <color indexed="8"/>
      <name val="Times New Roman"/>
      <family val="1"/>
    </font>
    <font>
      <sz val="10"/>
      <name val="Times New Roman"/>
      <family val="1"/>
    </font>
    <font>
      <b/>
      <sz val="10"/>
      <name val="Times New Roman"/>
      <family val="1"/>
    </font>
    <font>
      <b/>
      <sz val="10"/>
      <color indexed="8"/>
      <name val="Times New Roman"/>
      <family val="1"/>
    </font>
    <font>
      <sz val="10"/>
      <color indexed="8"/>
      <name val="Times New Roman"/>
      <family val="1"/>
    </font>
    <font>
      <sz val="8.5"/>
      <name val="Times New Roman"/>
      <family val="1"/>
    </font>
    <font>
      <sz val="8.5"/>
      <color indexed="8"/>
      <name val="Times New Roman"/>
      <family val="1"/>
    </font>
    <font>
      <sz val="8.5"/>
      <name val="MS Dialog"/>
      <family val="2"/>
    </font>
    <font>
      <sz val="10"/>
      <color indexed="8"/>
      <name val="Arial"/>
      <family val="2"/>
    </font>
    <font>
      <sz val="9"/>
      <name val="Arial"/>
      <family val="2"/>
    </font>
    <font>
      <sz val="9"/>
      <color indexed="12"/>
      <name val="Arial"/>
      <family val="2"/>
    </font>
    <font>
      <sz val="10"/>
      <color indexed="17"/>
      <name val="Arial"/>
      <family val="2"/>
    </font>
    <font>
      <sz val="9"/>
      <color indexed="17"/>
      <name val="Arial"/>
      <family val="2"/>
    </font>
    <font>
      <sz val="8"/>
      <name val="Arial"/>
      <family val="2"/>
    </font>
    <font>
      <b/>
      <sz val="10"/>
      <name val="Arial"/>
      <family val="2"/>
    </font>
    <font>
      <b/>
      <vertAlign val="superscript"/>
      <sz val="9"/>
      <name val="Times New Roman"/>
      <family val="1"/>
    </font>
    <font>
      <sz val="8"/>
      <name val="Times New Roman"/>
      <family val="1"/>
    </font>
    <font>
      <sz val="8"/>
      <name val="MS Dialog"/>
      <family val="2"/>
    </font>
    <font>
      <strike/>
      <sz val="8.5"/>
      <name val="Times New Roman"/>
      <family val="1"/>
    </font>
    <font>
      <b/>
      <sz val="10"/>
      <color indexed="10"/>
      <name val="Arial"/>
      <family val="2"/>
    </font>
    <font>
      <sz val="10"/>
      <color indexed="61"/>
      <name val="Arial"/>
      <family val="2"/>
    </font>
    <font>
      <sz val="10"/>
      <color indexed="10"/>
      <name val="Arial"/>
      <family val="2"/>
    </font>
    <font>
      <b/>
      <sz val="8"/>
      <color rgb="FFFF0000"/>
      <name val="Arial"/>
      <family val="2"/>
    </font>
    <font>
      <b/>
      <sz val="8"/>
      <name val="Arial"/>
      <family val="2"/>
    </font>
    <font>
      <b/>
      <strike/>
      <sz val="10"/>
      <color indexed="10"/>
      <name val="Arial"/>
      <family val="2"/>
    </font>
    <font>
      <strike/>
      <sz val="10"/>
      <name val="Arial"/>
      <family val="2"/>
    </font>
    <font>
      <sz val="10"/>
      <color rgb="FF000000"/>
      <name val="Arial"/>
      <family val="2"/>
    </font>
    <font>
      <sz val="11"/>
      <color rgb="FF006100"/>
      <name val="Calibri"/>
      <family val="2"/>
      <scheme val="minor"/>
    </font>
    <font>
      <b/>
      <sz val="10"/>
      <color rgb="FFFF0000"/>
      <name val="Arial"/>
      <family val="2"/>
    </font>
    <font>
      <b/>
      <sz val="8.5"/>
      <name val="Times New Roman"/>
      <family val="1"/>
    </font>
  </fonts>
  <fills count="3">
    <fill>
      <patternFill patternType="none"/>
    </fill>
    <fill>
      <patternFill patternType="gray125"/>
    </fill>
    <fill>
      <patternFill patternType="solid">
        <fgColor rgb="FFC6EFCE"/>
      </patternFill>
    </fill>
  </fills>
  <borders count="47">
    <border>
      <left/>
      <right/>
      <top/>
      <bottom/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/>
      <right/>
      <top/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/>
      <diagonal/>
    </border>
    <border>
      <left style="hair">
        <color indexed="64"/>
      </left>
      <right/>
      <top style="thin">
        <color indexed="64"/>
      </top>
      <bottom/>
      <diagonal/>
    </border>
    <border>
      <left style="hair">
        <color indexed="64"/>
      </left>
      <right/>
      <top style="thin">
        <color indexed="64"/>
      </top>
      <bottom style="hair">
        <color indexed="64"/>
      </bottom>
      <diagonal/>
    </border>
    <border>
      <left/>
      <right/>
      <top style="thin">
        <color indexed="64"/>
      </top>
      <bottom style="hair">
        <color indexed="64"/>
      </bottom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hair">
        <color indexed="64"/>
      </left>
      <right style="hair">
        <color indexed="64"/>
      </right>
      <top/>
      <bottom/>
      <diagonal/>
    </border>
    <border>
      <left style="hair">
        <color indexed="64"/>
      </left>
      <right/>
      <top/>
      <bottom/>
      <diagonal/>
    </border>
    <border>
      <left/>
      <right style="hair">
        <color indexed="64"/>
      </right>
      <top/>
      <bottom/>
      <diagonal/>
    </border>
    <border>
      <left style="hair">
        <color indexed="64"/>
      </left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/>
      <top/>
      <bottom style="hair">
        <color indexed="64"/>
      </bottom>
      <diagonal/>
    </border>
    <border>
      <left/>
      <right style="hair">
        <color indexed="64"/>
      </right>
      <top/>
      <bottom style="hair">
        <color indexed="64"/>
      </bottom>
      <diagonal/>
    </border>
    <border>
      <left/>
      <right/>
      <top/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/>
      <top style="hair">
        <color indexed="64"/>
      </top>
      <bottom style="thin">
        <color indexed="64"/>
      </bottom>
      <diagonal/>
    </border>
    <border>
      <left/>
      <right/>
      <top style="hair">
        <color indexed="64"/>
      </top>
      <bottom style="thin">
        <color indexed="64"/>
      </bottom>
      <diagonal/>
    </border>
    <border>
      <left/>
      <right style="hair">
        <color indexed="64"/>
      </right>
      <top style="hair">
        <color indexed="64"/>
      </top>
      <bottom/>
      <diagonal/>
    </border>
    <border>
      <left/>
      <right style="hair">
        <color indexed="64"/>
      </right>
      <top style="thin">
        <color indexed="64"/>
      </top>
      <bottom/>
      <diagonal/>
    </border>
    <border>
      <left/>
      <right/>
      <top style="hair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auto="1"/>
      </left>
      <right style="thin">
        <color indexed="64"/>
      </right>
      <top/>
      <bottom/>
      <diagonal/>
    </border>
    <border>
      <left style="thin">
        <color auto="1"/>
      </left>
      <right style="thin">
        <color indexed="64"/>
      </right>
      <top style="thin">
        <color indexed="64"/>
      </top>
      <bottom/>
      <diagonal/>
    </border>
    <border>
      <left style="thin">
        <color auto="1"/>
      </left>
      <right style="thin">
        <color indexed="64"/>
      </right>
      <top/>
      <bottom style="thin">
        <color indexed="64"/>
      </bottom>
      <diagonal/>
    </border>
    <border>
      <left style="thin">
        <color auto="1"/>
      </left>
      <right/>
      <top style="thin">
        <color indexed="64"/>
      </top>
      <bottom/>
      <diagonal/>
    </border>
    <border>
      <left style="thin">
        <color auto="1"/>
      </left>
      <right/>
      <top/>
      <bottom style="thin">
        <color indexed="64"/>
      </bottom>
      <diagonal/>
    </border>
    <border>
      <left/>
      <right/>
      <top/>
      <bottom style="thin">
        <color auto="1"/>
      </bottom>
      <diagonal/>
    </border>
    <border>
      <left/>
      <right style="hair">
        <color indexed="64"/>
      </right>
      <top style="hair">
        <color indexed="64"/>
      </top>
      <bottom style="thin">
        <color auto="1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thin">
        <color auto="1"/>
      </bottom>
      <diagonal/>
    </border>
    <border>
      <left style="hair">
        <color indexed="64"/>
      </left>
      <right/>
      <top style="hair">
        <color indexed="64"/>
      </top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 style="hair">
        <color indexed="64"/>
      </right>
      <top style="hair">
        <color indexed="64"/>
      </top>
      <bottom style="thin">
        <color auto="1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thin">
        <color auto="1"/>
      </bottom>
      <diagonal/>
    </border>
    <border>
      <left style="hair">
        <color indexed="64"/>
      </left>
      <right/>
      <top style="hair">
        <color indexed="64"/>
      </top>
      <bottom style="thin">
        <color auto="1"/>
      </bottom>
      <diagonal/>
    </border>
    <border>
      <left/>
      <right/>
      <top style="hair">
        <color indexed="64"/>
      </top>
      <bottom style="thin">
        <color auto="1"/>
      </bottom>
      <diagonal/>
    </border>
  </borders>
  <cellStyleXfs count="3">
    <xf numFmtId="0" fontId="0" fillId="0" borderId="0" applyBorder="0"/>
    <xf numFmtId="0" fontId="1" fillId="0" borderId="0" applyBorder="0"/>
    <xf numFmtId="0" fontId="31" fillId="2" borderId="0" applyNumberFormat="0" applyBorder="0" applyAlignment="0" applyProtection="0"/>
  </cellStyleXfs>
  <cellXfs count="230">
    <xf numFmtId="0" fontId="0" fillId="0" borderId="0" xfId="0"/>
    <xf numFmtId="0" fontId="2" fillId="0" borderId="0" xfId="1" applyFont="1" applyAlignment="1">
      <alignment horizontal="left"/>
    </xf>
    <xf numFmtId="0" fontId="3" fillId="0" borderId="0" xfId="1" applyFont="1" applyAlignment="1">
      <alignment horizontal="left"/>
    </xf>
    <xf numFmtId="0" fontId="4" fillId="0" borderId="0" xfId="1" applyFont="1" applyAlignment="1">
      <alignment horizontal="left"/>
    </xf>
    <xf numFmtId="164" fontId="3" fillId="0" borderId="0" xfId="1" applyNumberFormat="1" applyFont="1" applyAlignment="1">
      <alignment horizontal="left"/>
    </xf>
    <xf numFmtId="0" fontId="5" fillId="0" borderId="0" xfId="1" applyFont="1" applyAlignment="1">
      <alignment horizontal="left"/>
    </xf>
    <xf numFmtId="0" fontId="1" fillId="0" borderId="0" xfId="1" applyAlignment="1">
      <alignment horizontal="left"/>
    </xf>
    <xf numFmtId="164" fontId="17" fillId="0" borderId="0" xfId="1" applyNumberFormat="1" applyFont="1" applyAlignment="1">
      <alignment horizontal="left"/>
    </xf>
    <xf numFmtId="0" fontId="6" fillId="0" borderId="0" xfId="1" applyFont="1" applyAlignment="1">
      <alignment horizontal="left"/>
    </xf>
    <xf numFmtId="0" fontId="7" fillId="0" borderId="0" xfId="1" applyFont="1" applyAlignment="1">
      <alignment horizontal="left"/>
    </xf>
    <xf numFmtId="164" fontId="6" fillId="0" borderId="0" xfId="1" applyNumberFormat="1" applyFont="1" applyAlignment="1">
      <alignment horizontal="left"/>
    </xf>
    <xf numFmtId="164" fontId="5" fillId="0" borderId="0" xfId="1" applyNumberFormat="1" applyFont="1" applyAlignment="1">
      <alignment horizontal="left"/>
    </xf>
    <xf numFmtId="0" fontId="8" fillId="0" borderId="0" xfId="1" applyFont="1" applyAlignment="1">
      <alignment horizontal="left"/>
    </xf>
    <xf numFmtId="0" fontId="6" fillId="0" borderId="0" xfId="1" applyFont="1" applyAlignment="1">
      <alignment horizontal="right"/>
    </xf>
    <xf numFmtId="165" fontId="6" fillId="0" borderId="0" xfId="1" applyNumberFormat="1" applyFont="1" applyAlignment="1">
      <alignment horizontal="left"/>
    </xf>
    <xf numFmtId="0" fontId="6" fillId="0" borderId="0" xfId="1" applyFont="1"/>
    <xf numFmtId="0" fontId="3" fillId="0" borderId="4" xfId="1" applyFont="1" applyBorder="1" applyAlignment="1">
      <alignment horizontal="left"/>
    </xf>
    <xf numFmtId="0" fontId="4" fillId="0" borderId="4" xfId="1" applyFont="1" applyBorder="1" applyAlignment="1">
      <alignment horizontal="left"/>
    </xf>
    <xf numFmtId="166" fontId="3" fillId="0" borderId="4" xfId="1" applyNumberFormat="1" applyFont="1" applyBorder="1" applyAlignment="1">
      <alignment horizontal="left"/>
    </xf>
    <xf numFmtId="166" fontId="2" fillId="0" borderId="4" xfId="1" applyNumberFormat="1" applyFont="1" applyBorder="1" applyAlignment="1">
      <alignment horizontal="right"/>
    </xf>
    <xf numFmtId="165" fontId="6" fillId="0" borderId="4" xfId="1" applyNumberFormat="1" applyFont="1" applyBorder="1" applyAlignment="1">
      <alignment horizontal="left"/>
    </xf>
    <xf numFmtId="0" fontId="2" fillId="0" borderId="4" xfId="1" applyFont="1" applyBorder="1" applyAlignment="1">
      <alignment horizontal="right"/>
    </xf>
    <xf numFmtId="0" fontId="2" fillId="0" borderId="4" xfId="1" applyFont="1" applyBorder="1" applyAlignment="1">
      <alignment horizontal="left"/>
    </xf>
    <xf numFmtId="0" fontId="9" fillId="0" borderId="5" xfId="1" applyFont="1" applyBorder="1" applyAlignment="1">
      <alignment horizontal="center"/>
    </xf>
    <xf numFmtId="0" fontId="10" fillId="0" borderId="6" xfId="1" applyFont="1" applyBorder="1" applyAlignment="1">
      <alignment horizontal="center"/>
    </xf>
    <xf numFmtId="0" fontId="11" fillId="0" borderId="0" xfId="1" applyFont="1" applyAlignment="1">
      <alignment horizontal="center"/>
    </xf>
    <xf numFmtId="166" fontId="9" fillId="0" borderId="3" xfId="1" applyNumberFormat="1" applyFont="1" applyBorder="1" applyAlignment="1">
      <alignment horizontal="centerContinuous"/>
    </xf>
    <xf numFmtId="166" fontId="9" fillId="0" borderId="7" xfId="1" applyNumberFormat="1" applyFont="1" applyBorder="1" applyAlignment="1">
      <alignment horizontal="centerContinuous"/>
    </xf>
    <xf numFmtId="166" fontId="9" fillId="0" borderId="8" xfId="1" applyNumberFormat="1" applyFont="1" applyBorder="1" applyAlignment="1">
      <alignment horizontal="centerContinuous"/>
    </xf>
    <xf numFmtId="166" fontId="5" fillId="0" borderId="9" xfId="1" applyNumberFormat="1" applyFont="1" applyBorder="1" applyAlignment="1">
      <alignment horizontal="centerContinuous"/>
    </xf>
    <xf numFmtId="0" fontId="9" fillId="0" borderId="3" xfId="1" applyFont="1" applyBorder="1" applyAlignment="1">
      <alignment horizontal="center"/>
    </xf>
    <xf numFmtId="0" fontId="9" fillId="0" borderId="3" xfId="1" applyFont="1" applyBorder="1" applyAlignment="1">
      <alignment horizontal="centerContinuous"/>
    </xf>
    <xf numFmtId="0" fontId="9" fillId="0" borderId="7" xfId="1" applyFont="1" applyBorder="1" applyAlignment="1">
      <alignment horizontal="centerContinuous"/>
    </xf>
    <xf numFmtId="0" fontId="9" fillId="0" borderId="9" xfId="1" applyFont="1" applyBorder="1" applyAlignment="1">
      <alignment horizontal="centerContinuous"/>
    </xf>
    <xf numFmtId="0" fontId="9" fillId="0" borderId="10" xfId="1" applyFont="1" applyBorder="1" applyAlignment="1">
      <alignment horizontal="center"/>
    </xf>
    <xf numFmtId="164" fontId="20" fillId="0" borderId="11" xfId="1" applyNumberFormat="1" applyFont="1" applyBorder="1" applyAlignment="1">
      <alignment horizontal="center"/>
    </xf>
    <xf numFmtId="0" fontId="9" fillId="0" borderId="12" xfId="1" applyFont="1" applyBorder="1" applyAlignment="1">
      <alignment horizontal="center" vertical="center"/>
    </xf>
    <xf numFmtId="0" fontId="9" fillId="0" borderId="13" xfId="1" applyFont="1" applyBorder="1" applyAlignment="1">
      <alignment horizontal="center" vertical="center"/>
    </xf>
    <xf numFmtId="0" fontId="10" fillId="0" borderId="14" xfId="1" applyFont="1" applyBorder="1" applyAlignment="1">
      <alignment horizontal="center" vertical="center"/>
    </xf>
    <xf numFmtId="166" fontId="9" fillId="0" borderId="15" xfId="1" applyNumberFormat="1" applyFont="1" applyBorder="1" applyAlignment="1">
      <alignment horizontal="center" vertical="center"/>
    </xf>
    <xf numFmtId="166" fontId="9" fillId="0" borderId="1" xfId="1" applyNumberFormat="1" applyFont="1" applyBorder="1" applyAlignment="1">
      <alignment horizontal="center" vertical="center"/>
    </xf>
    <xf numFmtId="0" fontId="9" fillId="0" borderId="15" xfId="1" applyFont="1" applyBorder="1" applyAlignment="1">
      <alignment horizontal="center" vertical="center"/>
    </xf>
    <xf numFmtId="164" fontId="21" fillId="0" borderId="0" xfId="1" applyNumberFormat="1" applyFont="1" applyAlignment="1">
      <alignment horizontal="center" vertical="center"/>
    </xf>
    <xf numFmtId="0" fontId="11" fillId="0" borderId="0" xfId="1" applyFont="1" applyAlignment="1">
      <alignment horizontal="center" vertical="center"/>
    </xf>
    <xf numFmtId="0" fontId="9" fillId="0" borderId="16" xfId="1" applyFont="1" applyBorder="1" applyAlignment="1">
      <alignment horizontal="center" vertical="center"/>
    </xf>
    <xf numFmtId="0" fontId="9" fillId="0" borderId="17" xfId="1" applyFont="1" applyBorder="1" applyAlignment="1">
      <alignment horizontal="center" vertical="center"/>
    </xf>
    <xf numFmtId="0" fontId="10" fillId="0" borderId="18" xfId="1" applyFont="1" applyBorder="1" applyAlignment="1">
      <alignment horizontal="center" vertical="center"/>
    </xf>
    <xf numFmtId="166" fontId="9" fillId="0" borderId="16" xfId="1" applyNumberFormat="1" applyFont="1" applyBorder="1" applyAlignment="1">
      <alignment horizontal="center" vertical="center"/>
    </xf>
    <xf numFmtId="0" fontId="22" fillId="0" borderId="16" xfId="1" applyFont="1" applyBorder="1" applyAlignment="1">
      <alignment horizontal="center" vertical="center"/>
    </xf>
    <xf numFmtId="0" fontId="1" fillId="0" borderId="0" xfId="1" applyAlignment="1">
      <alignment horizontal="center" vertical="center"/>
    </xf>
    <xf numFmtId="164" fontId="21" fillId="0" borderId="19" xfId="1" applyNumberFormat="1" applyFont="1" applyBorder="1" applyAlignment="1">
      <alignment horizontal="center" vertical="center"/>
    </xf>
    <xf numFmtId="0" fontId="1" fillId="0" borderId="20" xfId="1" applyBorder="1" applyAlignment="1">
      <alignment horizontal="center"/>
    </xf>
    <xf numFmtId="2" fontId="1" fillId="0" borderId="21" xfId="1" applyNumberFormat="1" applyBorder="1" applyAlignment="1">
      <alignment horizontal="center"/>
    </xf>
    <xf numFmtId="0" fontId="12" fillId="0" borderId="20" xfId="1" applyFont="1" applyBorder="1" applyAlignment="1">
      <alignment horizontal="right"/>
    </xf>
    <xf numFmtId="0" fontId="1" fillId="0" borderId="1" xfId="1" applyBorder="1" applyAlignment="1">
      <alignment horizontal="center"/>
    </xf>
    <xf numFmtId="164" fontId="1" fillId="0" borderId="1" xfId="1" applyNumberFormat="1" applyBorder="1" applyAlignment="1">
      <alignment horizontal="center"/>
    </xf>
    <xf numFmtId="164" fontId="23" fillId="0" borderId="1" xfId="1" applyNumberFormat="1" applyFont="1" applyBorder="1" applyAlignment="1">
      <alignment horizontal="center"/>
    </xf>
    <xf numFmtId="0" fontId="17" fillId="0" borderId="21" xfId="1" applyFont="1" applyBorder="1" applyAlignment="1">
      <alignment horizontal="left"/>
    </xf>
    <xf numFmtId="0" fontId="17" fillId="0" borderId="0" xfId="1" applyFont="1" applyAlignment="1">
      <alignment horizontal="left"/>
    </xf>
    <xf numFmtId="164" fontId="17" fillId="0" borderId="22" xfId="1" applyNumberFormat="1" applyFont="1" applyBorder="1" applyAlignment="1">
      <alignment horizontal="center"/>
    </xf>
    <xf numFmtId="2" fontId="1" fillId="0" borderId="1" xfId="1" applyNumberFormat="1" applyBorder="1" applyAlignment="1">
      <alignment horizontal="center"/>
    </xf>
    <xf numFmtId="2" fontId="1" fillId="0" borderId="21" xfId="1" applyNumberFormat="1" applyBorder="1" applyAlignment="1">
      <alignment horizontal="left"/>
    </xf>
    <xf numFmtId="164" fontId="1" fillId="0" borderId="20" xfId="1" applyNumberFormat="1" applyBorder="1" applyAlignment="1">
      <alignment horizontal="right"/>
    </xf>
    <xf numFmtId="0" fontId="17" fillId="0" borderId="21" xfId="1" applyFont="1" applyBorder="1" applyAlignment="1">
      <alignment horizontal="right"/>
    </xf>
    <xf numFmtId="164" fontId="17" fillId="0" borderId="22" xfId="1" applyNumberFormat="1" applyFont="1" applyBorder="1" applyAlignment="1">
      <alignment horizontal="right"/>
    </xf>
    <xf numFmtId="0" fontId="1" fillId="0" borderId="23" xfId="1" applyBorder="1" applyAlignment="1">
      <alignment horizontal="center"/>
    </xf>
    <xf numFmtId="0" fontId="1" fillId="0" borderId="2" xfId="1" applyBorder="1" applyAlignment="1">
      <alignment horizontal="left"/>
    </xf>
    <xf numFmtId="0" fontId="1" fillId="0" borderId="24" xfId="1" applyBorder="1" applyAlignment="1">
      <alignment horizontal="left"/>
    </xf>
    <xf numFmtId="0" fontId="12" fillId="0" borderId="23" xfId="1" applyFont="1" applyBorder="1" applyAlignment="1">
      <alignment horizontal="left"/>
    </xf>
    <xf numFmtId="164" fontId="1" fillId="0" borderId="2" xfId="1" applyNumberFormat="1" applyBorder="1" applyAlignment="1">
      <alignment horizontal="center"/>
    </xf>
    <xf numFmtId="0" fontId="17" fillId="0" borderId="24" xfId="1" applyFont="1" applyBorder="1" applyAlignment="1">
      <alignment horizontal="left"/>
    </xf>
    <xf numFmtId="0" fontId="17" fillId="0" borderId="4" xfId="1" applyFont="1" applyBorder="1" applyAlignment="1">
      <alignment horizontal="left"/>
    </xf>
    <xf numFmtId="164" fontId="17" fillId="0" borderId="25" xfId="1" applyNumberFormat="1" applyFont="1" applyBorder="1" applyAlignment="1">
      <alignment horizontal="center"/>
    </xf>
    <xf numFmtId="2" fontId="1" fillId="0" borderId="0" xfId="1" applyNumberFormat="1" applyAlignment="1">
      <alignment horizontal="left"/>
    </xf>
    <xf numFmtId="0" fontId="12" fillId="0" borderId="0" xfId="1" applyFont="1" applyAlignment="1">
      <alignment horizontal="left"/>
    </xf>
    <xf numFmtId="166" fontId="1" fillId="0" borderId="0" xfId="1" applyNumberFormat="1" applyAlignment="1">
      <alignment horizontal="left"/>
    </xf>
    <xf numFmtId="164" fontId="1" fillId="0" borderId="0" xfId="1" applyNumberFormat="1" applyAlignment="1">
      <alignment horizontal="left"/>
    </xf>
    <xf numFmtId="20" fontId="15" fillId="0" borderId="0" xfId="1" applyNumberFormat="1" applyFont="1" applyAlignment="1">
      <alignment horizontal="left"/>
    </xf>
    <xf numFmtId="164" fontId="15" fillId="0" borderId="0" xfId="1" applyNumberFormat="1" applyFont="1" applyAlignment="1">
      <alignment horizontal="left"/>
    </xf>
    <xf numFmtId="0" fontId="13" fillId="0" borderId="0" xfId="1" applyFont="1" applyAlignment="1">
      <alignment horizontal="left"/>
    </xf>
    <xf numFmtId="20" fontId="12" fillId="0" borderId="0" xfId="1" applyNumberFormat="1" applyFont="1" applyAlignment="1">
      <alignment horizontal="left"/>
    </xf>
    <xf numFmtId="20" fontId="1" fillId="0" borderId="0" xfId="1" applyNumberFormat="1" applyAlignment="1">
      <alignment horizontal="left"/>
    </xf>
    <xf numFmtId="166" fontId="1" fillId="0" borderId="0" xfId="1" quotePrefix="1" applyNumberFormat="1" applyAlignment="1">
      <alignment horizontal="left"/>
    </xf>
    <xf numFmtId="0" fontId="16" fillId="0" borderId="0" xfId="1" applyFont="1" applyAlignment="1">
      <alignment horizontal="left"/>
    </xf>
    <xf numFmtId="2" fontId="13" fillId="0" borderId="0" xfId="1" applyNumberFormat="1" applyFont="1" applyAlignment="1">
      <alignment horizontal="left"/>
    </xf>
    <xf numFmtId="2" fontId="14" fillId="0" borderId="0" xfId="1" applyNumberFormat="1" applyFont="1" applyAlignment="1">
      <alignment horizontal="left"/>
    </xf>
    <xf numFmtId="166" fontId="13" fillId="0" borderId="0" xfId="1" applyNumberFormat="1" applyFont="1" applyAlignment="1">
      <alignment horizontal="left"/>
    </xf>
    <xf numFmtId="164" fontId="13" fillId="0" borderId="0" xfId="1" applyNumberFormat="1" applyFont="1" applyAlignment="1">
      <alignment horizontal="left"/>
    </xf>
    <xf numFmtId="0" fontId="9" fillId="0" borderId="26" xfId="1" applyFont="1" applyBorder="1" applyAlignment="1">
      <alignment horizontal="center"/>
    </xf>
    <xf numFmtId="0" fontId="9" fillId="0" borderId="15" xfId="1" applyFont="1" applyBorder="1" applyAlignment="1">
      <alignment horizontal="center" vertical="justify"/>
    </xf>
    <xf numFmtId="0" fontId="10" fillId="0" borderId="13" xfId="1" applyFont="1" applyBorder="1" applyAlignment="1">
      <alignment horizontal="centerContinuous"/>
    </xf>
    <xf numFmtId="0" fontId="11" fillId="0" borderId="27" xfId="1" applyFont="1" applyBorder="1"/>
    <xf numFmtId="0" fontId="9" fillId="0" borderId="12" xfId="1" applyFont="1" applyBorder="1" applyAlignment="1">
      <alignment horizontal="center"/>
    </xf>
    <xf numFmtId="164" fontId="9" fillId="0" borderId="15" xfId="1" applyNumberFormat="1" applyFont="1" applyBorder="1" applyAlignment="1">
      <alignment horizontal="centerContinuous"/>
    </xf>
    <xf numFmtId="0" fontId="9" fillId="0" borderId="10" xfId="1" applyFont="1" applyBorder="1" applyAlignment="1">
      <alignment horizontal="centerContinuous"/>
    </xf>
    <xf numFmtId="0" fontId="9" fillId="0" borderId="28" xfId="1" applyFont="1" applyBorder="1" applyAlignment="1">
      <alignment horizontal="centerContinuous"/>
    </xf>
    <xf numFmtId="0" fontId="5" fillId="0" borderId="26" xfId="1" applyFont="1" applyBorder="1" applyAlignment="1">
      <alignment horizontal="centerContinuous"/>
    </xf>
    <xf numFmtId="0" fontId="22" fillId="0" borderId="15" xfId="1" applyFont="1" applyBorder="1" applyAlignment="1">
      <alignment horizontal="center"/>
    </xf>
    <xf numFmtId="0" fontId="9" fillId="0" borderId="15" xfId="1" applyFont="1" applyBorder="1" applyAlignment="1">
      <alignment horizontal="centerContinuous"/>
    </xf>
    <xf numFmtId="0" fontId="9" fillId="0" borderId="10" xfId="1" applyFont="1" applyBorder="1"/>
    <xf numFmtId="0" fontId="11" fillId="0" borderId="0" xfId="1" applyFont="1"/>
    <xf numFmtId="0" fontId="9" fillId="0" borderId="14" xfId="1" applyFont="1" applyBorder="1" applyAlignment="1">
      <alignment horizontal="center" vertical="center" textRotation="180" wrapText="1"/>
    </xf>
    <xf numFmtId="0" fontId="10" fillId="0" borderId="13" xfId="1" applyFont="1" applyBorder="1" applyAlignment="1">
      <alignment horizontal="centerContinuous" vertical="center"/>
    </xf>
    <xf numFmtId="0" fontId="10" fillId="0" borderId="14" xfId="1" applyFont="1" applyBorder="1" applyAlignment="1">
      <alignment horizontal="centerContinuous" vertical="center"/>
    </xf>
    <xf numFmtId="164" fontId="9" fillId="0" borderId="15" xfId="1" applyNumberFormat="1" applyFont="1" applyBorder="1" applyAlignment="1">
      <alignment horizontal="center" vertical="center"/>
    </xf>
    <xf numFmtId="0" fontId="9" fillId="0" borderId="1" xfId="1" applyFont="1" applyBorder="1" applyAlignment="1">
      <alignment horizontal="center" vertical="center"/>
    </xf>
    <xf numFmtId="0" fontId="9" fillId="0" borderId="15" xfId="1" applyFont="1" applyBorder="1" applyAlignment="1">
      <alignment vertical="center"/>
    </xf>
    <xf numFmtId="0" fontId="11" fillId="0" borderId="0" xfId="1" applyFont="1" applyAlignment="1">
      <alignment vertical="center"/>
    </xf>
    <xf numFmtId="0" fontId="9" fillId="0" borderId="14" xfId="1" applyFont="1" applyBorder="1" applyAlignment="1">
      <alignment horizontal="center" vertical="center"/>
    </xf>
    <xf numFmtId="0" fontId="9" fillId="0" borderId="13" xfId="1" applyFont="1" applyBorder="1" applyAlignment="1">
      <alignment horizontal="left" vertical="center"/>
    </xf>
    <xf numFmtId="0" fontId="10" fillId="0" borderId="18" xfId="1" applyFont="1" applyBorder="1" applyAlignment="1">
      <alignment horizontal="centerContinuous" vertical="center"/>
    </xf>
    <xf numFmtId="0" fontId="9" fillId="0" borderId="0" xfId="1" applyFont="1" applyAlignment="1">
      <alignment horizontal="center" vertical="center"/>
    </xf>
    <xf numFmtId="164" fontId="9" fillId="0" borderId="12" xfId="1" applyNumberFormat="1" applyFont="1" applyBorder="1" applyAlignment="1">
      <alignment horizontal="center" vertical="center"/>
    </xf>
    <xf numFmtId="0" fontId="1" fillId="0" borderId="0" xfId="1" applyAlignment="1">
      <alignment vertical="center"/>
    </xf>
    <xf numFmtId="2" fontId="1" fillId="0" borderId="1" xfId="1" applyNumberFormat="1" applyBorder="1"/>
    <xf numFmtId="164" fontId="1" fillId="0" borderId="1" xfId="1" applyNumberFormat="1" applyBorder="1"/>
    <xf numFmtId="164" fontId="18" fillId="0" borderId="1" xfId="1" applyNumberFormat="1" applyFont="1" applyBorder="1"/>
    <xf numFmtId="0" fontId="17" fillId="0" borderId="22" xfId="1" applyFont="1" applyBorder="1" applyAlignment="1">
      <alignment horizontal="left"/>
    </xf>
    <xf numFmtId="0" fontId="1" fillId="0" borderId="0" xfId="1"/>
    <xf numFmtId="164" fontId="1" fillId="0" borderId="1" xfId="1" quotePrefix="1" applyNumberFormat="1" applyBorder="1" applyAlignment="1">
      <alignment horizontal="center"/>
    </xf>
    <xf numFmtId="2" fontId="1" fillId="0" borderId="2" xfId="1" applyNumberFormat="1" applyBorder="1" applyAlignment="1">
      <alignment horizontal="center"/>
    </xf>
    <xf numFmtId="2" fontId="24" fillId="0" borderId="24" xfId="1" applyNumberFormat="1" applyFont="1" applyBorder="1" applyAlignment="1">
      <alignment horizontal="left"/>
    </xf>
    <xf numFmtId="164" fontId="1" fillId="0" borderId="23" xfId="1" applyNumberFormat="1" applyBorder="1" applyAlignment="1">
      <alignment horizontal="right"/>
    </xf>
    <xf numFmtId="164" fontId="23" fillId="0" borderId="2" xfId="1" applyNumberFormat="1" applyFont="1" applyBorder="1" applyAlignment="1">
      <alignment horizontal="center"/>
    </xf>
    <xf numFmtId="164" fontId="1" fillId="0" borderId="2" xfId="1" applyNumberFormat="1" applyBorder="1"/>
    <xf numFmtId="164" fontId="1" fillId="0" borderId="0" xfId="1" applyNumberFormat="1" applyAlignment="1">
      <alignment horizontal="center"/>
    </xf>
    <xf numFmtId="0" fontId="1" fillId="0" borderId="0" xfId="1" applyAlignment="1">
      <alignment horizontal="center"/>
    </xf>
    <xf numFmtId="0" fontId="12" fillId="0" borderId="0" xfId="1" applyFont="1" applyAlignment="1">
      <alignment horizontal="right"/>
    </xf>
    <xf numFmtId="0" fontId="5" fillId="0" borderId="0" xfId="1" applyFont="1"/>
    <xf numFmtId="0" fontId="1" fillId="0" borderId="0" xfId="1" applyAlignment="1">
      <alignment horizontal="right"/>
    </xf>
    <xf numFmtId="164" fontId="1" fillId="0" borderId="0" xfId="1" applyNumberFormat="1"/>
    <xf numFmtId="2" fontId="1" fillId="0" borderId="0" xfId="1" applyNumberFormat="1" applyAlignment="1">
      <alignment horizontal="center"/>
    </xf>
    <xf numFmtId="2" fontId="1" fillId="0" borderId="0" xfId="1" applyNumberFormat="1"/>
    <xf numFmtId="0" fontId="17" fillId="0" borderId="24" xfId="1" applyFont="1" applyBorder="1" applyAlignment="1">
      <alignment horizontal="center"/>
    </xf>
    <xf numFmtId="0" fontId="27" fillId="0" borderId="21" xfId="1" applyFont="1" applyBorder="1" applyAlignment="1">
      <alignment horizontal="left"/>
    </xf>
    <xf numFmtId="0" fontId="1" fillId="0" borderId="20" xfId="1" applyBorder="1" applyAlignment="1">
      <alignment horizontal="left"/>
    </xf>
    <xf numFmtId="164" fontId="1" fillId="0" borderId="22" xfId="1" applyNumberFormat="1" applyBorder="1" applyAlignment="1">
      <alignment horizontal="center"/>
    </xf>
    <xf numFmtId="164" fontId="1" fillId="0" borderId="1" xfId="1" applyNumberFormat="1" applyBorder="1" applyAlignment="1">
      <alignment horizontal="center" vertical="center"/>
    </xf>
    <xf numFmtId="164" fontId="28" fillId="0" borderId="1" xfId="1" applyNumberFormat="1" applyFont="1" applyBorder="1" applyAlignment="1">
      <alignment horizontal="center"/>
    </xf>
    <xf numFmtId="164" fontId="29" fillId="0" borderId="1" xfId="1" applyNumberFormat="1" applyFont="1" applyBorder="1" applyAlignment="1">
      <alignment horizontal="center"/>
    </xf>
    <xf numFmtId="14" fontId="1" fillId="0" borderId="0" xfId="1" applyNumberFormat="1" applyAlignment="1">
      <alignment horizontal="center"/>
    </xf>
    <xf numFmtId="0" fontId="1" fillId="0" borderId="20" xfId="1" applyBorder="1" applyAlignment="1">
      <alignment horizontal="right"/>
    </xf>
    <xf numFmtId="164" fontId="1" fillId="0" borderId="1" xfId="1" applyNumberFormat="1" applyBorder="1" applyAlignment="1">
      <alignment horizontal="right"/>
    </xf>
    <xf numFmtId="164" fontId="25" fillId="0" borderId="1" xfId="1" applyNumberFormat="1" applyFont="1" applyBorder="1" applyAlignment="1">
      <alignment horizontal="center"/>
    </xf>
    <xf numFmtId="2" fontId="24" fillId="0" borderId="1" xfId="1" applyNumberFormat="1" applyFont="1" applyBorder="1" applyAlignment="1">
      <alignment horizontal="center"/>
    </xf>
    <xf numFmtId="164" fontId="17" fillId="0" borderId="21" xfId="1" applyNumberFormat="1" applyFont="1" applyBorder="1" applyAlignment="1">
      <alignment horizontal="left"/>
    </xf>
    <xf numFmtId="2" fontId="24" fillId="0" borderId="21" xfId="1" applyNumberFormat="1" applyFont="1" applyBorder="1" applyAlignment="1">
      <alignment horizontal="left"/>
    </xf>
    <xf numFmtId="164" fontId="24" fillId="0" borderId="1" xfId="1" applyNumberFormat="1" applyFont="1" applyBorder="1"/>
    <xf numFmtId="0" fontId="1" fillId="0" borderId="1" xfId="1" applyBorder="1"/>
    <xf numFmtId="0" fontId="24" fillId="0" borderId="20" xfId="1" applyFont="1" applyBorder="1" applyAlignment="1">
      <alignment horizontal="center"/>
    </xf>
    <xf numFmtId="164" fontId="31" fillId="2" borderId="1" xfId="2" applyNumberFormat="1" applyBorder="1" applyAlignment="1">
      <alignment horizontal="center"/>
    </xf>
    <xf numFmtId="164" fontId="32" fillId="0" borderId="1" xfId="1" applyNumberFormat="1" applyFont="1" applyBorder="1" applyAlignment="1">
      <alignment horizontal="center"/>
    </xf>
    <xf numFmtId="49" fontId="1" fillId="0" borderId="1" xfId="1" applyNumberFormat="1" applyBorder="1" applyAlignment="1">
      <alignment horizontal="center"/>
    </xf>
    <xf numFmtId="49" fontId="32" fillId="0" borderId="1" xfId="1" applyNumberFormat="1" applyFont="1" applyBorder="1" applyAlignment="1">
      <alignment horizontal="center"/>
    </xf>
    <xf numFmtId="0" fontId="26" fillId="0" borderId="21" xfId="1" applyFont="1" applyBorder="1" applyAlignment="1">
      <alignment horizontal="left"/>
    </xf>
    <xf numFmtId="0" fontId="9" fillId="2" borderId="12" xfId="2" applyFont="1" applyBorder="1" applyAlignment="1">
      <alignment horizontal="center" vertical="center"/>
    </xf>
    <xf numFmtId="0" fontId="9" fillId="0" borderId="12" xfId="2" applyFont="1" applyFill="1" applyBorder="1" applyAlignment="1">
      <alignment horizontal="center" vertical="center"/>
    </xf>
    <xf numFmtId="164" fontId="31" fillId="0" borderId="1" xfId="2" applyNumberFormat="1" applyFill="1" applyBorder="1" applyAlignment="1">
      <alignment horizontal="center"/>
    </xf>
    <xf numFmtId="14" fontId="17" fillId="0" borderId="0" xfId="1" applyNumberFormat="1" applyFont="1" applyAlignment="1">
      <alignment horizontal="left"/>
    </xf>
    <xf numFmtId="14" fontId="1" fillId="0" borderId="0" xfId="1" applyNumberFormat="1"/>
    <xf numFmtId="164" fontId="1" fillId="0" borderId="0" xfId="1" applyNumberFormat="1" applyAlignment="1">
      <alignment horizontal="right"/>
    </xf>
    <xf numFmtId="164" fontId="33" fillId="0" borderId="0" xfId="1" applyNumberFormat="1" applyFont="1" applyBorder="1" applyAlignment="1">
      <alignment horizontal="center"/>
    </xf>
    <xf numFmtId="0" fontId="33" fillId="0" borderId="0" xfId="1" applyFont="1" applyBorder="1" applyAlignment="1">
      <alignment horizontal="center"/>
    </xf>
    <xf numFmtId="14" fontId="33" fillId="0" borderId="0" xfId="1" applyNumberFormat="1" applyFont="1" applyBorder="1" applyAlignment="1">
      <alignment horizontal="center"/>
    </xf>
    <xf numFmtId="164" fontId="18" fillId="0" borderId="0" xfId="1" applyNumberFormat="1" applyFont="1" applyAlignment="1">
      <alignment horizontal="left"/>
    </xf>
    <xf numFmtId="0" fontId="1" fillId="0" borderId="0" xfId="1" applyAlignment="1">
      <alignment horizontal="right" shrinkToFit="1"/>
    </xf>
    <xf numFmtId="0" fontId="32" fillId="0" borderId="0" xfId="1" applyFont="1" applyAlignment="1">
      <alignment horizontal="right" shrinkToFit="1"/>
    </xf>
    <xf numFmtId="0" fontId="32" fillId="0" borderId="0" xfId="1" applyFont="1" applyAlignment="1">
      <alignment horizontal="right"/>
    </xf>
    <xf numFmtId="164" fontId="29" fillId="0" borderId="0" xfId="1" applyNumberFormat="1" applyFont="1" applyAlignment="1">
      <alignment horizontal="right"/>
    </xf>
    <xf numFmtId="0" fontId="29" fillId="0" borderId="0" xfId="1" applyFont="1" applyAlignment="1">
      <alignment horizontal="right"/>
    </xf>
    <xf numFmtId="164" fontId="29" fillId="0" borderId="0" xfId="1" applyNumberFormat="1" applyFont="1"/>
    <xf numFmtId="0" fontId="18" fillId="0" borderId="0" xfId="0" applyFont="1"/>
    <xf numFmtId="0" fontId="1" fillId="0" borderId="39" xfId="1" applyBorder="1" applyAlignment="1">
      <alignment horizontal="center"/>
    </xf>
    <xf numFmtId="2" fontId="1" fillId="0" borderId="40" xfId="1" applyNumberFormat="1" applyBorder="1" applyAlignment="1">
      <alignment horizontal="center"/>
    </xf>
    <xf numFmtId="2" fontId="1" fillId="0" borderId="41" xfId="1" applyNumberFormat="1" applyBorder="1" applyAlignment="1">
      <alignment horizontal="left"/>
    </xf>
    <xf numFmtId="164" fontId="1" fillId="0" borderId="39" xfId="1" applyNumberFormat="1" applyBorder="1" applyAlignment="1">
      <alignment horizontal="right"/>
    </xf>
    <xf numFmtId="164" fontId="1" fillId="0" borderId="40" xfId="1" applyNumberFormat="1" applyBorder="1" applyAlignment="1">
      <alignment horizontal="center"/>
    </xf>
    <xf numFmtId="164" fontId="32" fillId="0" borderId="40" xfId="1" applyNumberFormat="1" applyFont="1" applyBorder="1" applyAlignment="1">
      <alignment horizontal="center"/>
    </xf>
    <xf numFmtId="164" fontId="1" fillId="0" borderId="40" xfId="1" applyNumberFormat="1" applyBorder="1"/>
    <xf numFmtId="0" fontId="17" fillId="0" borderId="41" xfId="1" applyFont="1" applyBorder="1" applyAlignment="1">
      <alignment horizontal="left"/>
    </xf>
    <xf numFmtId="14" fontId="17" fillId="0" borderId="38" xfId="1" applyNumberFormat="1" applyFont="1" applyBorder="1" applyAlignment="1">
      <alignment horizontal="left"/>
    </xf>
    <xf numFmtId="164" fontId="1" fillId="0" borderId="21" xfId="1" applyNumberFormat="1" applyBorder="1" applyAlignment="1">
      <alignment horizontal="left"/>
    </xf>
    <xf numFmtId="0" fontId="1" fillId="0" borderId="0" xfId="0" applyFont="1"/>
    <xf numFmtId="164" fontId="1" fillId="0" borderId="0" xfId="0" applyNumberFormat="1" applyFont="1"/>
    <xf numFmtId="0" fontId="1" fillId="0" borderId="0" xfId="0" quotePrefix="1" applyFont="1"/>
    <xf numFmtId="16" fontId="1" fillId="0" borderId="0" xfId="0" quotePrefix="1" applyNumberFormat="1" applyFont="1"/>
    <xf numFmtId="164" fontId="6" fillId="0" borderId="0" xfId="1" applyNumberFormat="1" applyFont="1" applyAlignment="1">
      <alignment horizontal="center"/>
    </xf>
    <xf numFmtId="0" fontId="5" fillId="0" borderId="0" xfId="1" applyFont="1" applyAlignment="1">
      <alignment horizontal="right"/>
    </xf>
    <xf numFmtId="165" fontId="5" fillId="0" borderId="0" xfId="1" applyNumberFormat="1" applyFont="1" applyAlignment="1">
      <alignment horizontal="left"/>
    </xf>
    <xf numFmtId="166" fontId="3" fillId="0" borderId="4" xfId="1" applyNumberFormat="1" applyFont="1" applyBorder="1" applyAlignment="1">
      <alignment horizontal="right"/>
    </xf>
    <xf numFmtId="165" fontId="5" fillId="0" borderId="4" xfId="1" applyNumberFormat="1" applyFont="1" applyBorder="1" applyAlignment="1">
      <alignment horizontal="left"/>
    </xf>
    <xf numFmtId="0" fontId="3" fillId="0" borderId="4" xfId="1" applyFont="1" applyBorder="1" applyAlignment="1">
      <alignment horizontal="right"/>
    </xf>
    <xf numFmtId="167" fontId="1" fillId="0" borderId="0" xfId="0" applyNumberFormat="1" applyFont="1"/>
    <xf numFmtId="164" fontId="1" fillId="0" borderId="0" xfId="0" quotePrefix="1" applyNumberFormat="1" applyFont="1"/>
    <xf numFmtId="22" fontId="3" fillId="0" borderId="0" xfId="1" applyNumberFormat="1" applyFont="1" applyAlignment="1">
      <alignment horizontal="left"/>
    </xf>
    <xf numFmtId="22" fontId="6" fillId="0" borderId="0" xfId="1" applyNumberFormat="1" applyFont="1" applyAlignment="1">
      <alignment horizontal="left"/>
    </xf>
    <xf numFmtId="22" fontId="5" fillId="0" borderId="0" xfId="1" applyNumberFormat="1" applyFont="1" applyAlignment="1">
      <alignment horizontal="left"/>
    </xf>
    <xf numFmtId="22" fontId="3" fillId="0" borderId="4" xfId="1" applyNumberFormat="1" applyFont="1" applyBorder="1" applyAlignment="1">
      <alignment horizontal="left"/>
    </xf>
    <xf numFmtId="22" fontId="18" fillId="0" borderId="0" xfId="0" applyNumberFormat="1" applyFont="1"/>
    <xf numFmtId="22" fontId="1" fillId="0" borderId="0" xfId="0" applyNumberFormat="1" applyFont="1"/>
    <xf numFmtId="22" fontId="1" fillId="0" borderId="0" xfId="0" quotePrefix="1" applyNumberFormat="1" applyFont="1"/>
    <xf numFmtId="0" fontId="1" fillId="0" borderId="21" xfId="1" applyBorder="1" applyAlignment="1">
      <alignment horizontal="left"/>
    </xf>
    <xf numFmtId="0" fontId="1" fillId="0" borderId="43" xfId="1" applyBorder="1" applyAlignment="1">
      <alignment horizontal="center"/>
    </xf>
    <xf numFmtId="2" fontId="1" fillId="0" borderId="44" xfId="1" applyNumberFormat="1" applyBorder="1" applyAlignment="1">
      <alignment horizontal="center"/>
    </xf>
    <xf numFmtId="0" fontId="1" fillId="0" borderId="45" xfId="1" applyBorder="1" applyAlignment="1">
      <alignment horizontal="left"/>
    </xf>
    <xf numFmtId="0" fontId="1" fillId="0" borderId="43" xfId="1" applyBorder="1" applyAlignment="1">
      <alignment horizontal="right"/>
    </xf>
    <xf numFmtId="164" fontId="1" fillId="0" borderId="44" xfId="1" applyNumberFormat="1" applyBorder="1" applyAlignment="1">
      <alignment horizontal="center"/>
    </xf>
    <xf numFmtId="49" fontId="1" fillId="0" borderId="44" xfId="1" applyNumberFormat="1" applyBorder="1" applyAlignment="1">
      <alignment horizontal="center"/>
    </xf>
    <xf numFmtId="0" fontId="26" fillId="0" borderId="45" xfId="1" applyFont="1" applyBorder="1" applyAlignment="1">
      <alignment horizontal="left"/>
    </xf>
    <xf numFmtId="0" fontId="17" fillId="0" borderId="42" xfId="1" applyFont="1" applyBorder="1" applyAlignment="1">
      <alignment horizontal="left"/>
    </xf>
    <xf numFmtId="164" fontId="17" fillId="0" borderId="46" xfId="1" applyNumberFormat="1" applyFont="1" applyBorder="1" applyAlignment="1">
      <alignment horizontal="center"/>
    </xf>
    <xf numFmtId="49" fontId="1" fillId="0" borderId="21" xfId="1" applyNumberFormat="1" applyBorder="1" applyAlignment="1">
      <alignment horizontal="left"/>
    </xf>
    <xf numFmtId="49" fontId="1" fillId="0" borderId="20" xfId="1" applyNumberFormat="1" applyBorder="1" applyAlignment="1">
      <alignment horizontal="right"/>
    </xf>
    <xf numFmtId="0" fontId="9" fillId="0" borderId="27" xfId="1" applyFont="1" applyBorder="1" applyAlignment="1">
      <alignment horizontal="center" vertical="distributed" textRotation="90"/>
    </xf>
    <xf numFmtId="0" fontId="1" fillId="0" borderId="14" xfId="1" applyBorder="1" applyAlignment="1">
      <alignment horizontal="center" vertical="distributed" textRotation="90"/>
    </xf>
    <xf numFmtId="0" fontId="1" fillId="0" borderId="18" xfId="1" applyBorder="1" applyAlignment="1">
      <alignment horizontal="center" vertical="distributed" textRotation="90"/>
    </xf>
    <xf numFmtId="0" fontId="9" fillId="0" borderId="13" xfId="1" applyFont="1" applyBorder="1" applyAlignment="1">
      <alignment horizontal="center" vertical="center"/>
    </xf>
    <xf numFmtId="0" fontId="9" fillId="0" borderId="0" xfId="1" applyFont="1" applyAlignment="1">
      <alignment horizontal="center" vertical="center"/>
    </xf>
    <xf numFmtId="164" fontId="33" fillId="0" borderId="0" xfId="1" applyNumberFormat="1" applyFont="1" applyBorder="1" applyAlignment="1">
      <alignment horizontal="center"/>
    </xf>
    <xf numFmtId="0" fontId="1" fillId="0" borderId="0" xfId="0" applyFont="1" applyAlignment="1">
      <alignment horizontal="center"/>
    </xf>
    <xf numFmtId="164" fontId="1" fillId="0" borderId="29" xfId="1" applyNumberFormat="1" applyBorder="1" applyAlignment="1">
      <alignment horizontal="center" vertical="center"/>
    </xf>
    <xf numFmtId="164" fontId="1" fillId="0" borderId="30" xfId="1" applyNumberFormat="1" applyBorder="1" applyAlignment="1">
      <alignment horizontal="center" vertical="center"/>
    </xf>
    <xf numFmtId="164" fontId="1" fillId="0" borderId="31" xfId="1" applyNumberFormat="1" applyBorder="1" applyAlignment="1">
      <alignment horizontal="center" vertical="center"/>
    </xf>
    <xf numFmtId="164" fontId="1" fillId="0" borderId="32" xfId="1" applyNumberFormat="1" applyBorder="1" applyAlignment="1">
      <alignment horizontal="center" vertical="center"/>
    </xf>
    <xf numFmtId="164" fontId="1" fillId="0" borderId="34" xfId="1" applyNumberFormat="1" applyBorder="1" applyAlignment="1">
      <alignment horizontal="center" vertical="center"/>
    </xf>
    <xf numFmtId="164" fontId="1" fillId="0" borderId="33" xfId="1" applyNumberFormat="1" applyBorder="1" applyAlignment="1">
      <alignment horizontal="center" vertical="center"/>
    </xf>
    <xf numFmtId="164" fontId="1" fillId="0" borderId="35" xfId="1" applyNumberFormat="1" applyBorder="1" applyAlignment="1">
      <alignment horizontal="center" vertical="center"/>
    </xf>
    <xf numFmtId="164" fontId="1" fillId="0" borderId="36" xfId="1" applyNumberFormat="1" applyBorder="1" applyAlignment="1">
      <alignment horizontal="center" vertical="center"/>
    </xf>
    <xf numFmtId="164" fontId="1" fillId="0" borderId="37" xfId="1" applyNumberFormat="1" applyBorder="1" applyAlignment="1">
      <alignment horizontal="center" vertical="center"/>
    </xf>
    <xf numFmtId="164" fontId="33" fillId="0" borderId="0" xfId="1" applyNumberFormat="1" applyFont="1" applyBorder="1" applyAlignment="1"/>
  </cellXfs>
  <cellStyles count="3">
    <cellStyle name="Good" xfId="2" builtinId="26"/>
    <cellStyle name="Normal" xfId="0" builtinId="0"/>
    <cellStyle name="Normal 2" xfId="1" xr:uid="{00000000-0005-0000-0000-000001000000}"/>
  </cellStyles>
  <dxfs count="11"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  <fill>
        <patternFill>
          <bgColor theme="5" tint="0.79998168889431442"/>
        </patternFill>
      </fill>
    </dxf>
    <dxf>
      <font>
        <color rgb="FFFF0000"/>
      </font>
      <fill>
        <patternFill>
          <bgColor theme="5" tint="0.79998168889431442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79995117038483843"/>
        </patternFill>
      </fill>
    </dxf>
  </dxfs>
  <tableStyles count="0" defaultTableStyle="TableStyleMedium9" defaultPivotStyle="PivotStyleLight16"/>
  <colors>
    <mruColors>
      <color rgb="FFFF7C80"/>
      <color rgb="FFFF5050"/>
      <color rgb="FFFF996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eetMetadata" Target="metadata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238125</xdr:colOff>
      <xdr:row>1</xdr:row>
      <xdr:rowOff>142875</xdr:rowOff>
    </xdr:from>
    <xdr:to>
      <xdr:col>8</xdr:col>
      <xdr:colOff>541401</xdr:colOff>
      <xdr:row>27</xdr:row>
      <xdr:rowOff>123825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38125" y="304800"/>
          <a:ext cx="5180076" cy="41910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76200</xdr:colOff>
          <xdr:row>0</xdr:row>
          <xdr:rowOff>142875</xdr:rowOff>
        </xdr:from>
        <xdr:to>
          <xdr:col>19</xdr:col>
          <xdr:colOff>47625</xdr:colOff>
          <xdr:row>2</xdr:row>
          <xdr:rowOff>104775</xdr:rowOff>
        </xdr:to>
        <xdr:sp macro="" textlink="">
          <xdr:nvSpPr>
            <xdr:cNvPr id="11265" name="Button 1" hidden="1">
              <a:extLst>
                <a:ext uri="{63B3BB69-23CF-44E3-9099-C40C66FF867C}">
                  <a14:compatExt spid="_x0000_s11265"/>
                </a:ext>
                <a:ext uri="{FF2B5EF4-FFF2-40B4-BE49-F238E27FC236}">
                  <a16:creationId xmlns:a16="http://schemas.microsoft.com/office/drawing/2014/main" id="{00000000-0008-0000-0100-000001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AU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Import level file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66675</xdr:colOff>
          <xdr:row>2</xdr:row>
          <xdr:rowOff>133350</xdr:rowOff>
        </xdr:from>
        <xdr:to>
          <xdr:col>19</xdr:col>
          <xdr:colOff>38100</xdr:colOff>
          <xdr:row>4</xdr:row>
          <xdr:rowOff>95250</xdr:rowOff>
        </xdr:to>
        <xdr:sp macro="" textlink="">
          <xdr:nvSpPr>
            <xdr:cNvPr id="11266" name="Button 2" hidden="1">
              <a:extLst>
                <a:ext uri="{63B3BB69-23CF-44E3-9099-C40C66FF867C}">
                  <a14:compatExt spid="_x0000_s11266"/>
                </a:ext>
                <a:ext uri="{FF2B5EF4-FFF2-40B4-BE49-F238E27FC236}">
                  <a16:creationId xmlns:a16="http://schemas.microsoft.com/office/drawing/2014/main" id="{00000000-0008-0000-0100-000002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AU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Update From SLIP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66675</xdr:colOff>
          <xdr:row>4</xdr:row>
          <xdr:rowOff>123825</xdr:rowOff>
        </xdr:from>
        <xdr:to>
          <xdr:col>19</xdr:col>
          <xdr:colOff>38100</xdr:colOff>
          <xdr:row>6</xdr:row>
          <xdr:rowOff>85725</xdr:rowOff>
        </xdr:to>
        <xdr:sp macro="" textlink="">
          <xdr:nvSpPr>
            <xdr:cNvPr id="11267" name="Button 3" hidden="1">
              <a:extLst>
                <a:ext uri="{63B3BB69-23CF-44E3-9099-C40C66FF867C}">
                  <a14:compatExt spid="_x0000_s11267"/>
                </a:ext>
                <a:ext uri="{FF2B5EF4-FFF2-40B4-BE49-F238E27FC236}">
                  <a16:creationId xmlns:a16="http://schemas.microsoft.com/office/drawing/2014/main" id="{00000000-0008-0000-0100-000003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AU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Update Formula's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85725</xdr:colOff>
          <xdr:row>2</xdr:row>
          <xdr:rowOff>123825</xdr:rowOff>
        </xdr:from>
        <xdr:to>
          <xdr:col>19</xdr:col>
          <xdr:colOff>476250</xdr:colOff>
          <xdr:row>4</xdr:row>
          <xdr:rowOff>85725</xdr:rowOff>
        </xdr:to>
        <xdr:sp macro="" textlink="">
          <xdr:nvSpPr>
            <xdr:cNvPr id="11268" name="GES" hidden="1">
              <a:extLst>
                <a:ext uri="{63B3BB69-23CF-44E3-9099-C40C66FF867C}">
                  <a14:compatExt spid="_x0000_s11268"/>
                </a:ext>
                <a:ext uri="{FF2B5EF4-FFF2-40B4-BE49-F238E27FC236}">
                  <a16:creationId xmlns:a16="http://schemas.microsoft.com/office/drawing/2014/main" id="{00000000-0008-0000-0100-000004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AU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GES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114300</xdr:colOff>
          <xdr:row>0</xdr:row>
          <xdr:rowOff>142875</xdr:rowOff>
        </xdr:from>
        <xdr:to>
          <xdr:col>18</xdr:col>
          <xdr:colOff>0</xdr:colOff>
          <xdr:row>2</xdr:row>
          <xdr:rowOff>104775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2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AU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Import level file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114300</xdr:colOff>
          <xdr:row>2</xdr:row>
          <xdr:rowOff>142875</xdr:rowOff>
        </xdr:from>
        <xdr:to>
          <xdr:col>18</xdr:col>
          <xdr:colOff>0</xdr:colOff>
          <xdr:row>4</xdr:row>
          <xdr:rowOff>104775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2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AU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Update From SLIP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114300</xdr:colOff>
          <xdr:row>4</xdr:row>
          <xdr:rowOff>133350</xdr:rowOff>
        </xdr:from>
        <xdr:to>
          <xdr:col>18</xdr:col>
          <xdr:colOff>0</xdr:colOff>
          <xdr:row>6</xdr:row>
          <xdr:rowOff>95250</xdr:rowOff>
        </xdr:to>
        <xdr:sp macro="" textlink="">
          <xdr:nvSpPr>
            <xdr:cNvPr id="2051" name="Button 3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2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AU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Update Formula's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47625</xdr:colOff>
          <xdr:row>2</xdr:row>
          <xdr:rowOff>133350</xdr:rowOff>
        </xdr:from>
        <xdr:to>
          <xdr:col>18</xdr:col>
          <xdr:colOff>438150</xdr:colOff>
          <xdr:row>4</xdr:row>
          <xdr:rowOff>95250</xdr:rowOff>
        </xdr:to>
        <xdr:sp macro="" textlink="">
          <xdr:nvSpPr>
            <xdr:cNvPr id="2052" name="GES" hidden="1">
              <a:extLst>
                <a:ext uri="{63B3BB69-23CF-44E3-9099-C40C66FF867C}">
                  <a14:compatExt spid="_x0000_s2052"/>
                </a:ext>
                <a:ext uri="{FF2B5EF4-FFF2-40B4-BE49-F238E27FC236}">
                  <a16:creationId xmlns:a16="http://schemas.microsoft.com/office/drawing/2014/main" id="{00000000-0008-0000-0200-00000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AU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GES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104775</xdr:colOff>
          <xdr:row>7</xdr:row>
          <xdr:rowOff>66675</xdr:rowOff>
        </xdr:from>
        <xdr:to>
          <xdr:col>16</xdr:col>
          <xdr:colOff>47625</xdr:colOff>
          <xdr:row>9</xdr:row>
          <xdr:rowOff>28575</xdr:rowOff>
        </xdr:to>
        <xdr:sp macro="" textlink="">
          <xdr:nvSpPr>
            <xdr:cNvPr id="14337" name="Button 1" hidden="1">
              <a:extLst>
                <a:ext uri="{63B3BB69-23CF-44E3-9099-C40C66FF867C}">
                  <a14:compatExt spid="_x0000_s14337"/>
                </a:ext>
                <a:ext uri="{FF2B5EF4-FFF2-40B4-BE49-F238E27FC236}">
                  <a16:creationId xmlns:a16="http://schemas.microsoft.com/office/drawing/2014/main" id="{00000000-0008-0000-0300-000001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AU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Import VRS xml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85725</xdr:colOff>
          <xdr:row>9</xdr:row>
          <xdr:rowOff>123825</xdr:rowOff>
        </xdr:from>
        <xdr:to>
          <xdr:col>16</xdr:col>
          <xdr:colOff>28575</xdr:colOff>
          <xdr:row>11</xdr:row>
          <xdr:rowOff>85725</xdr:rowOff>
        </xdr:to>
        <xdr:sp macro="" textlink="">
          <xdr:nvSpPr>
            <xdr:cNvPr id="14338" name="Button 2" hidden="1">
              <a:extLst>
                <a:ext uri="{63B3BB69-23CF-44E3-9099-C40C66FF867C}">
                  <a14:compatExt spid="_x0000_s14338"/>
                </a:ext>
                <a:ext uri="{FF2B5EF4-FFF2-40B4-BE49-F238E27FC236}">
                  <a16:creationId xmlns:a16="http://schemas.microsoft.com/office/drawing/2014/main" id="{00000000-0008-0000-0300-000002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AU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SLIP Updates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85725</xdr:colOff>
          <xdr:row>12</xdr:row>
          <xdr:rowOff>9525</xdr:rowOff>
        </xdr:from>
        <xdr:to>
          <xdr:col>16</xdr:col>
          <xdr:colOff>28575</xdr:colOff>
          <xdr:row>13</xdr:row>
          <xdr:rowOff>133350</xdr:rowOff>
        </xdr:to>
        <xdr:sp macro="" textlink="">
          <xdr:nvSpPr>
            <xdr:cNvPr id="14339" name="Button 3" hidden="1">
              <a:extLst>
                <a:ext uri="{63B3BB69-23CF-44E3-9099-C40C66FF867C}">
                  <a14:compatExt spid="_x0000_s14339"/>
                </a:ext>
                <a:ext uri="{FF2B5EF4-FFF2-40B4-BE49-F238E27FC236}">
                  <a16:creationId xmlns:a16="http://schemas.microsoft.com/office/drawing/2014/main" id="{00000000-0008-0000-0300-000003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AU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SLIP Updates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609600</xdr:colOff>
      <xdr:row>10</xdr:row>
      <xdr:rowOff>95250</xdr:rowOff>
    </xdr:from>
    <xdr:to>
      <xdr:col>10</xdr:col>
      <xdr:colOff>723900</xdr:colOff>
      <xdr:row>12</xdr:row>
      <xdr:rowOff>142875</xdr:rowOff>
    </xdr:to>
    <xdr:sp macro="" textlink="">
      <xdr:nvSpPr>
        <xdr:cNvPr id="2" name="AutoShape 2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SpPr>
          <a:spLocks/>
        </xdr:cNvSpPr>
      </xdr:nvSpPr>
      <xdr:spPr bwMode="auto">
        <a:xfrm>
          <a:off x="6705600" y="1714500"/>
          <a:ext cx="0" cy="371475"/>
        </a:xfrm>
        <a:prstGeom prst="rightBrace">
          <a:avLst>
            <a:gd name="adj1" fmla="val 31250"/>
            <a:gd name="adj2" fmla="val 83333"/>
          </a:avLst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</a:extLst>
      </xdr:spPr>
    </xdr:sp>
    <xdr:clientData/>
  </xdr:twoCellAnchor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7" Type="http://schemas.openxmlformats.org/officeDocument/2006/relationships/ctrlProp" Target="../ctrlProps/ctrlProp8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7.xml"/><Relationship Id="rId5" Type="http://schemas.openxmlformats.org/officeDocument/2006/relationships/ctrlProp" Target="../ctrlProps/ctrlProp6.xml"/><Relationship Id="rId4" Type="http://schemas.openxmlformats.org/officeDocument/2006/relationships/ctrlProp" Target="../ctrlProps/ctrlProp5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9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4.xml"/><Relationship Id="rId5" Type="http://schemas.openxmlformats.org/officeDocument/2006/relationships/ctrlProp" Target="../ctrlProps/ctrlProp11.xml"/><Relationship Id="rId4" Type="http://schemas.openxmlformats.org/officeDocument/2006/relationships/ctrlProp" Target="../ctrlProps/ctrlProp10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C93755-32C7-44E1-A351-BE91A806773A}">
  <sheetPr codeName="Sheet1">
    <pageSetUpPr fitToPage="1"/>
  </sheetPr>
  <dimension ref="B4:M16"/>
  <sheetViews>
    <sheetView workbookViewId="0">
      <selection activeCell="N31" sqref="N31"/>
    </sheetView>
  </sheetViews>
  <sheetFormatPr defaultColWidth="9.140625" defaultRowHeight="12.75"/>
  <cols>
    <col min="1" max="16384" width="9.140625" style="118"/>
  </cols>
  <sheetData>
    <row r="4" spans="2:13">
      <c r="M4"/>
    </row>
    <row r="16" spans="2:13">
      <c r="B16"/>
    </row>
  </sheetData>
  <pageMargins left="0.70866141732283472" right="0.70866141732283472" top="0.74803149606299213" bottom="0.74803149606299213" header="0.31496062992125984" footer="0.31496062992125984"/>
  <pageSetup paperSize="9" orientation="landscape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CE76B2-A062-40CF-9D1E-0629C5910D92}">
  <sheetPr codeName="Sheet17"/>
  <dimension ref="A1:Y38"/>
  <sheetViews>
    <sheetView tabSelected="1" zoomScaleNormal="100" workbookViewId="0"/>
  </sheetViews>
  <sheetFormatPr defaultColWidth="9.140625" defaultRowHeight="12.75"/>
  <cols>
    <col min="1" max="1" width="3.5703125" style="6" customWidth="1"/>
    <col min="2" max="2" width="7.28515625" style="6" customWidth="1"/>
    <col min="3" max="3" width="10.42578125" style="6" customWidth="1"/>
    <col min="4" max="4" width="10.42578125" style="74" customWidth="1"/>
    <col min="5" max="5" width="7.28515625" style="6" customWidth="1"/>
    <col min="6" max="9" width="9.28515625" style="75" customWidth="1"/>
    <col min="10" max="10" width="9.28515625" style="6" customWidth="1"/>
    <col min="11" max="11" width="11.140625" style="6" customWidth="1"/>
    <col min="12" max="12" width="11.42578125" style="6" customWidth="1"/>
    <col min="13" max="13" width="11.140625" style="5" customWidth="1"/>
    <col min="14" max="14" width="14.5703125" style="6" customWidth="1"/>
    <col min="15" max="15" width="6.28515625" style="6" hidden="1" customWidth="1"/>
    <col min="16" max="16" width="6.7109375" style="6" customWidth="1"/>
    <col min="17" max="17" width="5.42578125" style="7" customWidth="1"/>
    <col min="18" max="16384" width="9.140625" style="6"/>
  </cols>
  <sheetData>
    <row r="1" spans="1:25">
      <c r="A1" s="1"/>
      <c r="B1" s="2"/>
      <c r="C1" s="2"/>
      <c r="D1" s="3"/>
      <c r="E1" s="2"/>
      <c r="F1" s="4"/>
      <c r="G1" s="2"/>
      <c r="H1" s="2"/>
      <c r="I1" s="5"/>
      <c r="J1" s="2"/>
      <c r="K1" s="2"/>
      <c r="L1" s="2"/>
      <c r="N1" s="2"/>
    </row>
    <row r="2" spans="1:25">
      <c r="A2" s="8" t="s">
        <v>30</v>
      </c>
      <c r="B2" s="8"/>
      <c r="C2" s="8"/>
      <c r="D2" s="9"/>
      <c r="E2" s="5"/>
      <c r="F2" s="10" t="s">
        <v>0</v>
      </c>
      <c r="G2" s="8"/>
      <c r="H2" s="5"/>
      <c r="I2" s="5"/>
      <c r="J2" s="5"/>
      <c r="K2" s="8"/>
      <c r="M2" s="8" t="s">
        <v>31</v>
      </c>
      <c r="N2" s="8"/>
      <c r="O2" s="5"/>
    </row>
    <row r="3" spans="1:25">
      <c r="A3" s="8"/>
      <c r="B3" s="8"/>
      <c r="C3" s="8"/>
      <c r="D3" s="9"/>
      <c r="E3" s="5"/>
      <c r="F3" s="11"/>
      <c r="G3" s="5"/>
      <c r="H3" s="5"/>
      <c r="I3" s="5"/>
      <c r="J3" s="5"/>
      <c r="K3" s="5"/>
      <c r="L3" s="5"/>
      <c r="N3" s="5"/>
    </row>
    <row r="4" spans="1:25">
      <c r="A4" s="8" t="s">
        <v>32</v>
      </c>
      <c r="B4" s="5"/>
      <c r="C4" s="5"/>
      <c r="D4" s="12"/>
      <c r="E4" s="5"/>
      <c r="F4" s="10" t="s">
        <v>33</v>
      </c>
      <c r="G4" s="5"/>
      <c r="H4" s="5"/>
      <c r="I4" s="5"/>
      <c r="J4" s="5"/>
      <c r="K4" s="8"/>
      <c r="M4" s="8" t="s">
        <v>105</v>
      </c>
      <c r="N4" s="8"/>
      <c r="O4" s="5"/>
    </row>
    <row r="5" spans="1:25">
      <c r="A5" s="5"/>
      <c r="B5" s="5"/>
      <c r="C5" s="5"/>
      <c r="D5" s="12"/>
      <c r="E5" s="5"/>
      <c r="F5" s="11"/>
      <c r="G5" s="5"/>
      <c r="H5" s="5"/>
      <c r="I5" s="5"/>
      <c r="J5" s="5"/>
      <c r="K5" s="5"/>
      <c r="L5" s="5"/>
      <c r="N5" s="5"/>
    </row>
    <row r="6" spans="1:25">
      <c r="A6" s="8" t="s">
        <v>35</v>
      </c>
      <c r="B6" s="5"/>
      <c r="C6" s="5"/>
      <c r="D6" s="12"/>
      <c r="E6" s="5"/>
      <c r="F6" s="10" t="s">
        <v>36</v>
      </c>
      <c r="G6" s="8"/>
      <c r="H6" s="13" t="s">
        <v>19</v>
      </c>
      <c r="I6" s="14">
        <v>1</v>
      </c>
      <c r="K6" s="15" t="s">
        <v>37</v>
      </c>
      <c r="L6" s="8"/>
      <c r="M6" s="8" t="s">
        <v>38</v>
      </c>
      <c r="N6" s="8"/>
      <c r="O6" s="5"/>
    </row>
    <row r="7" spans="1:25" ht="12.75" customHeight="1">
      <c r="A7" s="16"/>
      <c r="B7" s="16"/>
      <c r="C7" s="16"/>
      <c r="D7" s="17"/>
      <c r="E7" s="16"/>
      <c r="F7" s="18"/>
      <c r="G7" s="18"/>
      <c r="H7" s="19" t="s">
        <v>20</v>
      </c>
      <c r="I7" s="20">
        <v>1.0000000000000001E-5</v>
      </c>
      <c r="J7" s="16"/>
      <c r="K7" s="21" t="s">
        <v>56</v>
      </c>
      <c r="L7" s="22">
        <v>25</v>
      </c>
      <c r="M7" s="16"/>
      <c r="N7" s="16"/>
      <c r="P7" s="7"/>
    </row>
    <row r="8" spans="1:25" s="25" customFormat="1" ht="15.6" customHeight="1">
      <c r="A8" s="213" t="s">
        <v>21</v>
      </c>
      <c r="B8" s="23"/>
      <c r="C8" s="24"/>
      <c r="E8" s="23" t="s">
        <v>2</v>
      </c>
      <c r="F8" s="26" t="s">
        <v>3</v>
      </c>
      <c r="G8" s="27"/>
      <c r="H8" s="28"/>
      <c r="I8" s="29"/>
      <c r="J8" s="30" t="s">
        <v>4</v>
      </c>
      <c r="K8" s="31" t="s">
        <v>5</v>
      </c>
      <c r="L8" s="32"/>
      <c r="M8" s="33"/>
      <c r="N8" s="34"/>
      <c r="P8" s="35"/>
      <c r="Q8" s="35"/>
      <c r="R8" s="6"/>
      <c r="S8" s="6"/>
      <c r="T8" s="6"/>
      <c r="U8" s="6"/>
      <c r="V8" s="6"/>
      <c r="W8" s="6"/>
      <c r="X8" s="6"/>
      <c r="Y8" s="6"/>
    </row>
    <row r="9" spans="1:25" s="43" customFormat="1" ht="15.6" customHeight="1">
      <c r="A9" s="214"/>
      <c r="B9" s="36" t="s">
        <v>6</v>
      </c>
      <c r="C9" s="37" t="s">
        <v>1</v>
      </c>
      <c r="D9" s="38" t="s">
        <v>12</v>
      </c>
      <c r="E9" s="36" t="s">
        <v>6</v>
      </c>
      <c r="F9" s="39" t="s">
        <v>7</v>
      </c>
      <c r="G9" s="40" t="s">
        <v>8</v>
      </c>
      <c r="H9" s="39"/>
      <c r="I9" s="39" t="s">
        <v>9</v>
      </c>
      <c r="J9" s="41"/>
      <c r="K9" s="41"/>
      <c r="L9" s="41"/>
      <c r="M9" s="41"/>
      <c r="N9" s="216" t="s">
        <v>10</v>
      </c>
      <c r="O9" s="217"/>
      <c r="P9" s="217"/>
      <c r="Q9" s="42"/>
      <c r="R9" s="6"/>
      <c r="S9" s="6"/>
      <c r="T9" s="6"/>
      <c r="U9" s="6"/>
      <c r="V9" s="6"/>
      <c r="W9" s="6"/>
      <c r="X9" s="6"/>
      <c r="Y9" s="6"/>
    </row>
    <row r="10" spans="1:25" s="43" customFormat="1" ht="15.6" customHeight="1">
      <c r="A10" s="215"/>
      <c r="B10" s="155" t="s">
        <v>11</v>
      </c>
      <c r="C10" s="45"/>
      <c r="D10" s="46"/>
      <c r="E10" s="44" t="s">
        <v>13</v>
      </c>
      <c r="F10" s="150"/>
      <c r="G10" s="40" t="s">
        <v>7</v>
      </c>
      <c r="H10" s="47" t="s">
        <v>14</v>
      </c>
      <c r="I10" s="47" t="s">
        <v>14</v>
      </c>
      <c r="J10" s="48" t="s">
        <v>15</v>
      </c>
      <c r="K10" s="44" t="s">
        <v>16</v>
      </c>
      <c r="L10" s="155" t="s">
        <v>17</v>
      </c>
      <c r="M10" s="44" t="s">
        <v>18</v>
      </c>
      <c r="N10" s="49"/>
      <c r="P10" s="50"/>
      <c r="Q10" s="50"/>
      <c r="R10" s="6"/>
      <c r="S10" s="6"/>
      <c r="T10" s="6"/>
      <c r="U10" s="6"/>
      <c r="V10" s="6"/>
      <c r="W10" s="6"/>
      <c r="X10" s="6"/>
      <c r="Y10" s="6"/>
    </row>
    <row r="11" spans="1:25" ht="15.4" customHeight="1">
      <c r="A11" s="51"/>
      <c r="B11" s="60"/>
      <c r="C11" s="201"/>
      <c r="D11" s="141"/>
      <c r="E11" s="60"/>
      <c r="F11" s="55"/>
      <c r="G11" s="55"/>
      <c r="H11" s="55"/>
      <c r="I11" s="55"/>
      <c r="J11" s="55"/>
      <c r="K11" s="55"/>
      <c r="L11" s="152"/>
      <c r="M11" s="55"/>
      <c r="N11" s="154"/>
      <c r="O11" s="58"/>
      <c r="P11" s="59"/>
      <c r="Q11" s="59"/>
    </row>
    <row r="12" spans="1:25" ht="15.6" customHeight="1">
      <c r="A12" s="51"/>
      <c r="B12" s="60"/>
      <c r="C12" s="201"/>
      <c r="D12" s="141"/>
      <c r="E12" s="60"/>
      <c r="F12" s="55"/>
      <c r="G12" s="55"/>
      <c r="H12" s="55"/>
      <c r="I12" s="55"/>
      <c r="J12" s="55"/>
      <c r="K12" s="55"/>
      <c r="L12" s="152"/>
      <c r="M12" s="55"/>
      <c r="N12" s="154"/>
      <c r="O12" s="58"/>
      <c r="P12" s="59"/>
      <c r="Q12" s="59"/>
    </row>
    <row r="13" spans="1:25" ht="15.6" customHeight="1">
      <c r="A13" s="51"/>
      <c r="B13" s="60"/>
      <c r="C13" s="211"/>
      <c r="D13" s="212"/>
      <c r="E13" s="60"/>
      <c r="F13" s="55"/>
      <c r="G13" s="55"/>
      <c r="H13" s="55"/>
      <c r="I13" s="55"/>
      <c r="J13" s="55"/>
      <c r="K13" s="55"/>
      <c r="L13" s="153"/>
      <c r="M13" s="151"/>
      <c r="N13" s="154"/>
      <c r="O13" s="58"/>
      <c r="P13" s="59"/>
      <c r="Q13" s="59"/>
    </row>
    <row r="14" spans="1:25" ht="15.6" customHeight="1">
      <c r="A14" s="51"/>
      <c r="B14" s="60"/>
      <c r="C14" s="201"/>
      <c r="D14" s="141"/>
      <c r="E14" s="60"/>
      <c r="F14" s="55"/>
      <c r="G14" s="55"/>
      <c r="H14" s="55"/>
      <c r="I14" s="55"/>
      <c r="J14" s="55"/>
      <c r="K14" s="55"/>
      <c r="L14" s="152"/>
      <c r="M14" s="55"/>
      <c r="N14" s="154"/>
      <c r="O14" s="58"/>
      <c r="P14" s="59"/>
      <c r="Q14" s="59"/>
    </row>
    <row r="15" spans="1:25" ht="15.6" customHeight="1">
      <c r="A15" s="51"/>
      <c r="B15" s="60"/>
      <c r="C15" s="201"/>
      <c r="D15" s="141"/>
      <c r="E15" s="60"/>
      <c r="F15" s="55"/>
      <c r="G15" s="55"/>
      <c r="H15" s="55"/>
      <c r="I15" s="55"/>
      <c r="J15" s="55"/>
      <c r="K15" s="55"/>
      <c r="L15" s="152"/>
      <c r="M15" s="55"/>
      <c r="N15" s="154"/>
      <c r="O15" s="58"/>
      <c r="P15" s="59"/>
      <c r="Q15" s="59"/>
    </row>
    <row r="16" spans="1:25" ht="15.6" customHeight="1">
      <c r="A16" s="51"/>
      <c r="B16" s="60"/>
      <c r="C16" s="201"/>
      <c r="D16" s="141"/>
      <c r="E16" s="60"/>
      <c r="F16" s="55"/>
      <c r="G16" s="55"/>
      <c r="H16" s="55"/>
      <c r="I16" s="55"/>
      <c r="J16" s="55"/>
      <c r="K16" s="55"/>
      <c r="L16" s="152"/>
      <c r="M16" s="55"/>
      <c r="N16" s="154"/>
      <c r="O16" s="58"/>
      <c r="P16" s="59"/>
      <c r="Q16" s="59"/>
    </row>
    <row r="17" spans="1:17" ht="15.6" customHeight="1">
      <c r="A17" s="51"/>
      <c r="B17" s="60"/>
      <c r="C17" s="201"/>
      <c r="D17" s="141"/>
      <c r="E17" s="60"/>
      <c r="F17" s="55"/>
      <c r="G17" s="55"/>
      <c r="H17" s="55"/>
      <c r="I17" s="55"/>
      <c r="J17" s="55"/>
      <c r="K17" s="55"/>
      <c r="L17" s="152"/>
      <c r="M17" s="55"/>
      <c r="N17" s="154"/>
      <c r="O17" s="58"/>
      <c r="P17" s="59"/>
      <c r="Q17" s="59"/>
    </row>
    <row r="18" spans="1:17" ht="15.6" customHeight="1">
      <c r="A18" s="51"/>
      <c r="B18" s="60"/>
      <c r="C18" s="201"/>
      <c r="D18" s="141"/>
      <c r="E18" s="60"/>
      <c r="F18" s="55"/>
      <c r="G18" s="55"/>
      <c r="H18" s="55"/>
      <c r="I18" s="55"/>
      <c r="J18" s="55"/>
      <c r="K18" s="55"/>
      <c r="L18" s="152"/>
      <c r="M18" s="55"/>
      <c r="N18" s="154"/>
      <c r="O18" s="58"/>
      <c r="P18" s="59"/>
      <c r="Q18" s="59"/>
    </row>
    <row r="19" spans="1:17" ht="15.6" customHeight="1">
      <c r="A19" s="51"/>
      <c r="B19" s="60"/>
      <c r="C19" s="201"/>
      <c r="D19" s="141"/>
      <c r="E19" s="60"/>
      <c r="F19" s="55"/>
      <c r="G19" s="55"/>
      <c r="H19" s="55"/>
      <c r="I19" s="55"/>
      <c r="J19" s="55"/>
      <c r="K19" s="55"/>
      <c r="L19" s="152"/>
      <c r="M19" s="55"/>
      <c r="N19" s="154"/>
      <c r="O19" s="58"/>
      <c r="P19" s="59"/>
      <c r="Q19" s="59"/>
    </row>
    <row r="20" spans="1:17" ht="15.6" customHeight="1">
      <c r="A20" s="51"/>
      <c r="B20" s="60"/>
      <c r="C20" s="201"/>
      <c r="D20" s="141"/>
      <c r="E20" s="60"/>
      <c r="F20" s="55"/>
      <c r="G20" s="55"/>
      <c r="H20" s="55"/>
      <c r="I20" s="55"/>
      <c r="J20" s="55"/>
      <c r="K20" s="55"/>
      <c r="L20" s="152"/>
      <c r="M20" s="55"/>
      <c r="N20" s="154"/>
      <c r="O20" s="58"/>
      <c r="P20" s="59"/>
      <c r="Q20" s="59"/>
    </row>
    <row r="21" spans="1:17" ht="15.6" customHeight="1">
      <c r="A21" s="51"/>
      <c r="B21" s="60"/>
      <c r="C21" s="201"/>
      <c r="D21" s="141"/>
      <c r="E21" s="60"/>
      <c r="F21" s="55"/>
      <c r="G21" s="55"/>
      <c r="H21" s="55"/>
      <c r="I21" s="55"/>
      <c r="J21" s="55"/>
      <c r="K21" s="55"/>
      <c r="L21" s="152"/>
      <c r="M21" s="55"/>
      <c r="N21" s="154"/>
      <c r="O21" s="58"/>
      <c r="P21" s="59"/>
      <c r="Q21" s="59"/>
    </row>
    <row r="22" spans="1:17" ht="15.6" customHeight="1">
      <c r="A22" s="51"/>
      <c r="B22" s="60"/>
      <c r="C22" s="201"/>
      <c r="D22" s="141"/>
      <c r="E22" s="60"/>
      <c r="F22" s="55"/>
      <c r="G22" s="55"/>
      <c r="H22" s="55"/>
      <c r="I22" s="55"/>
      <c r="J22" s="55"/>
      <c r="K22" s="55"/>
      <c r="L22" s="152"/>
      <c r="M22" s="55"/>
      <c r="N22" s="154"/>
      <c r="O22" s="58"/>
      <c r="P22" s="59"/>
      <c r="Q22" s="59"/>
    </row>
    <row r="23" spans="1:17" ht="15.6" customHeight="1">
      <c r="A23" s="51"/>
      <c r="B23" s="60"/>
      <c r="C23" s="201"/>
      <c r="D23" s="141"/>
      <c r="E23" s="60"/>
      <c r="F23" s="55"/>
      <c r="G23" s="55"/>
      <c r="H23" s="55"/>
      <c r="I23" s="55"/>
      <c r="J23" s="55"/>
      <c r="K23" s="55"/>
      <c r="L23" s="152"/>
      <c r="M23" s="55"/>
      <c r="N23" s="154"/>
      <c r="O23" s="58"/>
      <c r="P23" s="59"/>
      <c r="Q23" s="59"/>
    </row>
    <row r="24" spans="1:17" ht="15.6" customHeight="1">
      <c r="A24" s="51"/>
      <c r="B24" s="60"/>
      <c r="C24" s="201"/>
      <c r="D24" s="141"/>
      <c r="E24" s="60"/>
      <c r="F24" s="55"/>
      <c r="G24" s="55"/>
      <c r="H24" s="55"/>
      <c r="I24" s="55"/>
      <c r="J24" s="55"/>
      <c r="K24" s="55"/>
      <c r="L24" s="152"/>
      <c r="M24" s="55"/>
      <c r="N24" s="154"/>
      <c r="O24" s="58"/>
      <c r="P24" s="59"/>
      <c r="Q24" s="59"/>
    </row>
    <row r="25" spans="1:17" ht="15.6" customHeight="1">
      <c r="A25" s="51"/>
      <c r="B25" s="60"/>
      <c r="C25" s="201"/>
      <c r="D25" s="141"/>
      <c r="E25" s="60"/>
      <c r="F25" s="55"/>
      <c r="G25" s="55"/>
      <c r="H25" s="55"/>
      <c r="I25" s="55"/>
      <c r="J25" s="55"/>
      <c r="K25" s="55"/>
      <c r="L25" s="152"/>
      <c r="M25" s="55"/>
      <c r="N25" s="154"/>
      <c r="O25" s="58"/>
      <c r="P25" s="59"/>
      <c r="Q25" s="59"/>
    </row>
    <row r="26" spans="1:17" ht="15.6" customHeight="1">
      <c r="A26" s="51"/>
      <c r="B26" s="60"/>
      <c r="C26" s="201"/>
      <c r="D26" s="141"/>
      <c r="E26" s="60"/>
      <c r="F26" s="55"/>
      <c r="G26" s="55"/>
      <c r="H26" s="55"/>
      <c r="I26" s="55"/>
      <c r="J26" s="55"/>
      <c r="K26" s="55"/>
      <c r="L26" s="152"/>
      <c r="M26" s="55"/>
      <c r="N26" s="154"/>
      <c r="O26" s="58"/>
      <c r="P26" s="59"/>
      <c r="Q26" s="59"/>
    </row>
    <row r="27" spans="1:17" ht="15.6" customHeight="1">
      <c r="A27" s="51"/>
      <c r="B27" s="60"/>
      <c r="C27" s="201"/>
      <c r="D27" s="141"/>
      <c r="E27" s="60"/>
      <c r="F27" s="55"/>
      <c r="G27" s="55"/>
      <c r="H27" s="55"/>
      <c r="I27" s="55"/>
      <c r="J27" s="55"/>
      <c r="K27" s="55"/>
      <c r="L27" s="152"/>
      <c r="M27" s="55"/>
      <c r="N27" s="154"/>
      <c r="O27" s="58"/>
      <c r="P27" s="59"/>
      <c r="Q27" s="59"/>
    </row>
    <row r="28" spans="1:17" ht="15.6" customHeight="1">
      <c r="A28" s="51"/>
      <c r="B28" s="60"/>
      <c r="C28" s="201"/>
      <c r="D28" s="141"/>
      <c r="E28" s="60"/>
      <c r="F28" s="55"/>
      <c r="G28" s="55"/>
      <c r="H28" s="55"/>
      <c r="I28" s="55"/>
      <c r="J28" s="55"/>
      <c r="K28" s="55"/>
      <c r="L28" s="152"/>
      <c r="M28" s="55"/>
      <c r="N28" s="154"/>
      <c r="O28" s="58"/>
      <c r="P28" s="59"/>
      <c r="Q28" s="59"/>
    </row>
    <row r="29" spans="1:17" ht="15.6" customHeight="1">
      <c r="A29" s="51"/>
      <c r="B29" s="60"/>
      <c r="C29" s="201"/>
      <c r="D29" s="141"/>
      <c r="E29" s="60"/>
      <c r="F29" s="55"/>
      <c r="G29" s="55"/>
      <c r="H29" s="55"/>
      <c r="I29" s="55"/>
      <c r="J29" s="55"/>
      <c r="K29" s="55"/>
      <c r="L29" s="152"/>
      <c r="M29" s="55"/>
      <c r="N29" s="154"/>
      <c r="O29" s="58"/>
      <c r="P29" s="59"/>
      <c r="Q29" s="59"/>
    </row>
    <row r="30" spans="1:17" ht="15.6" customHeight="1">
      <c r="A30" s="51"/>
      <c r="B30" s="60"/>
      <c r="C30" s="201"/>
      <c r="D30" s="141"/>
      <c r="E30" s="60"/>
      <c r="F30" s="55"/>
      <c r="G30" s="55"/>
      <c r="H30" s="55"/>
      <c r="I30" s="55"/>
      <c r="J30" s="55"/>
      <c r="K30" s="55"/>
      <c r="L30" s="152"/>
      <c r="M30" s="55"/>
      <c r="N30" s="154"/>
      <c r="O30" s="58"/>
      <c r="P30" s="59"/>
      <c r="Q30" s="59"/>
    </row>
    <row r="31" spans="1:17" ht="15.6" customHeight="1">
      <c r="A31" s="51"/>
      <c r="B31" s="60"/>
      <c r="C31" s="201"/>
      <c r="D31" s="141"/>
      <c r="E31" s="60"/>
      <c r="F31" s="55"/>
      <c r="G31" s="55"/>
      <c r="H31" s="55"/>
      <c r="I31" s="55"/>
      <c r="J31" s="55"/>
      <c r="K31" s="55"/>
      <c r="L31" s="152"/>
      <c r="M31" s="55"/>
      <c r="N31" s="154"/>
      <c r="O31" s="58"/>
      <c r="P31" s="59"/>
      <c r="Q31" s="59"/>
    </row>
    <row r="32" spans="1:17" ht="15.6" customHeight="1">
      <c r="A32" s="51"/>
      <c r="B32" s="60"/>
      <c r="C32" s="201"/>
      <c r="D32" s="141"/>
      <c r="E32" s="60"/>
      <c r="F32" s="55"/>
      <c r="G32" s="55"/>
      <c r="H32" s="55"/>
      <c r="I32" s="55"/>
      <c r="J32" s="55"/>
      <c r="K32" s="55"/>
      <c r="L32" s="152"/>
      <c r="M32" s="55"/>
      <c r="N32" s="154"/>
      <c r="O32" s="58"/>
      <c r="P32" s="59"/>
      <c r="Q32" s="59"/>
    </row>
    <row r="33" spans="1:17" ht="15.6" customHeight="1">
      <c r="A33" s="51"/>
      <c r="B33" s="60"/>
      <c r="C33" s="201"/>
      <c r="D33" s="141"/>
      <c r="E33" s="60"/>
      <c r="F33" s="55"/>
      <c r="G33" s="55"/>
      <c r="H33" s="55"/>
      <c r="I33" s="55"/>
      <c r="J33" s="55"/>
      <c r="K33" s="55"/>
      <c r="L33" s="152"/>
      <c r="M33" s="55"/>
      <c r="N33" s="154"/>
      <c r="O33" s="58"/>
      <c r="P33" s="59"/>
      <c r="Q33" s="59"/>
    </row>
    <row r="34" spans="1:17" ht="15.6" customHeight="1">
      <c r="A34" s="51"/>
      <c r="B34" s="60"/>
      <c r="C34" s="201"/>
      <c r="D34" s="141"/>
      <c r="E34" s="60"/>
      <c r="F34" s="55"/>
      <c r="G34" s="55"/>
      <c r="H34" s="55"/>
      <c r="I34" s="55"/>
      <c r="J34" s="55"/>
      <c r="K34" s="55"/>
      <c r="L34" s="152"/>
      <c r="M34" s="55"/>
      <c r="N34" s="154"/>
      <c r="O34" s="58"/>
      <c r="P34" s="59"/>
      <c r="Q34" s="59"/>
    </row>
    <row r="35" spans="1:17" ht="15.6" customHeight="1">
      <c r="A35" s="51"/>
      <c r="B35" s="60"/>
      <c r="C35" s="201"/>
      <c r="D35" s="141"/>
      <c r="E35" s="60"/>
      <c r="F35" s="55"/>
      <c r="G35" s="55"/>
      <c r="H35" s="55"/>
      <c r="I35" s="55"/>
      <c r="J35" s="55"/>
      <c r="K35" s="55"/>
      <c r="L35" s="152"/>
      <c r="M35" s="55"/>
      <c r="N35" s="154"/>
      <c r="O35" s="58"/>
      <c r="P35" s="59"/>
      <c r="Q35" s="59"/>
    </row>
    <row r="36" spans="1:17" ht="15.6" customHeight="1">
      <c r="A36" s="51"/>
      <c r="B36" s="60"/>
      <c r="C36" s="201"/>
      <c r="D36" s="141"/>
      <c r="E36" s="60"/>
      <c r="F36" s="55"/>
      <c r="G36" s="55"/>
      <c r="H36" s="55"/>
      <c r="I36" s="55"/>
      <c r="J36" s="55"/>
      <c r="K36" s="55"/>
      <c r="L36" s="152"/>
      <c r="M36" s="55"/>
      <c r="N36" s="154"/>
      <c r="O36" s="58"/>
      <c r="P36" s="59"/>
      <c r="Q36" s="59"/>
    </row>
    <row r="37" spans="1:17" ht="15.6" customHeight="1">
      <c r="A37" s="51"/>
      <c r="B37" s="60"/>
      <c r="C37" s="201"/>
      <c r="D37" s="141"/>
      <c r="E37" s="60"/>
      <c r="F37" s="55"/>
      <c r="G37" s="55"/>
      <c r="H37" s="55"/>
      <c r="I37" s="55"/>
      <c r="J37" s="55"/>
      <c r="K37" s="55"/>
      <c r="L37" s="152"/>
      <c r="M37" s="55"/>
      <c r="N37" s="154"/>
      <c r="O37" s="58"/>
      <c r="P37" s="59"/>
      <c r="Q37" s="59"/>
    </row>
    <row r="38" spans="1:17" ht="15.6" customHeight="1">
      <c r="A38" s="202"/>
      <c r="B38" s="203"/>
      <c r="C38" s="204"/>
      <c r="D38" s="205"/>
      <c r="E38" s="203"/>
      <c r="F38" s="206"/>
      <c r="G38" s="206"/>
      <c r="H38" s="206"/>
      <c r="I38" s="206"/>
      <c r="J38" s="206"/>
      <c r="K38" s="206"/>
      <c r="L38" s="207"/>
      <c r="M38" s="206"/>
      <c r="N38" s="208"/>
      <c r="O38" s="209"/>
      <c r="P38" s="210"/>
      <c r="Q38" s="210"/>
    </row>
  </sheetData>
  <mergeCells count="2">
    <mergeCell ref="A8:A10"/>
    <mergeCell ref="N9:P9"/>
  </mergeCells>
  <printOptions horizontalCentered="1" verticalCentered="1"/>
  <pageMargins left="3.937007874015748E-2" right="3.937007874015748E-2" top="0.19685039370078741" bottom="0" header="0.19685039370078741" footer="0.23622047244094491"/>
  <pageSetup paperSize="9" orientation="landscape" r:id="rId1"/>
  <headerFooter alignWithMargins="0">
    <oddFooter>&amp;LFile &amp;F        Date &amp;D&amp;RPage 1 of 2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5" r:id="rId4" name="Button 1">
              <controlPr defaultSize="0" print="0" autoFill="0" autoPict="0" macro="[0]!Import_DNA_btn">
                <anchor moveWithCells="1" sizeWithCells="1">
                  <from>
                    <xdr:col>17</xdr:col>
                    <xdr:colOff>76200</xdr:colOff>
                    <xdr:row>0</xdr:row>
                    <xdr:rowOff>142875</xdr:rowOff>
                  </from>
                  <to>
                    <xdr:col>19</xdr:col>
                    <xdr:colOff>47625</xdr:colOff>
                    <xdr:row>2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66" r:id="rId5" name="Button 2">
              <controlPr defaultSize="0" print="0" autoFill="0" autoPict="0" macro="[0]!Update_From_SLIP_btn">
                <anchor moveWithCells="1" sizeWithCells="1">
                  <from>
                    <xdr:col>17</xdr:col>
                    <xdr:colOff>66675</xdr:colOff>
                    <xdr:row>2</xdr:row>
                    <xdr:rowOff>133350</xdr:rowOff>
                  </from>
                  <to>
                    <xdr:col>19</xdr:col>
                    <xdr:colOff>38100</xdr:colOff>
                    <xdr:row>4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67" r:id="rId6" name="Button 3">
              <controlPr defaultSize="0" print="0" autoFill="0" autoPict="0" macro="[0]!Update_Formulas_btn">
                <anchor moveWithCells="1" sizeWithCells="1">
                  <from>
                    <xdr:col>17</xdr:col>
                    <xdr:colOff>66675</xdr:colOff>
                    <xdr:row>4</xdr:row>
                    <xdr:rowOff>123825</xdr:rowOff>
                  </from>
                  <to>
                    <xdr:col>19</xdr:col>
                    <xdr:colOff>38100</xdr:colOff>
                    <xdr:row>6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68" r:id="rId7" name="GES">
              <controlPr defaultSize="0" print="0" autoFill="0" autoPict="0" macro="[0]!Update_From_GES_btn">
                <anchor moveWithCells="1" sizeWithCells="1">
                  <from>
                    <xdr:col>19</xdr:col>
                    <xdr:colOff>85725</xdr:colOff>
                    <xdr:row>2</xdr:row>
                    <xdr:rowOff>123825</xdr:rowOff>
                  </from>
                  <to>
                    <xdr:col>19</xdr:col>
                    <xdr:colOff>476250</xdr:colOff>
                    <xdr:row>4</xdr:row>
                    <xdr:rowOff>85725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>
    <pageSetUpPr fitToPage="1"/>
  </sheetPr>
  <dimension ref="A1:AA36"/>
  <sheetViews>
    <sheetView zoomScaleNormal="100" workbookViewId="0">
      <selection activeCell="C19" sqref="C19"/>
    </sheetView>
  </sheetViews>
  <sheetFormatPr defaultColWidth="9.140625" defaultRowHeight="12.75"/>
  <cols>
    <col min="1" max="1" width="3.5703125" style="6" customWidth="1"/>
    <col min="2" max="2" width="7.28515625" style="126" customWidth="1"/>
    <col min="3" max="3" width="10.42578125" style="126" customWidth="1"/>
    <col min="4" max="4" width="10.42578125" style="127" customWidth="1"/>
    <col min="5" max="5" width="7.28515625" style="126" customWidth="1"/>
    <col min="6" max="6" width="9.28515625" style="125" customWidth="1"/>
    <col min="7" max="10" width="9.28515625" style="126" customWidth="1"/>
    <col min="11" max="11" width="11.140625" style="118" customWidth="1"/>
    <col min="12" max="12" width="11.42578125" style="118" customWidth="1"/>
    <col min="13" max="13" width="11.140625" style="128" customWidth="1"/>
    <col min="14" max="14" width="26.140625" style="118" customWidth="1"/>
    <col min="15" max="15" width="6.28515625" style="118" hidden="1" customWidth="1"/>
    <col min="16" max="16" width="0" style="118" hidden="1" customWidth="1"/>
    <col min="17" max="17" width="10" style="159" customWidth="1"/>
    <col min="18" max="18" width="9.140625" style="160"/>
    <col min="19" max="19" width="9.140625" style="118"/>
    <col min="20" max="20" width="9.140625" style="160"/>
    <col min="21" max="21" width="9.140625" style="118"/>
    <col min="22" max="22" width="11.7109375" style="118" bestFit="1" customWidth="1"/>
    <col min="23" max="23" width="9.85546875" style="160" bestFit="1" customWidth="1"/>
    <col min="24" max="24" width="9.140625" style="130"/>
    <col min="25" max="16384" width="9.140625" style="118"/>
  </cols>
  <sheetData>
    <row r="1" spans="1:27" s="6" customFormat="1">
      <c r="A1" s="1"/>
      <c r="B1" s="2"/>
      <c r="C1" s="2"/>
      <c r="D1" s="3"/>
      <c r="E1" s="2"/>
      <c r="F1" s="4"/>
      <c r="G1" s="2"/>
      <c r="H1" s="2"/>
      <c r="I1" s="5"/>
      <c r="J1" s="2"/>
      <c r="K1" s="2"/>
      <c r="L1" s="2"/>
      <c r="M1" s="5"/>
      <c r="N1" s="2"/>
      <c r="Q1" s="158"/>
      <c r="R1" s="160"/>
      <c r="S1" s="118"/>
      <c r="T1" s="160"/>
      <c r="U1" s="118"/>
      <c r="V1" s="118"/>
      <c r="W1" s="160"/>
      <c r="X1" s="130"/>
    </row>
    <row r="2" spans="1:27" s="6" customFormat="1">
      <c r="A2" s="8" t="s">
        <v>30</v>
      </c>
      <c r="B2" s="8"/>
      <c r="C2" s="8"/>
      <c r="D2" s="9"/>
      <c r="E2" s="5"/>
      <c r="F2" s="10" t="s">
        <v>0</v>
      </c>
      <c r="G2" s="8"/>
      <c r="H2" s="5"/>
      <c r="I2" s="5"/>
      <c r="J2" s="5"/>
      <c r="K2" s="8"/>
      <c r="M2" s="8" t="s">
        <v>31</v>
      </c>
      <c r="N2" s="8"/>
      <c r="O2" s="5"/>
      <c r="Q2" s="158"/>
      <c r="R2" s="160"/>
      <c r="S2" s="118"/>
      <c r="T2" s="160"/>
      <c r="U2" s="118"/>
      <c r="V2" s="118"/>
      <c r="W2" s="160"/>
      <c r="X2" s="130"/>
    </row>
    <row r="3" spans="1:27" s="6" customFormat="1">
      <c r="A3" s="8"/>
      <c r="B3" s="8"/>
      <c r="C3" s="8"/>
      <c r="D3" s="9"/>
      <c r="E3" s="5"/>
      <c r="F3" s="11"/>
      <c r="G3" s="5"/>
      <c r="H3" s="5"/>
      <c r="I3" s="5"/>
      <c r="J3" s="5"/>
      <c r="K3" s="5"/>
      <c r="L3" s="5"/>
      <c r="M3" s="5"/>
      <c r="N3" s="5"/>
      <c r="Q3" s="158"/>
      <c r="R3" s="160"/>
      <c r="S3" s="118"/>
      <c r="T3" s="160"/>
      <c r="U3" s="118"/>
      <c r="V3" s="118"/>
      <c r="W3" s="160"/>
      <c r="X3" s="130"/>
    </row>
    <row r="4" spans="1:27" s="6" customFormat="1">
      <c r="A4" s="8" t="s">
        <v>32</v>
      </c>
      <c r="B4" s="5"/>
      <c r="C4" s="5"/>
      <c r="D4" s="12"/>
      <c r="E4" s="5"/>
      <c r="F4" s="10" t="s">
        <v>33</v>
      </c>
      <c r="G4" s="5"/>
      <c r="H4" s="5"/>
      <c r="I4" s="5"/>
      <c r="J4" s="5"/>
      <c r="K4" s="8"/>
      <c r="M4" s="8" t="s">
        <v>105</v>
      </c>
      <c r="N4" s="8"/>
      <c r="O4" s="5"/>
      <c r="Q4" s="158"/>
      <c r="R4" s="160"/>
      <c r="S4" s="118"/>
      <c r="T4" s="160"/>
      <c r="U4" s="118"/>
      <c r="V4" s="118"/>
      <c r="W4" s="160"/>
      <c r="X4" s="130"/>
    </row>
    <row r="5" spans="1:27" s="6" customFormat="1">
      <c r="A5" s="5"/>
      <c r="B5" s="5"/>
      <c r="C5" s="5"/>
      <c r="D5" s="12"/>
      <c r="E5" s="5"/>
      <c r="F5" s="11"/>
      <c r="G5" s="5"/>
      <c r="H5" s="5"/>
      <c r="I5" s="5"/>
      <c r="J5" s="5"/>
      <c r="K5" s="5"/>
      <c r="L5" s="5"/>
      <c r="M5" s="5"/>
      <c r="N5" s="5"/>
      <c r="Q5" s="158"/>
      <c r="R5" s="160"/>
      <c r="S5" s="118"/>
      <c r="T5" s="160"/>
      <c r="U5" s="118"/>
      <c r="V5" s="118"/>
      <c r="W5" s="160"/>
      <c r="X5" s="130"/>
    </row>
    <row r="6" spans="1:27" s="6" customFormat="1">
      <c r="A6" s="8" t="s">
        <v>35</v>
      </c>
      <c r="B6" s="5"/>
      <c r="C6" s="5"/>
      <c r="D6" s="12"/>
      <c r="E6" s="5"/>
      <c r="F6" s="10" t="s">
        <v>36</v>
      </c>
      <c r="G6" s="8"/>
      <c r="H6" s="13" t="s">
        <v>19</v>
      </c>
      <c r="I6" s="14">
        <v>1</v>
      </c>
      <c r="K6" s="15" t="s">
        <v>37</v>
      </c>
      <c r="L6" s="8"/>
      <c r="M6" s="8" t="s">
        <v>38</v>
      </c>
      <c r="N6" s="8"/>
      <c r="O6" s="5"/>
      <c r="Q6" s="158"/>
      <c r="R6" s="160"/>
      <c r="S6" s="118"/>
      <c r="T6" s="160"/>
      <c r="U6" s="118"/>
      <c r="V6" s="118"/>
      <c r="W6" s="160"/>
      <c r="X6" s="130"/>
    </row>
    <row r="7" spans="1:27" s="6" customFormat="1" ht="12.75" customHeight="1">
      <c r="A7" s="16"/>
      <c r="B7" s="16"/>
      <c r="C7" s="16"/>
      <c r="D7" s="17"/>
      <c r="E7" s="16"/>
      <c r="F7" s="18"/>
      <c r="G7" s="18"/>
      <c r="H7" s="19" t="s">
        <v>20</v>
      </c>
      <c r="I7" s="20">
        <v>1.0000000000000001E-5</v>
      </c>
      <c r="J7" s="16"/>
      <c r="K7" s="21" t="s">
        <v>56</v>
      </c>
      <c r="L7" s="22">
        <v>25</v>
      </c>
      <c r="M7" s="16"/>
      <c r="N7" s="16"/>
      <c r="P7" s="7"/>
      <c r="Q7" s="158"/>
      <c r="R7" s="160"/>
      <c r="S7" s="118"/>
      <c r="T7" s="160"/>
      <c r="U7" s="118"/>
      <c r="V7" s="118"/>
      <c r="W7" s="160"/>
      <c r="X7" s="130"/>
    </row>
    <row r="8" spans="1:27" s="100" customFormat="1" ht="15.6" customHeight="1">
      <c r="A8" s="88" t="s">
        <v>22</v>
      </c>
      <c r="B8" s="89"/>
      <c r="C8" s="90"/>
      <c r="D8" s="91"/>
      <c r="E8" s="92" t="s">
        <v>2</v>
      </c>
      <c r="F8" s="93" t="s">
        <v>3</v>
      </c>
      <c r="G8" s="94"/>
      <c r="H8" s="95"/>
      <c r="I8" s="96"/>
      <c r="J8" s="97"/>
      <c r="K8" s="94" t="s">
        <v>5</v>
      </c>
      <c r="L8" s="98"/>
      <c r="M8" s="98"/>
      <c r="N8" s="99"/>
      <c r="Q8" s="158"/>
      <c r="R8" s="160"/>
      <c r="S8" s="118"/>
      <c r="T8" s="160"/>
      <c r="U8" s="118"/>
      <c r="V8" s="118"/>
      <c r="W8" s="160"/>
      <c r="X8" s="130"/>
      <c r="Y8" s="6"/>
    </row>
    <row r="9" spans="1:27" s="107" customFormat="1" ht="15.6" customHeight="1">
      <c r="A9" s="101" t="s">
        <v>22</v>
      </c>
      <c r="B9" s="36" t="s">
        <v>6</v>
      </c>
      <c r="C9" s="102" t="s">
        <v>1</v>
      </c>
      <c r="D9" s="103" t="s">
        <v>23</v>
      </c>
      <c r="E9" s="36" t="s">
        <v>6</v>
      </c>
      <c r="F9" s="104" t="s">
        <v>7</v>
      </c>
      <c r="G9" s="105" t="s">
        <v>8</v>
      </c>
      <c r="H9" s="41"/>
      <c r="I9" s="41" t="s">
        <v>9</v>
      </c>
      <c r="J9" s="41" t="s">
        <v>24</v>
      </c>
      <c r="K9" s="106"/>
      <c r="L9" s="106"/>
      <c r="M9" s="106"/>
      <c r="N9" s="37" t="s">
        <v>10</v>
      </c>
      <c r="Q9" s="158"/>
      <c r="R9" s="160"/>
      <c r="S9" s="118"/>
      <c r="T9" s="160"/>
      <c r="U9" s="118"/>
      <c r="V9" s="118"/>
      <c r="W9" s="160"/>
      <c r="X9" s="130"/>
      <c r="Y9" s="6"/>
    </row>
    <row r="10" spans="1:27" s="107" customFormat="1" ht="15.6" customHeight="1">
      <c r="A10" s="108" t="s">
        <v>22</v>
      </c>
      <c r="B10" s="156" t="s">
        <v>11</v>
      </c>
      <c r="C10" s="109"/>
      <c r="D10" s="110"/>
      <c r="E10" s="111" t="s">
        <v>13</v>
      </c>
      <c r="F10" s="157"/>
      <c r="G10" s="41" t="s">
        <v>7</v>
      </c>
      <c r="H10" s="36" t="s">
        <v>14</v>
      </c>
      <c r="I10" s="111" t="s">
        <v>14</v>
      </c>
      <c r="J10" s="36" t="s">
        <v>25</v>
      </c>
      <c r="K10" s="108" t="s">
        <v>26</v>
      </c>
      <c r="L10" s="36" t="s">
        <v>17</v>
      </c>
      <c r="M10" s="36" t="s">
        <v>18</v>
      </c>
      <c r="N10" s="113"/>
      <c r="Q10" s="163"/>
      <c r="R10" s="161"/>
      <c r="S10" s="162"/>
      <c r="T10" s="161"/>
      <c r="U10" s="162"/>
      <c r="V10" s="162"/>
      <c r="W10" s="161"/>
      <c r="X10" s="161"/>
      <c r="Y10" s="229"/>
      <c r="Z10" s="229"/>
      <c r="AA10" s="229"/>
    </row>
    <row r="11" spans="1:27" ht="15.6" customHeight="1">
      <c r="A11" s="51"/>
      <c r="B11" s="60"/>
      <c r="C11" s="61"/>
      <c r="D11" s="62"/>
      <c r="E11" s="60"/>
      <c r="F11" s="55"/>
      <c r="G11" s="55"/>
      <c r="H11" s="55"/>
      <c r="I11" s="55"/>
      <c r="J11" s="55"/>
      <c r="K11" s="151"/>
      <c r="L11" s="152"/>
      <c r="M11" s="115"/>
      <c r="N11" s="57"/>
      <c r="O11" s="51"/>
      <c r="P11" s="60"/>
      <c r="Q11" s="158"/>
    </row>
    <row r="12" spans="1:27" ht="15.6" customHeight="1">
      <c r="A12" s="51"/>
      <c r="B12" s="60"/>
      <c r="C12" s="61"/>
      <c r="D12" s="62"/>
      <c r="E12" s="60"/>
      <c r="F12" s="55"/>
      <c r="G12" s="55"/>
      <c r="H12" s="55"/>
      <c r="I12" s="55"/>
      <c r="J12" s="55"/>
      <c r="K12" s="151"/>
      <c r="L12" s="55"/>
      <c r="M12" s="115"/>
      <c r="N12" s="57"/>
      <c r="O12" s="51"/>
      <c r="P12" s="60"/>
      <c r="Q12" s="158"/>
    </row>
    <row r="13" spans="1:27" ht="15.6" customHeight="1">
      <c r="A13" s="51"/>
      <c r="B13" s="60"/>
      <c r="C13" s="61"/>
      <c r="D13" s="62"/>
      <c r="E13" s="60"/>
      <c r="F13" s="55"/>
      <c r="G13" s="55"/>
      <c r="H13" s="55"/>
      <c r="I13" s="55"/>
      <c r="J13" s="55"/>
      <c r="K13" s="151"/>
      <c r="L13" s="152"/>
      <c r="M13" s="115"/>
      <c r="N13" s="57"/>
      <c r="O13" s="51"/>
      <c r="P13" s="60"/>
      <c r="Q13" s="158"/>
    </row>
    <row r="14" spans="1:27" ht="15.6" customHeight="1">
      <c r="A14" s="51"/>
      <c r="B14" s="60"/>
      <c r="C14" s="61"/>
      <c r="D14" s="62"/>
      <c r="E14" s="60"/>
      <c r="F14" s="55"/>
      <c r="G14" s="55"/>
      <c r="H14" s="55"/>
      <c r="I14" s="55"/>
      <c r="J14" s="55"/>
      <c r="K14" s="151"/>
      <c r="L14" s="152"/>
      <c r="M14" s="115"/>
      <c r="N14" s="57"/>
      <c r="O14" s="51"/>
      <c r="P14" s="60"/>
      <c r="Q14" s="158"/>
    </row>
    <row r="15" spans="1:27" ht="15.6" customHeight="1">
      <c r="A15" s="51"/>
      <c r="B15" s="60"/>
      <c r="C15" s="61"/>
      <c r="D15" s="62"/>
      <c r="E15" s="60"/>
      <c r="F15" s="55"/>
      <c r="G15" s="55"/>
      <c r="H15" s="55"/>
      <c r="I15" s="55"/>
      <c r="J15" s="55"/>
      <c r="K15" s="151"/>
      <c r="L15" s="152"/>
      <c r="M15" s="115"/>
      <c r="N15" s="57"/>
      <c r="O15" s="51"/>
      <c r="P15" s="60"/>
      <c r="Q15" s="158"/>
    </row>
    <row r="16" spans="1:27" ht="15.6" customHeight="1">
      <c r="A16" s="51"/>
      <c r="B16" s="60"/>
      <c r="C16" s="61"/>
      <c r="D16" s="62"/>
      <c r="E16" s="60"/>
      <c r="F16" s="55"/>
      <c r="G16" s="55"/>
      <c r="H16" s="55"/>
      <c r="I16" s="55"/>
      <c r="J16" s="55"/>
      <c r="K16" s="151"/>
      <c r="L16" s="152"/>
      <c r="M16" s="115"/>
      <c r="N16" s="57"/>
      <c r="O16" s="51"/>
      <c r="P16" s="60"/>
      <c r="Q16" s="158"/>
    </row>
    <row r="17" spans="1:17" ht="15.6" customHeight="1">
      <c r="A17" s="51"/>
      <c r="B17" s="60"/>
      <c r="C17" s="61"/>
      <c r="D17" s="62"/>
      <c r="E17" s="60"/>
      <c r="F17" s="55"/>
      <c r="G17" s="55"/>
      <c r="H17" s="55"/>
      <c r="I17" s="55"/>
      <c r="J17" s="55"/>
      <c r="K17" s="151"/>
      <c r="L17" s="152"/>
      <c r="M17" s="115"/>
      <c r="N17" s="57"/>
      <c r="O17" s="51"/>
      <c r="P17" s="60"/>
      <c r="Q17" s="158"/>
    </row>
    <row r="18" spans="1:17" ht="15.6" customHeight="1">
      <c r="A18" s="51"/>
      <c r="B18" s="60"/>
      <c r="C18" s="61"/>
      <c r="D18" s="62"/>
      <c r="E18" s="60"/>
      <c r="F18" s="55"/>
      <c r="G18" s="55"/>
      <c r="H18" s="55"/>
      <c r="I18" s="55"/>
      <c r="J18" s="55"/>
      <c r="K18" s="151"/>
      <c r="L18" s="152"/>
      <c r="M18" s="115"/>
      <c r="N18" s="57"/>
      <c r="O18" s="51"/>
      <c r="P18" s="60"/>
      <c r="Q18" s="158"/>
    </row>
    <row r="19" spans="1:17" ht="15.6" customHeight="1">
      <c r="A19" s="51"/>
      <c r="B19" s="60"/>
      <c r="C19" s="61"/>
      <c r="D19" s="62"/>
      <c r="E19" s="60"/>
      <c r="F19" s="55"/>
      <c r="G19" s="55"/>
      <c r="H19" s="55"/>
      <c r="I19" s="55"/>
      <c r="J19" s="55"/>
      <c r="K19" s="151"/>
      <c r="L19" s="55"/>
      <c r="M19" s="115"/>
      <c r="N19" s="57"/>
      <c r="O19" s="51"/>
      <c r="P19" s="60"/>
      <c r="Q19" s="158"/>
    </row>
    <row r="20" spans="1:17" ht="15.6" customHeight="1">
      <c r="A20" s="51"/>
      <c r="B20" s="60"/>
      <c r="C20" s="61"/>
      <c r="D20" s="62"/>
      <c r="E20" s="60"/>
      <c r="F20" s="55"/>
      <c r="G20" s="55"/>
      <c r="H20" s="55"/>
      <c r="I20" s="55"/>
      <c r="J20" s="55"/>
      <c r="K20" s="151"/>
      <c r="L20" s="152"/>
      <c r="M20" s="115"/>
      <c r="N20" s="57"/>
      <c r="O20" s="51"/>
      <c r="P20" s="60"/>
      <c r="Q20" s="158"/>
    </row>
    <row r="21" spans="1:17" ht="15.6" customHeight="1">
      <c r="A21" s="51"/>
      <c r="B21" s="60"/>
      <c r="C21" s="61"/>
      <c r="D21" s="62"/>
      <c r="E21" s="60"/>
      <c r="F21" s="55"/>
      <c r="G21" s="55"/>
      <c r="H21" s="55"/>
      <c r="I21" s="55"/>
      <c r="J21" s="55"/>
      <c r="K21" s="151"/>
      <c r="L21" s="152"/>
      <c r="M21" s="115"/>
      <c r="N21" s="57"/>
      <c r="O21" s="51"/>
      <c r="P21" s="60"/>
      <c r="Q21" s="158"/>
    </row>
    <row r="22" spans="1:17" ht="15.6" customHeight="1">
      <c r="A22" s="51"/>
      <c r="B22" s="60"/>
      <c r="C22" s="61"/>
      <c r="D22" s="62"/>
      <c r="E22" s="60"/>
      <c r="F22" s="55"/>
      <c r="G22" s="55"/>
      <c r="H22" s="55"/>
      <c r="I22" s="55"/>
      <c r="J22" s="55"/>
      <c r="K22" s="151"/>
      <c r="L22" s="152"/>
      <c r="M22" s="115"/>
      <c r="N22" s="57"/>
      <c r="O22" s="51"/>
      <c r="P22" s="60"/>
      <c r="Q22" s="158"/>
    </row>
    <row r="23" spans="1:17" ht="15.6" customHeight="1">
      <c r="A23" s="51"/>
      <c r="B23" s="60"/>
      <c r="C23" s="61"/>
      <c r="D23" s="62"/>
      <c r="E23" s="60"/>
      <c r="F23" s="55"/>
      <c r="G23" s="55"/>
      <c r="H23" s="55"/>
      <c r="I23" s="55"/>
      <c r="J23" s="55"/>
      <c r="K23" s="151"/>
      <c r="L23" s="152"/>
      <c r="M23" s="115"/>
      <c r="N23" s="57"/>
      <c r="O23" s="51"/>
      <c r="P23" s="60"/>
      <c r="Q23" s="158"/>
    </row>
    <row r="24" spans="1:17" ht="15.6" customHeight="1">
      <c r="A24" s="51"/>
      <c r="B24" s="60"/>
      <c r="C24" s="61"/>
      <c r="D24" s="62"/>
      <c r="E24" s="60"/>
      <c r="F24" s="55"/>
      <c r="G24" s="55"/>
      <c r="H24" s="55"/>
      <c r="I24" s="55"/>
      <c r="J24" s="55"/>
      <c r="K24" s="151"/>
      <c r="L24" s="152"/>
      <c r="M24" s="115"/>
      <c r="N24" s="57"/>
      <c r="O24" s="51"/>
      <c r="P24" s="60"/>
      <c r="Q24" s="158"/>
    </row>
    <row r="25" spans="1:17" ht="15.6" customHeight="1">
      <c r="A25" s="51"/>
      <c r="B25" s="60"/>
      <c r="C25" s="61"/>
      <c r="D25" s="62"/>
      <c r="E25" s="60"/>
      <c r="F25" s="55"/>
      <c r="G25" s="55"/>
      <c r="H25" s="55"/>
      <c r="I25" s="55"/>
      <c r="J25" s="55"/>
      <c r="K25" s="151"/>
      <c r="L25" s="152"/>
      <c r="M25" s="115"/>
      <c r="N25" s="57"/>
      <c r="O25" s="51"/>
      <c r="P25" s="60"/>
      <c r="Q25" s="158"/>
    </row>
    <row r="26" spans="1:17" ht="15.6" customHeight="1">
      <c r="A26" s="51"/>
      <c r="B26" s="60"/>
      <c r="C26" s="61"/>
      <c r="D26" s="62"/>
      <c r="E26" s="60"/>
      <c r="F26" s="55"/>
      <c r="G26" s="55"/>
      <c r="H26" s="55"/>
      <c r="I26" s="55"/>
      <c r="J26" s="55"/>
      <c r="K26" s="151"/>
      <c r="L26" s="152"/>
      <c r="M26" s="115"/>
      <c r="N26" s="57"/>
      <c r="O26" s="51"/>
      <c r="P26" s="60"/>
      <c r="Q26" s="158"/>
    </row>
    <row r="27" spans="1:17" ht="15.6" customHeight="1">
      <c r="A27" s="51"/>
      <c r="B27" s="60"/>
      <c r="C27" s="61"/>
      <c r="D27" s="62"/>
      <c r="E27" s="60"/>
      <c r="F27" s="55"/>
      <c r="G27" s="55"/>
      <c r="H27" s="55"/>
      <c r="I27" s="55"/>
      <c r="J27" s="55"/>
      <c r="K27" s="151"/>
      <c r="L27" s="152"/>
      <c r="M27" s="115"/>
      <c r="N27" s="57"/>
      <c r="O27" s="51"/>
      <c r="P27" s="60"/>
      <c r="Q27" s="158"/>
    </row>
    <row r="28" spans="1:17" ht="15.6" customHeight="1">
      <c r="A28" s="51"/>
      <c r="B28" s="60"/>
      <c r="C28" s="61"/>
      <c r="D28" s="62"/>
      <c r="E28" s="60"/>
      <c r="F28" s="55"/>
      <c r="G28" s="55"/>
      <c r="H28" s="55"/>
      <c r="I28" s="55"/>
      <c r="J28" s="55"/>
      <c r="K28" s="151"/>
      <c r="L28" s="152"/>
      <c r="M28" s="115"/>
      <c r="N28" s="57"/>
      <c r="O28" s="51"/>
      <c r="P28" s="60"/>
      <c r="Q28" s="158"/>
    </row>
    <row r="29" spans="1:17" ht="15.6" customHeight="1">
      <c r="A29" s="51"/>
      <c r="B29" s="60"/>
      <c r="C29" s="61"/>
      <c r="D29" s="62"/>
      <c r="E29" s="60"/>
      <c r="F29" s="55"/>
      <c r="G29" s="55"/>
      <c r="H29" s="55"/>
      <c r="I29" s="55"/>
      <c r="J29" s="55"/>
      <c r="K29" s="151"/>
      <c r="L29" s="55"/>
      <c r="M29" s="115"/>
      <c r="N29" s="57"/>
      <c r="O29" s="51"/>
      <c r="P29" s="60"/>
      <c r="Q29" s="158"/>
    </row>
    <row r="30" spans="1:17" ht="15.6" customHeight="1">
      <c r="A30" s="51"/>
      <c r="B30" s="60"/>
      <c r="C30" s="61"/>
      <c r="D30" s="62"/>
      <c r="E30" s="60"/>
      <c r="F30" s="55"/>
      <c r="G30" s="55"/>
      <c r="H30" s="55"/>
      <c r="I30" s="55"/>
      <c r="J30" s="55"/>
      <c r="K30" s="151"/>
      <c r="L30" s="152"/>
      <c r="M30" s="115"/>
      <c r="N30" s="57"/>
      <c r="O30" s="51"/>
      <c r="P30" s="60"/>
      <c r="Q30" s="158"/>
    </row>
    <row r="31" spans="1:17" ht="15.6" customHeight="1">
      <c r="A31" s="51"/>
      <c r="B31" s="60"/>
      <c r="C31" s="61"/>
      <c r="D31" s="62"/>
      <c r="E31" s="60"/>
      <c r="F31" s="55"/>
      <c r="G31" s="55"/>
      <c r="H31" s="55"/>
      <c r="I31" s="55"/>
      <c r="J31" s="55"/>
      <c r="K31" s="151"/>
      <c r="L31" s="152"/>
      <c r="M31" s="115"/>
      <c r="N31" s="57"/>
      <c r="O31" s="51"/>
      <c r="P31" s="60"/>
      <c r="Q31" s="158"/>
    </row>
    <row r="32" spans="1:17" ht="15.6" customHeight="1">
      <c r="A32" s="51"/>
      <c r="B32" s="60"/>
      <c r="C32" s="61"/>
      <c r="D32" s="62"/>
      <c r="E32" s="60"/>
      <c r="F32" s="55"/>
      <c r="G32" s="55"/>
      <c r="H32" s="55"/>
      <c r="I32" s="55"/>
      <c r="J32" s="55"/>
      <c r="K32" s="151"/>
      <c r="L32" s="152"/>
      <c r="M32" s="115"/>
      <c r="N32" s="57"/>
      <c r="O32" s="51"/>
      <c r="P32" s="60"/>
      <c r="Q32" s="158"/>
    </row>
    <row r="33" spans="1:17" ht="15.6" customHeight="1">
      <c r="A33" s="51"/>
      <c r="B33" s="60"/>
      <c r="C33" s="61"/>
      <c r="D33" s="62"/>
      <c r="E33" s="60"/>
      <c r="F33" s="55"/>
      <c r="G33" s="55"/>
      <c r="H33" s="55"/>
      <c r="I33" s="55"/>
      <c r="J33" s="55"/>
      <c r="K33" s="151"/>
      <c r="L33" s="55"/>
      <c r="M33" s="115"/>
      <c r="N33" s="57"/>
      <c r="O33" s="51"/>
      <c r="P33" s="60"/>
      <c r="Q33" s="158"/>
    </row>
    <row r="34" spans="1:17" ht="15.6" customHeight="1">
      <c r="A34" s="51"/>
      <c r="B34" s="60"/>
      <c r="C34" s="61"/>
      <c r="D34" s="62"/>
      <c r="E34" s="60"/>
      <c r="F34" s="55"/>
      <c r="G34" s="55"/>
      <c r="H34" s="55"/>
      <c r="I34" s="55"/>
      <c r="J34" s="55"/>
      <c r="K34" s="151"/>
      <c r="L34" s="152"/>
      <c r="M34" s="115"/>
      <c r="N34" s="57"/>
      <c r="O34" s="51"/>
      <c r="P34" s="60"/>
      <c r="Q34" s="158"/>
    </row>
    <row r="35" spans="1:17" ht="15.6" customHeight="1">
      <c r="A35" s="51"/>
      <c r="B35" s="60"/>
      <c r="C35" s="61"/>
      <c r="D35" s="62"/>
      <c r="E35" s="60"/>
      <c r="F35" s="55"/>
      <c r="G35" s="55"/>
      <c r="H35" s="55"/>
      <c r="I35" s="55"/>
      <c r="J35" s="55"/>
      <c r="K35" s="151"/>
      <c r="L35" s="152"/>
      <c r="M35" s="115"/>
      <c r="N35" s="57"/>
      <c r="O35" s="51"/>
      <c r="P35" s="60"/>
      <c r="Q35" s="158"/>
    </row>
    <row r="36" spans="1:17" ht="15.6" customHeight="1">
      <c r="A36" s="172"/>
      <c r="B36" s="173"/>
      <c r="C36" s="174"/>
      <c r="D36" s="175"/>
      <c r="E36" s="173"/>
      <c r="F36" s="176"/>
      <c r="G36" s="176"/>
      <c r="H36" s="176"/>
      <c r="I36" s="176"/>
      <c r="J36" s="176"/>
      <c r="K36" s="177"/>
      <c r="L36" s="176"/>
      <c r="M36" s="178"/>
      <c r="N36" s="179"/>
      <c r="O36" s="172"/>
      <c r="P36" s="173"/>
      <c r="Q36" s="180"/>
    </row>
  </sheetData>
  <phoneticPr fontId="0" type="noConversion"/>
  <conditionalFormatting sqref="J1:J1048576 W1:X1048576">
    <cfRule type="expression" dxfId="10" priority="1">
      <formula>ABS(J1)&gt;0.01</formula>
    </cfRule>
  </conditionalFormatting>
  <printOptions horizontalCentered="1" verticalCentered="1"/>
  <pageMargins left="3.937007874015748E-2" right="3.937007874015748E-2" top="0.19685039370078741" bottom="0.19685039370078741" header="0.19685039370078741" footer="0.19685039370078741"/>
  <pageSetup paperSize="9" scale="93" orientation="landscape" r:id="rId1"/>
  <headerFooter alignWithMargins="0">
    <oddFooter>&amp;LFile &amp;F        Date &amp;D&amp;RPage 2 of 2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Import_DNA_btn">
                <anchor moveWithCells="1" sizeWithCells="1">
                  <from>
                    <xdr:col>16</xdr:col>
                    <xdr:colOff>114300</xdr:colOff>
                    <xdr:row>0</xdr:row>
                    <xdr:rowOff>142875</xdr:rowOff>
                  </from>
                  <to>
                    <xdr:col>18</xdr:col>
                    <xdr:colOff>0</xdr:colOff>
                    <xdr:row>2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Update_From_SLIP_btn">
                <anchor moveWithCells="1" sizeWithCells="1">
                  <from>
                    <xdr:col>16</xdr:col>
                    <xdr:colOff>114300</xdr:colOff>
                    <xdr:row>2</xdr:row>
                    <xdr:rowOff>142875</xdr:rowOff>
                  </from>
                  <to>
                    <xdr:col>18</xdr:col>
                    <xdr:colOff>0</xdr:colOff>
                    <xdr:row>4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6" name="Button 3">
              <controlPr defaultSize="0" print="0" autoFill="0" autoPict="0" macro="[0]!Update_Formulas_btn">
                <anchor moveWithCells="1" sizeWithCells="1">
                  <from>
                    <xdr:col>16</xdr:col>
                    <xdr:colOff>114300</xdr:colOff>
                    <xdr:row>4</xdr:row>
                    <xdr:rowOff>133350</xdr:rowOff>
                  </from>
                  <to>
                    <xdr:col>18</xdr:col>
                    <xdr:colOff>0</xdr:colOff>
                    <xdr:row>6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2" r:id="rId7" name="GES">
              <controlPr defaultSize="0" print="0" autoFill="0" autoPict="0" macro="[0]!Update_From_GES_btn">
                <anchor moveWithCells="1" sizeWithCells="1">
                  <from>
                    <xdr:col>18</xdr:col>
                    <xdr:colOff>47625</xdr:colOff>
                    <xdr:row>2</xdr:row>
                    <xdr:rowOff>133350</xdr:rowOff>
                  </from>
                  <to>
                    <xdr:col>18</xdr:col>
                    <xdr:colOff>438150</xdr:colOff>
                    <xdr:row>4</xdr:row>
                    <xdr:rowOff>95250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ADA09C4-ACB3-431A-82C1-7A7ECA858D41}">
  <sheetPr codeName="Sheet5"/>
  <dimension ref="A1:N285"/>
  <sheetViews>
    <sheetView zoomScaleNormal="100" workbookViewId="0">
      <selection activeCell="Q27" sqref="Q27"/>
    </sheetView>
  </sheetViews>
  <sheetFormatPr defaultColWidth="9.140625" defaultRowHeight="12.75"/>
  <cols>
    <col min="1" max="1" width="21.7109375" style="199" customWidth="1"/>
    <col min="2" max="2" width="19.28515625" style="182" bestFit="1" customWidth="1"/>
    <col min="3" max="3" width="21.85546875" style="182" customWidth="1"/>
    <col min="4" max="4" width="15.42578125" style="182" customWidth="1"/>
    <col min="5" max="5" width="16.85546875" style="182" customWidth="1"/>
    <col min="6" max="6" width="11.5703125" style="182" customWidth="1"/>
    <col min="7" max="7" width="7" style="182" bestFit="1" customWidth="1"/>
    <col min="8" max="9" width="9.5703125" style="182" bestFit="1" customWidth="1"/>
    <col min="10" max="10" width="20" style="182" bestFit="1" customWidth="1"/>
    <col min="11" max="11" width="18.140625" style="182" bestFit="1" customWidth="1"/>
    <col min="12" max="16384" width="9.140625" style="182"/>
  </cols>
  <sheetData>
    <row r="1" spans="1:14">
      <c r="A1" s="194"/>
      <c r="B1" s="2"/>
      <c r="C1" s="2"/>
      <c r="D1" s="3"/>
      <c r="E1" s="2"/>
      <c r="F1" s="4"/>
      <c r="G1" s="2"/>
      <c r="H1" s="2"/>
      <c r="I1" s="5"/>
      <c r="J1" s="2"/>
      <c r="K1" s="2"/>
      <c r="L1" s="2"/>
      <c r="M1" s="5"/>
      <c r="N1" s="2"/>
    </row>
    <row r="2" spans="1:14">
      <c r="A2" s="195" t="s">
        <v>30</v>
      </c>
      <c r="B2" s="5"/>
      <c r="C2" s="8" t="s">
        <v>107</v>
      </c>
      <c r="D2" s="12"/>
      <c r="E2" s="5"/>
      <c r="F2" s="186" t="s">
        <v>106</v>
      </c>
      <c r="G2" s="5"/>
      <c r="H2" s="5"/>
      <c r="I2" s="5"/>
      <c r="J2" s="5"/>
      <c r="K2" s="5"/>
      <c r="L2" s="6"/>
      <c r="M2" s="8" t="s">
        <v>31</v>
      </c>
      <c r="N2" s="5"/>
    </row>
    <row r="3" spans="1:14">
      <c r="A3" s="196"/>
      <c r="B3" s="5"/>
      <c r="C3" s="13" t="s">
        <v>108</v>
      </c>
      <c r="D3" s="12" t="s">
        <v>111</v>
      </c>
      <c r="E3" s="5"/>
      <c r="F3" s="11"/>
      <c r="G3" s="5"/>
      <c r="H3" s="5"/>
      <c r="I3" s="5"/>
      <c r="J3" s="5"/>
      <c r="K3" s="5"/>
      <c r="L3" s="5"/>
      <c r="M3" s="5"/>
      <c r="N3" s="5"/>
    </row>
    <row r="4" spans="1:14">
      <c r="A4" s="196"/>
      <c r="B4" s="5"/>
      <c r="C4" s="13" t="s">
        <v>109</v>
      </c>
      <c r="D4" s="12" t="s">
        <v>112</v>
      </c>
      <c r="E4" s="5"/>
      <c r="F4" s="186" t="s">
        <v>33</v>
      </c>
      <c r="G4" s="5"/>
      <c r="H4" s="5"/>
      <c r="I4" s="5"/>
      <c r="J4" s="5"/>
      <c r="K4" s="5"/>
      <c r="L4" s="6"/>
      <c r="M4" s="8" t="s">
        <v>105</v>
      </c>
      <c r="N4" s="5"/>
    </row>
    <row r="5" spans="1:14">
      <c r="A5" s="196"/>
      <c r="B5" s="5"/>
      <c r="C5" s="13" t="s">
        <v>110</v>
      </c>
      <c r="D5" s="12" t="s">
        <v>113</v>
      </c>
      <c r="E5" s="5"/>
      <c r="F5" s="11"/>
      <c r="G5" s="5"/>
      <c r="H5" s="5"/>
      <c r="I5" s="5"/>
      <c r="J5" s="5"/>
      <c r="K5" s="5"/>
      <c r="L5" s="5"/>
      <c r="M5" s="5"/>
      <c r="N5" s="5"/>
    </row>
    <row r="6" spans="1:14">
      <c r="A6" s="196"/>
      <c r="B6" s="5"/>
      <c r="C6" s="5"/>
      <c r="D6" s="12"/>
      <c r="E6" s="5"/>
      <c r="F6" s="11"/>
      <c r="G6" s="5"/>
      <c r="H6" s="187"/>
      <c r="I6" s="188"/>
      <c r="J6" s="6"/>
      <c r="K6" s="128"/>
      <c r="L6" s="5"/>
      <c r="M6" s="8" t="s">
        <v>38</v>
      </c>
      <c r="N6" s="5"/>
    </row>
    <row r="7" spans="1:14">
      <c r="A7" s="197"/>
      <c r="B7" s="16"/>
      <c r="C7" s="16"/>
      <c r="D7" s="17"/>
      <c r="E7" s="16"/>
      <c r="F7" s="18"/>
      <c r="G7" s="18"/>
      <c r="H7" s="189"/>
      <c r="I7" s="190"/>
      <c r="J7" s="16"/>
      <c r="K7" s="191"/>
      <c r="L7" s="16"/>
      <c r="M7" s="16"/>
      <c r="N7" s="16"/>
    </row>
    <row r="8" spans="1:14" s="171" customFormat="1">
      <c r="A8" s="198" t="s">
        <v>89</v>
      </c>
      <c r="B8" s="171" t="s">
        <v>90</v>
      </c>
      <c r="C8" s="171" t="s">
        <v>91</v>
      </c>
      <c r="D8" s="171" t="s">
        <v>92</v>
      </c>
      <c r="E8" s="171" t="s">
        <v>93</v>
      </c>
    </row>
    <row r="9" spans="1:14">
      <c r="A9" s="199" t="s">
        <v>94</v>
      </c>
      <c r="B9" s="182" t="s">
        <v>95</v>
      </c>
      <c r="C9" s="182" t="s">
        <v>96</v>
      </c>
      <c r="D9" s="182">
        <v>2102</v>
      </c>
      <c r="E9" s="182" t="s">
        <v>97</v>
      </c>
    </row>
    <row r="10" spans="1:14">
      <c r="K10" s="219" t="s">
        <v>118</v>
      </c>
      <c r="L10" s="219"/>
      <c r="M10" s="219"/>
    </row>
    <row r="11" spans="1:14" s="171" customFormat="1">
      <c r="A11" s="198" t="s">
        <v>108</v>
      </c>
      <c r="B11" s="171" t="s">
        <v>98</v>
      </c>
      <c r="C11" s="171" t="s">
        <v>88</v>
      </c>
      <c r="D11" s="171" t="s">
        <v>99</v>
      </c>
      <c r="E11" s="171" t="s">
        <v>100</v>
      </c>
      <c r="F11" s="171" t="s">
        <v>101</v>
      </c>
      <c r="G11" s="171" t="s">
        <v>102</v>
      </c>
      <c r="H11" s="171" t="s">
        <v>103</v>
      </c>
      <c r="I11" s="171" t="s">
        <v>104</v>
      </c>
      <c r="J11" s="171" t="s">
        <v>114</v>
      </c>
      <c r="K11" s="171" t="s">
        <v>115</v>
      </c>
      <c r="L11" s="171" t="s">
        <v>116</v>
      </c>
      <c r="M11" s="171" t="s">
        <v>117</v>
      </c>
    </row>
    <row r="12" spans="1:14">
      <c r="A12" s="200"/>
      <c r="B12" s="184"/>
      <c r="C12" s="184"/>
      <c r="D12" s="192"/>
      <c r="E12" s="192"/>
      <c r="F12" s="183"/>
      <c r="G12" s="183"/>
      <c r="H12" s="183"/>
      <c r="I12" s="183"/>
      <c r="J12" s="183"/>
      <c r="K12" s="193"/>
    </row>
    <row r="13" spans="1:14">
      <c r="B13" s="184"/>
      <c r="C13" s="184"/>
      <c r="F13" s="183"/>
      <c r="G13" s="183"/>
      <c r="H13" s="183"/>
      <c r="I13" s="183"/>
      <c r="K13" s="184"/>
    </row>
    <row r="14" spans="1:14">
      <c r="B14" s="184"/>
      <c r="F14" s="183"/>
      <c r="G14" s="183"/>
      <c r="H14" s="183"/>
      <c r="I14" s="183"/>
      <c r="K14" s="184"/>
    </row>
    <row r="15" spans="1:14">
      <c r="B15" s="184"/>
      <c r="C15" s="184"/>
      <c r="F15" s="183"/>
      <c r="G15" s="183"/>
      <c r="H15" s="183"/>
      <c r="I15" s="183"/>
      <c r="K15" s="184"/>
    </row>
    <row r="16" spans="1:14">
      <c r="B16" s="184"/>
      <c r="C16" s="184"/>
      <c r="F16" s="183"/>
      <c r="G16" s="183"/>
      <c r="H16" s="183"/>
      <c r="I16" s="183"/>
      <c r="K16" s="184"/>
    </row>
    <row r="17" spans="2:11">
      <c r="B17" s="184"/>
      <c r="F17" s="183"/>
      <c r="G17" s="183"/>
      <c r="H17" s="183"/>
      <c r="I17" s="183"/>
      <c r="K17" s="184"/>
    </row>
    <row r="18" spans="2:11">
      <c r="B18" s="184"/>
      <c r="F18" s="183"/>
      <c r="G18" s="183"/>
      <c r="H18" s="183"/>
      <c r="I18" s="183"/>
      <c r="K18" s="184"/>
    </row>
    <row r="19" spans="2:11">
      <c r="B19" s="184"/>
      <c r="C19" s="184"/>
      <c r="F19" s="183"/>
      <c r="G19" s="183"/>
      <c r="H19" s="183"/>
      <c r="I19" s="183"/>
      <c r="K19" s="184"/>
    </row>
    <row r="20" spans="2:11">
      <c r="B20" s="184"/>
      <c r="C20" s="184"/>
      <c r="F20" s="183"/>
      <c r="G20" s="183"/>
      <c r="H20" s="183"/>
      <c r="I20" s="183"/>
      <c r="K20" s="184"/>
    </row>
    <row r="21" spans="2:11">
      <c r="B21" s="184"/>
      <c r="C21" s="184"/>
      <c r="F21" s="183"/>
      <c r="G21" s="183"/>
      <c r="H21" s="183"/>
      <c r="I21" s="183"/>
      <c r="K21" s="184"/>
    </row>
    <row r="22" spans="2:11">
      <c r="B22" s="184"/>
      <c r="C22" s="184"/>
      <c r="F22" s="183"/>
      <c r="G22" s="183"/>
      <c r="H22" s="183"/>
      <c r="I22" s="183"/>
      <c r="K22" s="184"/>
    </row>
    <row r="23" spans="2:11">
      <c r="B23" s="184"/>
      <c r="C23" s="184"/>
      <c r="F23" s="183"/>
      <c r="G23" s="183"/>
      <c r="H23" s="183"/>
      <c r="I23" s="183"/>
      <c r="K23" s="184"/>
    </row>
    <row r="24" spans="2:11">
      <c r="B24" s="184"/>
      <c r="C24" s="184"/>
      <c r="F24" s="183"/>
      <c r="G24" s="183"/>
      <c r="H24" s="183"/>
      <c r="I24" s="183"/>
      <c r="K24" s="184"/>
    </row>
    <row r="25" spans="2:11">
      <c r="B25" s="184"/>
      <c r="C25" s="184"/>
      <c r="F25" s="183"/>
      <c r="G25" s="183"/>
      <c r="H25" s="183"/>
      <c r="I25" s="183"/>
      <c r="K25" s="184"/>
    </row>
    <row r="26" spans="2:11">
      <c r="B26" s="184"/>
      <c r="C26" s="184"/>
      <c r="F26" s="183"/>
      <c r="G26" s="183"/>
      <c r="H26" s="183"/>
      <c r="I26" s="183"/>
      <c r="K26" s="184"/>
    </row>
    <row r="27" spans="2:11">
      <c r="B27" s="184"/>
      <c r="C27" s="184"/>
      <c r="F27" s="183"/>
      <c r="G27" s="183"/>
      <c r="H27" s="183"/>
      <c r="I27" s="183"/>
      <c r="K27" s="184"/>
    </row>
    <row r="28" spans="2:11">
      <c r="B28" s="184"/>
      <c r="C28" s="184"/>
      <c r="F28" s="183"/>
      <c r="G28" s="183"/>
      <c r="H28" s="183"/>
      <c r="I28" s="183"/>
      <c r="K28" s="184"/>
    </row>
    <row r="29" spans="2:11">
      <c r="B29" s="184"/>
      <c r="C29" s="184"/>
      <c r="F29" s="183"/>
      <c r="G29" s="183"/>
      <c r="H29" s="183"/>
      <c r="I29" s="183"/>
      <c r="K29" s="184"/>
    </row>
    <row r="30" spans="2:11">
      <c r="B30" s="184"/>
      <c r="C30" s="184"/>
      <c r="F30" s="183"/>
      <c r="G30" s="183"/>
      <c r="H30" s="183"/>
      <c r="I30" s="183"/>
      <c r="K30" s="184"/>
    </row>
    <row r="31" spans="2:11">
      <c r="B31" s="184"/>
      <c r="C31" s="184"/>
      <c r="F31" s="183"/>
      <c r="G31" s="183"/>
      <c r="H31" s="183"/>
      <c r="I31" s="183"/>
      <c r="K31" s="184"/>
    </row>
    <row r="32" spans="2:11">
      <c r="B32" s="184"/>
      <c r="C32" s="184"/>
      <c r="F32" s="183"/>
      <c r="G32" s="183"/>
      <c r="H32" s="183"/>
      <c r="I32" s="183"/>
      <c r="K32" s="184"/>
    </row>
    <row r="33" spans="2:11">
      <c r="B33" s="184"/>
      <c r="C33" s="184"/>
      <c r="F33" s="183"/>
      <c r="G33" s="183"/>
      <c r="H33" s="183"/>
      <c r="I33" s="183"/>
      <c r="K33" s="184"/>
    </row>
    <row r="34" spans="2:11">
      <c r="B34" s="184"/>
      <c r="C34" s="184"/>
      <c r="F34" s="183"/>
      <c r="G34" s="183"/>
      <c r="H34" s="183"/>
      <c r="I34" s="183"/>
      <c r="K34" s="184"/>
    </row>
    <row r="35" spans="2:11">
      <c r="B35" s="184"/>
      <c r="C35" s="184"/>
      <c r="F35" s="183"/>
      <c r="G35" s="183"/>
      <c r="H35" s="183"/>
      <c r="I35" s="183"/>
      <c r="K35" s="184"/>
    </row>
    <row r="36" spans="2:11">
      <c r="B36" s="184"/>
      <c r="C36" s="184"/>
      <c r="F36" s="183"/>
      <c r="G36" s="183"/>
      <c r="H36" s="183"/>
      <c r="I36" s="183"/>
      <c r="K36" s="184"/>
    </row>
    <row r="37" spans="2:11">
      <c r="B37" s="184"/>
      <c r="C37" s="184"/>
      <c r="F37" s="183"/>
      <c r="G37" s="183"/>
      <c r="H37" s="183"/>
      <c r="I37" s="183"/>
      <c r="K37" s="184"/>
    </row>
    <row r="38" spans="2:11">
      <c r="B38" s="184"/>
      <c r="C38" s="184"/>
      <c r="F38" s="183"/>
      <c r="G38" s="183"/>
      <c r="H38" s="183"/>
      <c r="I38" s="183"/>
      <c r="K38" s="184"/>
    </row>
    <row r="39" spans="2:11">
      <c r="B39" s="184"/>
      <c r="C39" s="184"/>
      <c r="F39" s="183"/>
      <c r="G39" s="183"/>
      <c r="H39" s="183"/>
      <c r="I39" s="183"/>
      <c r="K39" s="184"/>
    </row>
    <row r="40" spans="2:11">
      <c r="B40" s="184"/>
      <c r="C40" s="184"/>
      <c r="F40" s="183"/>
      <c r="G40" s="183"/>
      <c r="H40" s="183"/>
      <c r="I40" s="183"/>
      <c r="K40" s="184"/>
    </row>
    <row r="41" spans="2:11">
      <c r="B41" s="184"/>
      <c r="C41" s="184"/>
      <c r="F41" s="183"/>
      <c r="G41" s="183"/>
      <c r="H41" s="183"/>
      <c r="I41" s="183"/>
      <c r="K41" s="184"/>
    </row>
    <row r="42" spans="2:11">
      <c r="B42" s="184"/>
      <c r="C42" s="184"/>
      <c r="F42" s="183"/>
      <c r="G42" s="183"/>
      <c r="H42" s="183"/>
      <c r="I42" s="183"/>
      <c r="K42" s="184"/>
    </row>
    <row r="43" spans="2:11">
      <c r="B43" s="184"/>
      <c r="C43" s="184"/>
      <c r="F43" s="183"/>
      <c r="G43" s="183"/>
      <c r="H43" s="183"/>
      <c r="I43" s="183"/>
      <c r="K43" s="184"/>
    </row>
    <row r="44" spans="2:11">
      <c r="B44" s="184"/>
      <c r="C44" s="184"/>
      <c r="F44" s="183"/>
      <c r="G44" s="183"/>
      <c r="H44" s="183"/>
      <c r="I44" s="183"/>
      <c r="K44" s="184"/>
    </row>
    <row r="45" spans="2:11">
      <c r="B45" s="184"/>
      <c r="C45" s="184"/>
      <c r="F45" s="183"/>
      <c r="G45" s="183"/>
      <c r="H45" s="183"/>
      <c r="I45" s="183"/>
      <c r="K45" s="184"/>
    </row>
    <row r="46" spans="2:11">
      <c r="B46" s="184"/>
      <c r="C46" s="184"/>
      <c r="F46" s="183"/>
      <c r="G46" s="183"/>
      <c r="H46" s="183"/>
      <c r="I46" s="183"/>
      <c r="K46" s="184"/>
    </row>
    <row r="47" spans="2:11">
      <c r="B47" s="184"/>
      <c r="C47" s="184"/>
      <c r="F47" s="183"/>
      <c r="G47" s="183"/>
      <c r="H47" s="183"/>
      <c r="I47" s="183"/>
      <c r="K47" s="184"/>
    </row>
    <row r="48" spans="2:11">
      <c r="B48" s="184"/>
      <c r="C48" s="184"/>
      <c r="F48" s="183"/>
      <c r="G48" s="183"/>
      <c r="H48" s="183"/>
      <c r="I48" s="183"/>
      <c r="K48" s="184"/>
    </row>
    <row r="49" spans="2:11">
      <c r="B49" s="184"/>
      <c r="C49" s="184"/>
      <c r="F49" s="183"/>
      <c r="G49" s="183"/>
      <c r="H49" s="183"/>
      <c r="I49" s="183"/>
      <c r="K49" s="184"/>
    </row>
    <row r="50" spans="2:11">
      <c r="B50" s="184"/>
      <c r="C50" s="184"/>
      <c r="F50" s="183"/>
      <c r="G50" s="183"/>
      <c r="H50" s="183"/>
      <c r="I50" s="183"/>
      <c r="K50" s="184"/>
    </row>
    <row r="51" spans="2:11">
      <c r="B51" s="184"/>
      <c r="C51" s="184"/>
      <c r="F51" s="183"/>
      <c r="G51" s="183"/>
      <c r="H51" s="183"/>
      <c r="I51" s="183"/>
      <c r="K51" s="184"/>
    </row>
    <row r="52" spans="2:11">
      <c r="B52" s="184"/>
      <c r="C52" s="184"/>
      <c r="F52" s="183"/>
      <c r="G52" s="183"/>
      <c r="H52" s="183"/>
      <c r="I52" s="183"/>
      <c r="K52" s="184"/>
    </row>
    <row r="53" spans="2:11">
      <c r="B53" s="184"/>
      <c r="C53" s="184"/>
      <c r="F53" s="183"/>
      <c r="G53" s="183"/>
      <c r="H53" s="183"/>
      <c r="I53" s="183"/>
      <c r="K53" s="184"/>
    </row>
    <row r="54" spans="2:11">
      <c r="B54" s="184"/>
      <c r="C54" s="184"/>
      <c r="F54" s="183"/>
      <c r="G54" s="183"/>
      <c r="H54" s="183"/>
      <c r="I54" s="183"/>
      <c r="K54" s="184"/>
    </row>
    <row r="55" spans="2:11">
      <c r="B55" s="184"/>
      <c r="C55" s="184"/>
      <c r="F55" s="183"/>
      <c r="G55" s="183"/>
      <c r="H55" s="183"/>
      <c r="I55" s="183"/>
      <c r="K55" s="184"/>
    </row>
    <row r="56" spans="2:11">
      <c r="B56" s="184"/>
      <c r="C56" s="184"/>
      <c r="F56" s="183"/>
      <c r="G56" s="183"/>
      <c r="H56" s="183"/>
      <c r="I56" s="183"/>
      <c r="K56" s="184"/>
    </row>
    <row r="57" spans="2:11">
      <c r="B57" s="184"/>
      <c r="C57" s="184"/>
      <c r="F57" s="183"/>
      <c r="G57" s="183"/>
      <c r="H57" s="183"/>
      <c r="I57" s="183"/>
      <c r="K57" s="184"/>
    </row>
    <row r="58" spans="2:11">
      <c r="B58" s="184"/>
      <c r="C58" s="184"/>
      <c r="F58" s="183"/>
      <c r="G58" s="183"/>
      <c r="H58" s="183"/>
      <c r="I58" s="183"/>
      <c r="K58" s="184"/>
    </row>
    <row r="59" spans="2:11">
      <c r="B59" s="184"/>
      <c r="C59" s="184"/>
      <c r="F59" s="183"/>
      <c r="G59" s="183"/>
      <c r="H59" s="183"/>
      <c r="I59" s="183"/>
      <c r="K59" s="184"/>
    </row>
    <row r="60" spans="2:11">
      <c r="B60" s="184"/>
      <c r="C60" s="184"/>
      <c r="F60" s="183"/>
      <c r="G60" s="183"/>
      <c r="H60" s="183"/>
      <c r="I60" s="183"/>
      <c r="K60" s="184"/>
    </row>
    <row r="61" spans="2:11">
      <c r="B61" s="184"/>
      <c r="C61" s="184"/>
      <c r="F61" s="183"/>
      <c r="G61" s="183"/>
      <c r="H61" s="183"/>
      <c r="I61" s="183"/>
      <c r="K61" s="184"/>
    </row>
    <row r="62" spans="2:11">
      <c r="B62" s="184"/>
      <c r="C62" s="184"/>
      <c r="F62" s="183"/>
      <c r="G62" s="183"/>
      <c r="H62" s="183"/>
      <c r="I62" s="183"/>
      <c r="K62" s="184"/>
    </row>
    <row r="63" spans="2:11">
      <c r="B63" s="184"/>
      <c r="C63" s="184"/>
      <c r="F63" s="183"/>
      <c r="G63" s="183"/>
      <c r="H63" s="183"/>
      <c r="I63" s="183"/>
      <c r="K63" s="184"/>
    </row>
    <row r="64" spans="2:11">
      <c r="B64" s="184"/>
      <c r="C64" s="184"/>
      <c r="F64" s="183"/>
      <c r="G64" s="183"/>
      <c r="H64" s="183"/>
      <c r="I64" s="183"/>
      <c r="K64" s="184"/>
    </row>
    <row r="65" spans="2:11">
      <c r="B65" s="184"/>
      <c r="C65" s="184"/>
      <c r="F65" s="183"/>
      <c r="G65" s="183"/>
      <c r="H65" s="183"/>
      <c r="I65" s="183"/>
      <c r="K65" s="184"/>
    </row>
    <row r="66" spans="2:11">
      <c r="B66" s="184"/>
      <c r="C66" s="184"/>
      <c r="F66" s="183"/>
      <c r="G66" s="183"/>
      <c r="H66" s="183"/>
      <c r="I66" s="183"/>
      <c r="K66" s="184"/>
    </row>
    <row r="67" spans="2:11">
      <c r="B67" s="184"/>
      <c r="C67" s="184"/>
      <c r="F67" s="183"/>
      <c r="G67" s="183"/>
      <c r="H67" s="183"/>
      <c r="I67" s="183"/>
      <c r="K67" s="184"/>
    </row>
    <row r="68" spans="2:11">
      <c r="B68" s="184"/>
      <c r="C68" s="184"/>
      <c r="F68" s="183"/>
      <c r="G68" s="183"/>
      <c r="H68" s="183"/>
      <c r="I68" s="183"/>
      <c r="K68" s="184"/>
    </row>
    <row r="69" spans="2:11">
      <c r="B69" s="184"/>
      <c r="C69" s="184"/>
      <c r="F69" s="183"/>
      <c r="G69" s="183"/>
      <c r="H69" s="183"/>
      <c r="I69" s="183"/>
      <c r="K69" s="184"/>
    </row>
    <row r="70" spans="2:11">
      <c r="B70" s="184"/>
      <c r="C70" s="184"/>
      <c r="F70" s="183"/>
      <c r="G70" s="183"/>
      <c r="H70" s="183"/>
      <c r="I70" s="183"/>
      <c r="K70" s="185"/>
    </row>
    <row r="71" spans="2:11">
      <c r="B71" s="184"/>
      <c r="C71" s="184"/>
      <c r="F71" s="183"/>
      <c r="G71" s="183"/>
      <c r="H71" s="183"/>
      <c r="I71" s="183"/>
      <c r="K71" s="184"/>
    </row>
    <row r="72" spans="2:11">
      <c r="B72" s="184"/>
      <c r="C72" s="184"/>
      <c r="F72" s="183"/>
      <c r="G72" s="183"/>
      <c r="H72" s="183"/>
      <c r="I72" s="183"/>
      <c r="K72" s="185"/>
    </row>
    <row r="73" spans="2:11">
      <c r="B73" s="184"/>
      <c r="C73" s="184"/>
      <c r="F73" s="183"/>
      <c r="G73" s="183"/>
      <c r="H73" s="183"/>
      <c r="I73" s="183"/>
      <c r="K73" s="184"/>
    </row>
    <row r="74" spans="2:11">
      <c r="B74" s="184"/>
      <c r="C74" s="184"/>
      <c r="F74" s="183"/>
      <c r="G74" s="183"/>
      <c r="H74" s="183"/>
      <c r="I74" s="183"/>
      <c r="K74" s="184"/>
    </row>
    <row r="75" spans="2:11">
      <c r="B75" s="184"/>
      <c r="C75" s="184"/>
      <c r="F75" s="183"/>
      <c r="G75" s="183"/>
      <c r="H75" s="183"/>
      <c r="I75" s="183"/>
      <c r="K75" s="184"/>
    </row>
    <row r="76" spans="2:11">
      <c r="B76" s="184"/>
      <c r="C76" s="184"/>
      <c r="F76" s="183"/>
      <c r="G76" s="183"/>
      <c r="H76" s="183"/>
      <c r="I76" s="183"/>
      <c r="K76" s="184"/>
    </row>
    <row r="77" spans="2:11">
      <c r="B77" s="184"/>
      <c r="C77" s="184"/>
      <c r="F77" s="183"/>
      <c r="G77" s="183"/>
      <c r="H77" s="183"/>
      <c r="I77" s="183"/>
      <c r="K77" s="184"/>
    </row>
    <row r="78" spans="2:11">
      <c r="B78" s="184"/>
      <c r="C78" s="184"/>
      <c r="F78" s="183"/>
      <c r="G78" s="183"/>
      <c r="H78" s="183"/>
      <c r="I78" s="183"/>
      <c r="K78" s="184"/>
    </row>
    <row r="79" spans="2:11">
      <c r="B79" s="184"/>
      <c r="C79" s="184"/>
      <c r="F79" s="183"/>
      <c r="G79" s="183"/>
      <c r="H79" s="183"/>
      <c r="I79" s="183"/>
      <c r="K79" s="184"/>
    </row>
    <row r="80" spans="2:11">
      <c r="B80" s="184"/>
      <c r="C80" s="184"/>
      <c r="F80" s="183"/>
      <c r="G80" s="183"/>
      <c r="H80" s="183"/>
      <c r="I80" s="183"/>
      <c r="K80" s="184"/>
    </row>
    <row r="81" spans="2:11">
      <c r="B81" s="184"/>
      <c r="C81" s="184"/>
      <c r="F81" s="183"/>
      <c r="G81" s="183"/>
      <c r="H81" s="183"/>
      <c r="I81" s="183"/>
      <c r="K81" s="184"/>
    </row>
    <row r="82" spans="2:11">
      <c r="B82" s="184"/>
      <c r="C82" s="184"/>
      <c r="F82" s="183"/>
      <c r="G82" s="183"/>
      <c r="H82" s="183"/>
      <c r="I82" s="183"/>
      <c r="K82" s="184"/>
    </row>
    <row r="83" spans="2:11">
      <c r="B83" s="184"/>
      <c r="C83" s="184"/>
      <c r="F83" s="183"/>
      <c r="G83" s="183"/>
      <c r="H83" s="183"/>
      <c r="I83" s="183"/>
      <c r="K83" s="184"/>
    </row>
    <row r="84" spans="2:11">
      <c r="B84" s="184"/>
      <c r="C84" s="184"/>
      <c r="F84" s="183"/>
      <c r="G84" s="183"/>
      <c r="H84" s="183"/>
      <c r="I84" s="183"/>
      <c r="K84" s="184"/>
    </row>
    <row r="85" spans="2:11">
      <c r="B85" s="184"/>
      <c r="C85" s="184"/>
      <c r="F85" s="183"/>
      <c r="G85" s="183"/>
      <c r="H85" s="183"/>
      <c r="I85" s="183"/>
      <c r="K85" s="184"/>
    </row>
    <row r="86" spans="2:11">
      <c r="B86" s="184"/>
      <c r="C86" s="184"/>
      <c r="F86" s="183"/>
      <c r="G86" s="183"/>
      <c r="H86" s="183"/>
      <c r="I86" s="183"/>
      <c r="K86" s="184"/>
    </row>
    <row r="87" spans="2:11">
      <c r="B87" s="184"/>
      <c r="C87" s="184"/>
      <c r="F87" s="183"/>
      <c r="G87" s="183"/>
      <c r="H87" s="183"/>
      <c r="I87" s="183"/>
      <c r="K87" s="184"/>
    </row>
    <row r="88" spans="2:11">
      <c r="B88" s="184"/>
      <c r="C88" s="184"/>
      <c r="F88" s="183"/>
      <c r="G88" s="183"/>
      <c r="H88" s="183"/>
      <c r="I88" s="183"/>
      <c r="K88" s="184"/>
    </row>
    <row r="89" spans="2:11">
      <c r="B89" s="184"/>
      <c r="C89" s="184"/>
      <c r="F89" s="183"/>
      <c r="G89" s="183"/>
      <c r="H89" s="183"/>
      <c r="I89" s="183"/>
      <c r="K89" s="184"/>
    </row>
    <row r="90" spans="2:11">
      <c r="B90" s="184"/>
      <c r="C90" s="184"/>
      <c r="F90" s="183"/>
      <c r="G90" s="183"/>
      <c r="H90" s="183"/>
      <c r="I90" s="183"/>
      <c r="K90" s="184"/>
    </row>
    <row r="91" spans="2:11">
      <c r="B91" s="184"/>
      <c r="C91" s="184"/>
      <c r="F91" s="183"/>
      <c r="G91" s="183"/>
      <c r="H91" s="183"/>
      <c r="I91" s="183"/>
      <c r="K91" s="184"/>
    </row>
    <row r="92" spans="2:11">
      <c r="B92" s="184"/>
      <c r="C92" s="184"/>
      <c r="F92" s="183"/>
      <c r="G92" s="183"/>
      <c r="H92" s="183"/>
      <c r="I92" s="183"/>
      <c r="K92" s="184"/>
    </row>
    <row r="93" spans="2:11">
      <c r="B93" s="184"/>
      <c r="C93" s="184"/>
      <c r="F93" s="183"/>
      <c r="G93" s="183"/>
      <c r="H93" s="183"/>
      <c r="I93" s="183"/>
      <c r="K93" s="184"/>
    </row>
    <row r="94" spans="2:11">
      <c r="B94" s="184"/>
      <c r="C94" s="184"/>
      <c r="F94" s="183"/>
      <c r="G94" s="183"/>
      <c r="H94" s="183"/>
      <c r="I94" s="183"/>
      <c r="K94" s="184"/>
    </row>
    <row r="95" spans="2:11">
      <c r="B95" s="184"/>
      <c r="C95" s="184"/>
      <c r="F95" s="183"/>
      <c r="G95" s="183"/>
      <c r="H95" s="183"/>
      <c r="I95" s="183"/>
      <c r="K95" s="184"/>
    </row>
    <row r="96" spans="2:11">
      <c r="B96" s="184"/>
      <c r="C96" s="184"/>
      <c r="F96" s="183"/>
      <c r="G96" s="183"/>
      <c r="H96" s="183"/>
      <c r="I96" s="183"/>
      <c r="K96" s="184"/>
    </row>
    <row r="97" spans="2:11">
      <c r="B97" s="184"/>
      <c r="C97" s="184"/>
      <c r="F97" s="183"/>
      <c r="G97" s="183"/>
      <c r="H97" s="183"/>
      <c r="I97" s="183"/>
      <c r="K97" s="184"/>
    </row>
    <row r="98" spans="2:11">
      <c r="B98" s="184"/>
      <c r="C98" s="184"/>
      <c r="F98" s="183"/>
      <c r="G98" s="183"/>
      <c r="H98" s="183"/>
      <c r="I98" s="183"/>
      <c r="K98" s="184"/>
    </row>
    <row r="99" spans="2:11">
      <c r="B99" s="184"/>
      <c r="C99" s="184"/>
      <c r="F99" s="183"/>
      <c r="G99" s="183"/>
      <c r="H99" s="183"/>
      <c r="I99" s="183"/>
      <c r="K99" s="184"/>
    </row>
    <row r="100" spans="2:11">
      <c r="B100" s="184"/>
      <c r="C100" s="184"/>
      <c r="F100" s="183"/>
      <c r="G100" s="183"/>
      <c r="H100" s="183"/>
      <c r="I100" s="183"/>
      <c r="K100" s="184"/>
    </row>
    <row r="101" spans="2:11">
      <c r="B101" s="184"/>
      <c r="C101" s="184"/>
      <c r="F101" s="183"/>
      <c r="G101" s="183"/>
      <c r="H101" s="183"/>
      <c r="I101" s="183"/>
      <c r="K101" s="184"/>
    </row>
    <row r="102" spans="2:11">
      <c r="B102" s="184"/>
      <c r="C102" s="184"/>
      <c r="F102" s="183"/>
      <c r="G102" s="183"/>
      <c r="H102" s="183"/>
      <c r="I102" s="183"/>
      <c r="K102" s="184"/>
    </row>
    <row r="103" spans="2:11">
      <c r="B103" s="184"/>
      <c r="C103" s="184"/>
      <c r="F103" s="183"/>
      <c r="G103" s="183"/>
      <c r="H103" s="183"/>
      <c r="I103" s="183"/>
      <c r="K103" s="184"/>
    </row>
    <row r="104" spans="2:11">
      <c r="B104" s="184"/>
      <c r="C104" s="184"/>
      <c r="F104" s="183"/>
      <c r="G104" s="183"/>
      <c r="H104" s="183"/>
      <c r="I104" s="183"/>
      <c r="K104" s="184"/>
    </row>
    <row r="105" spans="2:11">
      <c r="B105" s="184"/>
      <c r="C105" s="184"/>
      <c r="F105" s="183"/>
      <c r="G105" s="183"/>
      <c r="H105" s="183"/>
      <c r="I105" s="183"/>
      <c r="K105" s="184"/>
    </row>
    <row r="106" spans="2:11">
      <c r="B106" s="184"/>
      <c r="C106" s="184"/>
      <c r="F106" s="183"/>
      <c r="G106" s="183"/>
      <c r="H106" s="183"/>
      <c r="I106" s="183"/>
      <c r="K106" s="184"/>
    </row>
    <row r="107" spans="2:11">
      <c r="B107" s="184"/>
      <c r="C107" s="184"/>
      <c r="F107" s="183"/>
      <c r="G107" s="183"/>
      <c r="H107" s="183"/>
      <c r="I107" s="183"/>
      <c r="K107" s="184"/>
    </row>
    <row r="108" spans="2:11">
      <c r="B108" s="184"/>
      <c r="C108" s="184"/>
      <c r="F108" s="183"/>
      <c r="G108" s="183"/>
      <c r="H108" s="183"/>
      <c r="I108" s="183"/>
      <c r="K108" s="184"/>
    </row>
    <row r="109" spans="2:11">
      <c r="B109" s="184"/>
      <c r="C109" s="184"/>
      <c r="F109" s="183"/>
      <c r="G109" s="183"/>
      <c r="H109" s="183"/>
      <c r="I109" s="183"/>
      <c r="K109" s="184"/>
    </row>
    <row r="110" spans="2:11">
      <c r="B110" s="184"/>
      <c r="C110" s="184"/>
      <c r="F110" s="183"/>
      <c r="G110" s="183"/>
      <c r="H110" s="183"/>
      <c r="I110" s="183"/>
      <c r="K110" s="184"/>
    </row>
    <row r="111" spans="2:11">
      <c r="B111" s="184"/>
      <c r="C111" s="184"/>
      <c r="F111" s="183"/>
      <c r="G111" s="183"/>
      <c r="H111" s="183"/>
      <c r="I111" s="183"/>
      <c r="K111" s="184"/>
    </row>
    <row r="112" spans="2:11">
      <c r="B112" s="184"/>
      <c r="F112" s="183"/>
      <c r="G112" s="183"/>
      <c r="H112" s="183"/>
      <c r="I112" s="183"/>
      <c r="K112" s="184"/>
    </row>
    <row r="113" spans="2:11">
      <c r="B113" s="184"/>
      <c r="C113" s="184"/>
      <c r="F113" s="183"/>
      <c r="G113" s="183"/>
      <c r="H113" s="183"/>
      <c r="I113" s="183"/>
      <c r="K113" s="184"/>
    </row>
    <row r="114" spans="2:11">
      <c r="B114" s="184"/>
      <c r="C114" s="184"/>
      <c r="F114" s="183"/>
      <c r="G114" s="183"/>
      <c r="H114" s="183"/>
      <c r="I114" s="183"/>
      <c r="K114" s="184"/>
    </row>
    <row r="115" spans="2:11">
      <c r="B115" s="184"/>
      <c r="C115" s="184"/>
      <c r="F115" s="183"/>
      <c r="G115" s="183"/>
      <c r="H115" s="183"/>
      <c r="I115" s="183"/>
      <c r="K115" s="184"/>
    </row>
    <row r="116" spans="2:11">
      <c r="B116" s="184"/>
      <c r="C116" s="184"/>
      <c r="F116" s="183"/>
      <c r="G116" s="183"/>
      <c r="H116" s="183"/>
      <c r="I116" s="183"/>
      <c r="K116" s="184"/>
    </row>
    <row r="117" spans="2:11">
      <c r="B117" s="184"/>
      <c r="C117" s="184"/>
      <c r="F117" s="183"/>
      <c r="G117" s="183"/>
      <c r="H117" s="183"/>
      <c r="I117" s="183"/>
      <c r="K117" s="184"/>
    </row>
    <row r="118" spans="2:11">
      <c r="B118" s="184"/>
      <c r="C118" s="184"/>
      <c r="F118" s="183"/>
      <c r="G118" s="183"/>
      <c r="H118" s="183"/>
      <c r="I118" s="183"/>
      <c r="K118" s="184"/>
    </row>
    <row r="119" spans="2:11">
      <c r="B119" s="184"/>
      <c r="C119" s="184"/>
      <c r="F119" s="183"/>
      <c r="G119" s="183"/>
      <c r="H119" s="183"/>
      <c r="I119" s="183"/>
      <c r="K119" s="184"/>
    </row>
    <row r="120" spans="2:11">
      <c r="B120" s="184"/>
      <c r="C120" s="184"/>
      <c r="F120" s="183"/>
      <c r="G120" s="183"/>
      <c r="H120" s="183"/>
      <c r="I120" s="183"/>
      <c r="K120" s="184"/>
    </row>
    <row r="121" spans="2:11">
      <c r="B121" s="184"/>
      <c r="C121" s="184"/>
      <c r="F121" s="183"/>
      <c r="G121" s="183"/>
      <c r="H121" s="183"/>
      <c r="I121" s="183"/>
      <c r="K121" s="184"/>
    </row>
    <row r="122" spans="2:11">
      <c r="B122" s="184"/>
      <c r="C122" s="184"/>
      <c r="F122" s="183"/>
      <c r="G122" s="183"/>
      <c r="H122" s="183"/>
      <c r="I122" s="183"/>
      <c r="K122" s="184"/>
    </row>
    <row r="123" spans="2:11">
      <c r="B123" s="184"/>
      <c r="C123" s="184"/>
      <c r="F123" s="183"/>
      <c r="G123" s="183"/>
      <c r="H123" s="183"/>
      <c r="I123" s="183"/>
      <c r="K123" s="184"/>
    </row>
    <row r="124" spans="2:11">
      <c r="B124" s="184"/>
      <c r="C124" s="184"/>
      <c r="F124" s="183"/>
      <c r="G124" s="183"/>
      <c r="H124" s="183"/>
      <c r="I124" s="183"/>
      <c r="K124" s="184"/>
    </row>
    <row r="125" spans="2:11">
      <c r="B125" s="184"/>
      <c r="C125" s="184"/>
      <c r="F125" s="183"/>
      <c r="G125" s="183"/>
      <c r="H125" s="183"/>
      <c r="I125" s="183"/>
      <c r="K125" s="184"/>
    </row>
    <row r="126" spans="2:11">
      <c r="B126" s="184"/>
      <c r="C126" s="184"/>
      <c r="F126" s="183"/>
      <c r="G126" s="183"/>
      <c r="H126" s="183"/>
      <c r="I126" s="183"/>
      <c r="K126" s="184"/>
    </row>
    <row r="127" spans="2:11">
      <c r="B127" s="184"/>
      <c r="C127" s="184"/>
      <c r="F127" s="183"/>
      <c r="G127" s="183"/>
      <c r="H127" s="183"/>
      <c r="I127" s="183"/>
      <c r="K127" s="184"/>
    </row>
    <row r="128" spans="2:11">
      <c r="B128" s="184"/>
      <c r="C128" s="184"/>
      <c r="F128" s="183"/>
      <c r="G128" s="183"/>
      <c r="H128" s="183"/>
      <c r="I128" s="183"/>
      <c r="K128" s="184"/>
    </row>
    <row r="129" spans="2:11">
      <c r="B129" s="184"/>
      <c r="C129" s="184"/>
      <c r="F129" s="183"/>
      <c r="G129" s="183"/>
      <c r="H129" s="183"/>
      <c r="I129" s="183"/>
      <c r="K129" s="184"/>
    </row>
    <row r="130" spans="2:11">
      <c r="B130" s="184"/>
      <c r="C130" s="184"/>
      <c r="F130" s="183"/>
      <c r="G130" s="183"/>
      <c r="H130" s="183"/>
      <c r="I130" s="183"/>
      <c r="K130" s="184"/>
    </row>
    <row r="131" spans="2:11">
      <c r="B131" s="184"/>
      <c r="C131" s="184"/>
      <c r="F131" s="183"/>
      <c r="G131" s="183"/>
      <c r="H131" s="183"/>
      <c r="I131" s="183"/>
      <c r="K131" s="184"/>
    </row>
    <row r="132" spans="2:11">
      <c r="B132" s="184"/>
      <c r="C132" s="184"/>
      <c r="F132" s="183"/>
      <c r="G132" s="183"/>
      <c r="H132" s="183"/>
      <c r="I132" s="183"/>
      <c r="K132" s="184"/>
    </row>
    <row r="133" spans="2:11">
      <c r="B133" s="184"/>
      <c r="C133" s="184"/>
      <c r="F133" s="183"/>
      <c r="G133" s="183"/>
      <c r="H133" s="183"/>
      <c r="I133" s="183"/>
      <c r="K133" s="184"/>
    </row>
    <row r="134" spans="2:11">
      <c r="B134" s="184"/>
      <c r="C134" s="184"/>
      <c r="F134" s="183"/>
      <c r="G134" s="183"/>
      <c r="H134" s="183"/>
      <c r="I134" s="183"/>
      <c r="K134" s="184"/>
    </row>
    <row r="135" spans="2:11">
      <c r="B135" s="184"/>
      <c r="C135" s="184"/>
      <c r="F135" s="183"/>
      <c r="G135" s="183"/>
      <c r="H135" s="183"/>
      <c r="I135" s="183"/>
      <c r="K135" s="184"/>
    </row>
    <row r="136" spans="2:11">
      <c r="B136" s="184"/>
      <c r="C136" s="184"/>
      <c r="F136" s="183"/>
      <c r="G136" s="183"/>
      <c r="H136" s="183"/>
      <c r="I136" s="183"/>
      <c r="K136" s="184"/>
    </row>
    <row r="137" spans="2:11">
      <c r="B137" s="184"/>
      <c r="C137" s="184"/>
      <c r="F137" s="183"/>
      <c r="G137" s="183"/>
      <c r="H137" s="183"/>
      <c r="I137" s="183"/>
      <c r="K137" s="184"/>
    </row>
    <row r="138" spans="2:11">
      <c r="B138" s="184"/>
      <c r="C138" s="184"/>
      <c r="F138" s="183"/>
      <c r="G138" s="183"/>
      <c r="H138" s="183"/>
      <c r="I138" s="183"/>
      <c r="K138" s="184"/>
    </row>
    <row r="139" spans="2:11">
      <c r="B139" s="184"/>
      <c r="C139" s="184"/>
      <c r="F139" s="183"/>
      <c r="G139" s="183"/>
      <c r="H139" s="183"/>
      <c r="I139" s="183"/>
      <c r="K139" s="184"/>
    </row>
    <row r="140" spans="2:11">
      <c r="B140" s="184"/>
      <c r="C140" s="184"/>
      <c r="F140" s="183"/>
      <c r="G140" s="183"/>
      <c r="H140" s="183"/>
      <c r="I140" s="183"/>
      <c r="K140" s="184"/>
    </row>
    <row r="141" spans="2:11">
      <c r="B141" s="184"/>
      <c r="C141" s="184"/>
      <c r="F141" s="183"/>
      <c r="G141" s="183"/>
      <c r="H141" s="183"/>
      <c r="I141" s="183"/>
      <c r="K141" s="184"/>
    </row>
    <row r="142" spans="2:11">
      <c r="B142" s="184"/>
      <c r="C142" s="184"/>
      <c r="F142" s="183"/>
      <c r="G142" s="183"/>
      <c r="H142" s="183"/>
      <c r="I142" s="183"/>
      <c r="K142" s="184"/>
    </row>
    <row r="143" spans="2:11">
      <c r="B143" s="184"/>
      <c r="C143" s="184"/>
      <c r="F143" s="183"/>
      <c r="G143" s="183"/>
      <c r="H143" s="183"/>
      <c r="I143" s="183"/>
      <c r="K143" s="184"/>
    </row>
    <row r="144" spans="2:11">
      <c r="B144" s="184"/>
      <c r="C144" s="184"/>
      <c r="F144" s="183"/>
      <c r="G144" s="183"/>
      <c r="H144" s="183"/>
      <c r="I144" s="183"/>
      <c r="K144" s="184"/>
    </row>
    <row r="145" spans="2:11">
      <c r="B145" s="184"/>
      <c r="C145" s="184"/>
      <c r="F145" s="183"/>
      <c r="G145" s="183"/>
      <c r="H145" s="183"/>
      <c r="I145" s="183"/>
      <c r="K145" s="184"/>
    </row>
    <row r="146" spans="2:11">
      <c r="B146" s="184"/>
      <c r="C146" s="184"/>
      <c r="F146" s="183"/>
      <c r="G146" s="183"/>
      <c r="H146" s="183"/>
      <c r="I146" s="183"/>
      <c r="K146" s="184"/>
    </row>
    <row r="147" spans="2:11">
      <c r="B147" s="184"/>
      <c r="C147" s="184"/>
      <c r="F147" s="183"/>
      <c r="G147" s="183"/>
      <c r="H147" s="183"/>
      <c r="I147" s="183"/>
      <c r="K147" s="184"/>
    </row>
    <row r="148" spans="2:11">
      <c r="B148" s="184"/>
      <c r="C148" s="184"/>
      <c r="F148" s="183"/>
      <c r="G148" s="183"/>
      <c r="H148" s="183"/>
      <c r="I148" s="183"/>
      <c r="K148" s="184"/>
    </row>
    <row r="149" spans="2:11">
      <c r="B149" s="184"/>
      <c r="C149" s="184"/>
      <c r="F149" s="183"/>
      <c r="G149" s="183"/>
      <c r="H149" s="183"/>
      <c r="I149" s="183"/>
      <c r="K149" s="184"/>
    </row>
    <row r="150" spans="2:11">
      <c r="B150" s="184"/>
      <c r="C150" s="184"/>
      <c r="F150" s="183"/>
      <c r="G150" s="183"/>
      <c r="H150" s="183"/>
      <c r="I150" s="183"/>
      <c r="K150" s="184"/>
    </row>
    <row r="151" spans="2:11">
      <c r="B151" s="184"/>
      <c r="C151" s="184"/>
      <c r="F151" s="183"/>
      <c r="G151" s="183"/>
      <c r="H151" s="183"/>
      <c r="I151" s="183"/>
      <c r="K151" s="184"/>
    </row>
    <row r="152" spans="2:11">
      <c r="B152" s="184"/>
      <c r="C152" s="184"/>
      <c r="F152" s="183"/>
      <c r="G152" s="183"/>
      <c r="H152" s="183"/>
      <c r="I152" s="183"/>
      <c r="K152" s="184"/>
    </row>
    <row r="153" spans="2:11">
      <c r="B153" s="184"/>
      <c r="C153" s="184"/>
      <c r="F153" s="183"/>
      <c r="G153" s="183"/>
      <c r="H153" s="183"/>
      <c r="I153" s="183"/>
      <c r="K153" s="184"/>
    </row>
    <row r="154" spans="2:11">
      <c r="B154" s="184"/>
      <c r="C154" s="184"/>
      <c r="F154" s="183"/>
      <c r="G154" s="183"/>
      <c r="H154" s="183"/>
      <c r="I154" s="183"/>
      <c r="K154" s="184"/>
    </row>
    <row r="155" spans="2:11">
      <c r="B155" s="184"/>
      <c r="C155" s="184"/>
      <c r="F155" s="183"/>
      <c r="G155" s="183"/>
      <c r="H155" s="183"/>
      <c r="I155" s="183"/>
      <c r="K155" s="184"/>
    </row>
    <row r="156" spans="2:11">
      <c r="B156" s="184"/>
      <c r="C156" s="184"/>
      <c r="F156" s="183"/>
      <c r="G156" s="183"/>
      <c r="H156" s="183"/>
      <c r="I156" s="183"/>
      <c r="K156" s="184"/>
    </row>
    <row r="157" spans="2:11">
      <c r="B157" s="184"/>
      <c r="C157" s="184"/>
      <c r="F157" s="183"/>
      <c r="G157" s="183"/>
      <c r="H157" s="183"/>
      <c r="I157" s="183"/>
      <c r="K157" s="184"/>
    </row>
    <row r="158" spans="2:11">
      <c r="B158" s="184"/>
      <c r="C158" s="184"/>
      <c r="F158" s="183"/>
      <c r="G158" s="183"/>
      <c r="H158" s="183"/>
      <c r="I158" s="183"/>
      <c r="K158" s="184"/>
    </row>
    <row r="159" spans="2:11">
      <c r="B159" s="184"/>
      <c r="C159" s="184"/>
      <c r="F159" s="183"/>
      <c r="G159" s="183"/>
      <c r="H159" s="183"/>
      <c r="I159" s="183"/>
      <c r="K159" s="184"/>
    </row>
    <row r="160" spans="2:11">
      <c r="B160" s="184"/>
      <c r="C160" s="184"/>
      <c r="F160" s="183"/>
      <c r="G160" s="183"/>
      <c r="H160" s="183"/>
      <c r="I160" s="183"/>
      <c r="K160" s="184"/>
    </row>
    <row r="161" spans="2:11">
      <c r="B161" s="184"/>
      <c r="C161" s="184"/>
      <c r="F161" s="183"/>
      <c r="G161" s="183"/>
      <c r="H161" s="183"/>
      <c r="I161" s="183"/>
      <c r="K161" s="184"/>
    </row>
    <row r="162" spans="2:11">
      <c r="B162" s="184"/>
      <c r="C162" s="184"/>
      <c r="F162" s="183"/>
      <c r="G162" s="183"/>
      <c r="H162" s="183"/>
      <c r="I162" s="183"/>
      <c r="K162" s="184"/>
    </row>
    <row r="163" spans="2:11">
      <c r="B163" s="184"/>
      <c r="C163" s="184"/>
      <c r="F163" s="183"/>
      <c r="G163" s="183"/>
      <c r="H163" s="183"/>
      <c r="I163" s="183"/>
      <c r="K163" s="184"/>
    </row>
    <row r="164" spans="2:11">
      <c r="B164" s="184"/>
      <c r="C164" s="184"/>
      <c r="F164" s="183"/>
      <c r="G164" s="183"/>
      <c r="H164" s="183"/>
      <c r="I164" s="183"/>
      <c r="K164" s="184"/>
    </row>
    <row r="165" spans="2:11">
      <c r="B165" s="184"/>
      <c r="C165" s="184"/>
      <c r="F165" s="183"/>
      <c r="G165" s="183"/>
      <c r="H165" s="183"/>
      <c r="I165" s="183"/>
      <c r="K165" s="184"/>
    </row>
    <row r="166" spans="2:11">
      <c r="B166" s="184"/>
      <c r="C166" s="184"/>
      <c r="F166" s="183"/>
      <c r="G166" s="183"/>
      <c r="H166" s="183"/>
      <c r="I166" s="183"/>
      <c r="K166" s="184"/>
    </row>
    <row r="167" spans="2:11">
      <c r="B167" s="184"/>
      <c r="C167" s="184"/>
      <c r="F167" s="183"/>
      <c r="G167" s="183"/>
      <c r="H167" s="183"/>
      <c r="I167" s="183"/>
      <c r="K167" s="184"/>
    </row>
    <row r="168" spans="2:11">
      <c r="B168" s="184"/>
      <c r="C168" s="184"/>
      <c r="F168" s="183"/>
      <c r="G168" s="183"/>
      <c r="H168" s="183"/>
      <c r="I168" s="183"/>
      <c r="K168" s="184"/>
    </row>
    <row r="169" spans="2:11">
      <c r="B169" s="184"/>
      <c r="C169" s="184"/>
      <c r="F169" s="183"/>
      <c r="G169" s="183"/>
      <c r="H169" s="183"/>
      <c r="I169" s="183"/>
      <c r="K169" s="184"/>
    </row>
    <row r="170" spans="2:11">
      <c r="B170" s="184"/>
      <c r="C170" s="184"/>
      <c r="F170" s="183"/>
      <c r="G170" s="183"/>
      <c r="H170" s="183"/>
      <c r="I170" s="183"/>
      <c r="K170" s="184"/>
    </row>
    <row r="171" spans="2:11">
      <c r="B171" s="184"/>
      <c r="C171" s="184"/>
      <c r="F171" s="183"/>
      <c r="G171" s="183"/>
      <c r="H171" s="183"/>
      <c r="I171" s="183"/>
      <c r="K171" s="184"/>
    </row>
    <row r="172" spans="2:11">
      <c r="B172" s="184"/>
      <c r="C172" s="184"/>
      <c r="F172" s="183"/>
      <c r="G172" s="183"/>
      <c r="H172" s="183"/>
      <c r="I172" s="183"/>
      <c r="K172" s="184"/>
    </row>
    <row r="173" spans="2:11">
      <c r="B173" s="184"/>
      <c r="C173" s="184"/>
      <c r="F173" s="183"/>
      <c r="G173" s="183"/>
      <c r="H173" s="183"/>
      <c r="I173" s="183"/>
      <c r="K173" s="184"/>
    </row>
    <row r="174" spans="2:11">
      <c r="B174" s="184"/>
      <c r="C174" s="184"/>
      <c r="F174" s="183"/>
      <c r="G174" s="183"/>
      <c r="H174" s="183"/>
      <c r="I174" s="183"/>
      <c r="K174" s="184"/>
    </row>
    <row r="175" spans="2:11">
      <c r="B175" s="184"/>
      <c r="C175" s="184"/>
      <c r="F175" s="183"/>
      <c r="G175" s="183"/>
      <c r="H175" s="183"/>
      <c r="I175" s="183"/>
      <c r="K175" s="184"/>
    </row>
    <row r="176" spans="2:11">
      <c r="B176" s="184"/>
      <c r="C176" s="184"/>
      <c r="F176" s="183"/>
      <c r="G176" s="183"/>
      <c r="H176" s="183"/>
      <c r="I176" s="183"/>
      <c r="K176" s="184"/>
    </row>
    <row r="177" spans="2:11">
      <c r="B177" s="184"/>
      <c r="C177" s="184"/>
      <c r="F177" s="183"/>
      <c r="G177" s="183"/>
      <c r="H177" s="183"/>
      <c r="I177" s="183"/>
      <c r="K177" s="184"/>
    </row>
    <row r="178" spans="2:11">
      <c r="B178" s="184"/>
      <c r="C178" s="184"/>
      <c r="F178" s="183"/>
      <c r="G178" s="183"/>
      <c r="H178" s="183"/>
      <c r="I178" s="183"/>
      <c r="K178" s="184"/>
    </row>
    <row r="179" spans="2:11">
      <c r="B179" s="184"/>
      <c r="C179" s="184"/>
      <c r="F179" s="183"/>
      <c r="G179" s="183"/>
      <c r="H179" s="183"/>
      <c r="I179" s="183"/>
      <c r="K179" s="184"/>
    </row>
    <row r="180" spans="2:11">
      <c r="B180" s="184"/>
      <c r="C180" s="184"/>
      <c r="F180" s="183"/>
      <c r="G180" s="183"/>
      <c r="H180" s="183"/>
      <c r="I180" s="183"/>
      <c r="K180" s="184"/>
    </row>
    <row r="181" spans="2:11">
      <c r="B181" s="184"/>
      <c r="C181" s="184"/>
      <c r="F181" s="183"/>
      <c r="G181" s="183"/>
      <c r="H181" s="183"/>
      <c r="I181" s="183"/>
      <c r="K181" s="184"/>
    </row>
    <row r="182" spans="2:11">
      <c r="B182" s="184"/>
      <c r="C182" s="184"/>
      <c r="F182" s="183"/>
      <c r="G182" s="183"/>
      <c r="H182" s="183"/>
      <c r="I182" s="183"/>
      <c r="K182" s="184"/>
    </row>
    <row r="183" spans="2:11">
      <c r="B183" s="184"/>
      <c r="C183" s="184"/>
      <c r="F183" s="183"/>
      <c r="G183" s="183"/>
      <c r="H183" s="183"/>
      <c r="I183" s="183"/>
      <c r="K183" s="184"/>
    </row>
    <row r="184" spans="2:11">
      <c r="B184" s="184"/>
      <c r="C184" s="184"/>
      <c r="F184" s="183"/>
      <c r="G184" s="183"/>
      <c r="H184" s="183"/>
      <c r="I184" s="183"/>
      <c r="K184" s="184"/>
    </row>
    <row r="185" spans="2:11">
      <c r="B185" s="184"/>
      <c r="C185" s="184"/>
      <c r="F185" s="183"/>
      <c r="G185" s="183"/>
      <c r="H185" s="183"/>
      <c r="I185" s="183"/>
      <c r="K185" s="184"/>
    </row>
    <row r="186" spans="2:11">
      <c r="B186" s="184"/>
      <c r="C186" s="184"/>
      <c r="F186" s="183"/>
      <c r="G186" s="183"/>
      <c r="H186" s="183"/>
      <c r="I186" s="183"/>
      <c r="K186" s="184"/>
    </row>
    <row r="187" spans="2:11">
      <c r="B187" s="184"/>
      <c r="C187" s="184"/>
      <c r="F187" s="183"/>
      <c r="G187" s="183"/>
      <c r="H187" s="183"/>
      <c r="I187" s="183"/>
      <c r="K187" s="184"/>
    </row>
    <row r="188" spans="2:11">
      <c r="B188" s="184"/>
      <c r="C188" s="184"/>
      <c r="F188" s="183"/>
      <c r="G188" s="183"/>
      <c r="H188" s="183"/>
      <c r="I188" s="183"/>
      <c r="K188" s="184"/>
    </row>
    <row r="189" spans="2:11">
      <c r="B189" s="184"/>
      <c r="C189" s="184"/>
      <c r="F189" s="183"/>
      <c r="G189" s="183"/>
      <c r="H189" s="183"/>
      <c r="I189" s="183"/>
      <c r="K189" s="184"/>
    </row>
    <row r="190" spans="2:11">
      <c r="B190" s="184"/>
      <c r="C190" s="184"/>
      <c r="F190" s="183"/>
      <c r="G190" s="183"/>
      <c r="H190" s="183"/>
      <c r="I190" s="183"/>
      <c r="K190" s="184"/>
    </row>
    <row r="191" spans="2:11">
      <c r="B191" s="184"/>
      <c r="C191" s="184"/>
      <c r="F191" s="183"/>
      <c r="G191" s="183"/>
      <c r="H191" s="183"/>
      <c r="I191" s="183"/>
      <c r="K191" s="184"/>
    </row>
    <row r="192" spans="2:11">
      <c r="B192" s="184"/>
      <c r="C192" s="184"/>
      <c r="F192" s="183"/>
      <c r="G192" s="183"/>
      <c r="H192" s="183"/>
      <c r="I192" s="183"/>
      <c r="K192" s="184"/>
    </row>
    <row r="193" spans="2:11">
      <c r="B193" s="184"/>
      <c r="C193" s="184"/>
      <c r="F193" s="183"/>
      <c r="G193" s="183"/>
      <c r="H193" s="183"/>
      <c r="I193" s="183"/>
      <c r="K193" s="184"/>
    </row>
    <row r="194" spans="2:11">
      <c r="B194" s="184"/>
      <c r="C194" s="184"/>
      <c r="F194" s="183"/>
      <c r="G194" s="183"/>
      <c r="H194" s="183"/>
      <c r="I194" s="183"/>
      <c r="K194" s="184"/>
    </row>
    <row r="195" spans="2:11">
      <c r="B195" s="184"/>
      <c r="C195" s="184"/>
      <c r="F195" s="183"/>
      <c r="G195" s="183"/>
      <c r="H195" s="183"/>
      <c r="I195" s="183"/>
      <c r="K195" s="184"/>
    </row>
    <row r="196" spans="2:11">
      <c r="B196" s="184"/>
      <c r="C196" s="184"/>
      <c r="F196" s="183"/>
      <c r="G196" s="183"/>
      <c r="H196" s="183"/>
      <c r="I196" s="183"/>
      <c r="K196" s="184"/>
    </row>
    <row r="197" spans="2:11">
      <c r="B197" s="184"/>
      <c r="C197" s="184"/>
      <c r="F197" s="183"/>
      <c r="G197" s="183"/>
      <c r="H197" s="183"/>
      <c r="I197" s="183"/>
      <c r="K197" s="184"/>
    </row>
    <row r="198" spans="2:11">
      <c r="B198" s="184"/>
      <c r="C198" s="184"/>
      <c r="F198" s="183"/>
      <c r="G198" s="183"/>
      <c r="H198" s="183"/>
      <c r="I198" s="183"/>
      <c r="K198" s="184"/>
    </row>
    <row r="199" spans="2:11">
      <c r="B199" s="184"/>
      <c r="C199" s="184"/>
      <c r="F199" s="183"/>
      <c r="G199" s="183"/>
      <c r="H199" s="183"/>
      <c r="I199" s="183"/>
      <c r="K199" s="184"/>
    </row>
    <row r="200" spans="2:11">
      <c r="B200" s="184"/>
      <c r="C200" s="184"/>
      <c r="F200" s="183"/>
      <c r="G200" s="183"/>
      <c r="H200" s="183"/>
      <c r="I200" s="183"/>
      <c r="K200" s="184"/>
    </row>
    <row r="201" spans="2:11">
      <c r="B201" s="184"/>
      <c r="C201" s="184"/>
      <c r="F201" s="183"/>
      <c r="G201" s="183"/>
      <c r="H201" s="183"/>
      <c r="I201" s="183"/>
      <c r="K201" s="184"/>
    </row>
    <row r="202" spans="2:11">
      <c r="B202" s="184"/>
      <c r="C202" s="184"/>
      <c r="F202" s="183"/>
      <c r="G202" s="183"/>
      <c r="H202" s="183"/>
      <c r="I202" s="183"/>
      <c r="K202" s="184"/>
    </row>
    <row r="203" spans="2:11">
      <c r="B203" s="184"/>
      <c r="C203" s="184"/>
      <c r="F203" s="183"/>
      <c r="G203" s="183"/>
      <c r="H203" s="183"/>
      <c r="I203" s="183"/>
      <c r="K203" s="184"/>
    </row>
    <row r="204" spans="2:11">
      <c r="B204" s="184"/>
      <c r="C204" s="184"/>
      <c r="F204" s="183"/>
      <c r="G204" s="183"/>
      <c r="H204" s="183"/>
      <c r="I204" s="183"/>
      <c r="K204" s="184"/>
    </row>
    <row r="205" spans="2:11">
      <c r="B205" s="184"/>
      <c r="C205" s="184"/>
      <c r="F205" s="183"/>
      <c r="G205" s="183"/>
      <c r="H205" s="183"/>
      <c r="I205" s="183"/>
      <c r="K205" s="184"/>
    </row>
    <row r="206" spans="2:11">
      <c r="B206" s="184"/>
      <c r="C206" s="184"/>
      <c r="F206" s="183"/>
      <c r="G206" s="183"/>
      <c r="H206" s="183"/>
      <c r="I206" s="183"/>
      <c r="K206" s="184"/>
    </row>
    <row r="207" spans="2:11">
      <c r="B207" s="184"/>
      <c r="C207" s="184"/>
      <c r="F207" s="183"/>
      <c r="G207" s="183"/>
      <c r="H207" s="183"/>
      <c r="I207" s="183"/>
      <c r="K207" s="184"/>
    </row>
    <row r="208" spans="2:11">
      <c r="B208" s="184"/>
      <c r="C208" s="184"/>
      <c r="F208" s="183"/>
      <c r="G208" s="183"/>
      <c r="H208" s="183"/>
      <c r="I208" s="183"/>
      <c r="K208" s="184"/>
    </row>
    <row r="209" spans="2:11">
      <c r="B209" s="184"/>
      <c r="C209" s="184"/>
      <c r="F209" s="183"/>
      <c r="G209" s="183"/>
      <c r="H209" s="183"/>
      <c r="I209" s="183"/>
      <c r="K209" s="184"/>
    </row>
    <row r="210" spans="2:11">
      <c r="B210" s="184"/>
      <c r="C210" s="184"/>
      <c r="F210" s="183"/>
      <c r="G210" s="183"/>
      <c r="H210" s="183"/>
      <c r="I210" s="183"/>
      <c r="K210" s="184"/>
    </row>
    <row r="211" spans="2:11">
      <c r="B211" s="184"/>
      <c r="C211" s="184"/>
      <c r="F211" s="183"/>
      <c r="G211" s="183"/>
      <c r="H211" s="183"/>
      <c r="I211" s="183"/>
      <c r="K211" s="184"/>
    </row>
    <row r="212" spans="2:11">
      <c r="B212" s="184"/>
      <c r="C212" s="184"/>
      <c r="F212" s="183"/>
      <c r="G212" s="183"/>
      <c r="H212" s="183"/>
      <c r="I212" s="183"/>
      <c r="K212" s="184"/>
    </row>
    <row r="213" spans="2:11">
      <c r="B213" s="184"/>
      <c r="C213" s="184"/>
      <c r="F213" s="183"/>
      <c r="G213" s="183"/>
      <c r="H213" s="183"/>
      <c r="I213" s="183"/>
      <c r="K213" s="184"/>
    </row>
    <row r="214" spans="2:11">
      <c r="B214" s="184"/>
      <c r="C214" s="184"/>
      <c r="F214" s="183"/>
      <c r="G214" s="183"/>
      <c r="H214" s="183"/>
      <c r="I214" s="183"/>
      <c r="K214" s="184"/>
    </row>
    <row r="215" spans="2:11">
      <c r="B215" s="184"/>
      <c r="C215" s="184"/>
      <c r="F215" s="183"/>
      <c r="G215" s="183"/>
      <c r="H215" s="183"/>
      <c r="I215" s="183"/>
      <c r="K215" s="184"/>
    </row>
    <row r="216" spans="2:11">
      <c r="B216" s="184"/>
      <c r="C216" s="184"/>
      <c r="F216" s="183"/>
      <c r="G216" s="183"/>
      <c r="H216" s="183"/>
      <c r="I216" s="183"/>
      <c r="K216" s="184"/>
    </row>
    <row r="217" spans="2:11">
      <c r="B217" s="184"/>
      <c r="C217" s="184"/>
      <c r="F217" s="183"/>
      <c r="G217" s="183"/>
      <c r="H217" s="183"/>
      <c r="I217" s="183"/>
      <c r="K217" s="184"/>
    </row>
    <row r="218" spans="2:11">
      <c r="B218" s="184"/>
      <c r="C218" s="184"/>
      <c r="F218" s="183"/>
      <c r="G218" s="183"/>
      <c r="H218" s="183"/>
      <c r="I218" s="183"/>
      <c r="K218" s="184"/>
    </row>
    <row r="219" spans="2:11">
      <c r="B219" s="184"/>
      <c r="C219" s="184"/>
      <c r="F219" s="183"/>
      <c r="G219" s="183"/>
      <c r="H219" s="183"/>
      <c r="I219" s="183"/>
      <c r="K219" s="184"/>
    </row>
    <row r="220" spans="2:11">
      <c r="B220" s="184"/>
      <c r="C220" s="184"/>
      <c r="F220" s="183"/>
      <c r="G220" s="183"/>
      <c r="H220" s="183"/>
      <c r="I220" s="183"/>
      <c r="K220" s="184"/>
    </row>
    <row r="221" spans="2:11">
      <c r="B221" s="184"/>
      <c r="C221" s="184"/>
      <c r="F221" s="183"/>
      <c r="G221" s="183"/>
      <c r="H221" s="183"/>
      <c r="I221" s="183"/>
      <c r="K221" s="184"/>
    </row>
    <row r="222" spans="2:11">
      <c r="B222" s="184"/>
      <c r="C222" s="184"/>
      <c r="F222" s="183"/>
      <c r="G222" s="183"/>
      <c r="H222" s="183"/>
      <c r="I222" s="183"/>
      <c r="K222" s="184"/>
    </row>
    <row r="223" spans="2:11">
      <c r="B223" s="184"/>
      <c r="C223" s="184"/>
      <c r="F223" s="183"/>
      <c r="G223" s="183"/>
      <c r="H223" s="183"/>
      <c r="I223" s="183"/>
      <c r="K223" s="184"/>
    </row>
    <row r="224" spans="2:11">
      <c r="B224" s="184"/>
      <c r="C224" s="184"/>
      <c r="F224" s="183"/>
      <c r="G224" s="183"/>
      <c r="H224" s="183"/>
      <c r="I224" s="183"/>
      <c r="K224" s="184"/>
    </row>
    <row r="225" spans="2:11">
      <c r="B225" s="184"/>
      <c r="C225" s="184"/>
      <c r="F225" s="183"/>
      <c r="G225" s="183"/>
      <c r="H225" s="183"/>
      <c r="I225" s="183"/>
      <c r="K225" s="184"/>
    </row>
    <row r="226" spans="2:11">
      <c r="B226" s="184"/>
      <c r="C226" s="184"/>
      <c r="F226" s="183"/>
      <c r="G226" s="183"/>
      <c r="H226" s="183"/>
      <c r="I226" s="183"/>
      <c r="K226" s="184"/>
    </row>
    <row r="227" spans="2:11">
      <c r="B227" s="184"/>
      <c r="C227" s="184"/>
      <c r="F227" s="183"/>
      <c r="G227" s="183"/>
      <c r="H227" s="183"/>
      <c r="I227" s="183"/>
      <c r="K227" s="184"/>
    </row>
    <row r="228" spans="2:11">
      <c r="B228" s="184"/>
      <c r="C228" s="184"/>
      <c r="F228" s="183"/>
      <c r="G228" s="183"/>
      <c r="H228" s="183"/>
      <c r="I228" s="183"/>
      <c r="K228" s="184"/>
    </row>
    <row r="229" spans="2:11">
      <c r="B229" s="184"/>
      <c r="C229" s="184"/>
      <c r="F229" s="183"/>
      <c r="G229" s="183"/>
      <c r="H229" s="183"/>
      <c r="I229" s="183"/>
      <c r="K229" s="184"/>
    </row>
    <row r="230" spans="2:11">
      <c r="B230" s="184"/>
      <c r="C230" s="184"/>
      <c r="F230" s="183"/>
      <c r="G230" s="183"/>
      <c r="H230" s="183"/>
      <c r="I230" s="183"/>
      <c r="K230" s="184"/>
    </row>
    <row r="231" spans="2:11">
      <c r="B231" s="184"/>
      <c r="C231" s="184"/>
      <c r="F231" s="183"/>
      <c r="G231" s="183"/>
      <c r="H231" s="183"/>
      <c r="I231" s="183"/>
      <c r="K231" s="184"/>
    </row>
    <row r="232" spans="2:11">
      <c r="B232" s="184"/>
      <c r="C232" s="184"/>
      <c r="F232" s="183"/>
      <c r="G232" s="183"/>
      <c r="H232" s="183"/>
      <c r="I232" s="183"/>
      <c r="K232" s="184"/>
    </row>
    <row r="233" spans="2:11">
      <c r="B233" s="184"/>
      <c r="C233" s="184"/>
      <c r="F233" s="183"/>
      <c r="G233" s="183"/>
      <c r="H233" s="183"/>
      <c r="I233" s="183"/>
      <c r="K233" s="184"/>
    </row>
    <row r="234" spans="2:11">
      <c r="B234" s="184"/>
      <c r="C234" s="184"/>
      <c r="F234" s="183"/>
      <c r="G234" s="183"/>
      <c r="H234" s="183"/>
      <c r="I234" s="183"/>
      <c r="K234" s="184"/>
    </row>
    <row r="235" spans="2:11">
      <c r="B235" s="184"/>
      <c r="C235" s="184"/>
      <c r="F235" s="183"/>
      <c r="G235" s="183"/>
      <c r="H235" s="183"/>
      <c r="I235" s="183"/>
      <c r="K235" s="184"/>
    </row>
    <row r="236" spans="2:11">
      <c r="B236" s="184"/>
      <c r="C236" s="184"/>
      <c r="F236" s="183"/>
      <c r="G236" s="183"/>
      <c r="H236" s="183"/>
      <c r="I236" s="183"/>
      <c r="K236" s="184"/>
    </row>
    <row r="237" spans="2:11">
      <c r="B237" s="184"/>
      <c r="C237" s="184"/>
      <c r="F237" s="183"/>
      <c r="G237" s="183"/>
      <c r="H237" s="183"/>
      <c r="I237" s="183"/>
      <c r="K237" s="184"/>
    </row>
    <row r="238" spans="2:11">
      <c r="B238" s="184"/>
      <c r="C238" s="184"/>
      <c r="F238" s="183"/>
      <c r="G238" s="183"/>
      <c r="H238" s="183"/>
      <c r="I238" s="183"/>
      <c r="K238" s="184"/>
    </row>
    <row r="239" spans="2:11">
      <c r="B239" s="184"/>
      <c r="C239" s="184"/>
      <c r="F239" s="183"/>
      <c r="G239" s="183"/>
      <c r="H239" s="183"/>
      <c r="I239" s="183"/>
      <c r="K239" s="184"/>
    </row>
    <row r="240" spans="2:11">
      <c r="B240" s="184"/>
      <c r="C240" s="184"/>
      <c r="F240" s="183"/>
      <c r="G240" s="183"/>
      <c r="H240" s="183"/>
      <c r="I240" s="183"/>
      <c r="K240" s="184"/>
    </row>
    <row r="241" spans="2:11">
      <c r="B241" s="184"/>
      <c r="C241" s="184"/>
      <c r="F241" s="183"/>
      <c r="G241" s="183"/>
      <c r="H241" s="183"/>
      <c r="I241" s="183"/>
      <c r="K241" s="184"/>
    </row>
    <row r="242" spans="2:11">
      <c r="B242" s="184"/>
      <c r="C242" s="184"/>
      <c r="F242" s="183"/>
      <c r="G242" s="183"/>
      <c r="H242" s="183"/>
      <c r="I242" s="183"/>
      <c r="K242" s="184"/>
    </row>
    <row r="243" spans="2:11">
      <c r="B243" s="184"/>
      <c r="C243" s="184"/>
      <c r="F243" s="183"/>
      <c r="G243" s="183"/>
      <c r="H243" s="183"/>
      <c r="I243" s="183"/>
      <c r="K243" s="184"/>
    </row>
    <row r="244" spans="2:11">
      <c r="B244" s="184"/>
      <c r="C244" s="184"/>
      <c r="F244" s="183"/>
      <c r="G244" s="183"/>
      <c r="H244" s="183"/>
      <c r="I244" s="183"/>
      <c r="K244" s="184"/>
    </row>
    <row r="245" spans="2:11">
      <c r="B245" s="184"/>
      <c r="C245" s="184"/>
      <c r="F245" s="183"/>
      <c r="G245" s="183"/>
      <c r="H245" s="183"/>
      <c r="I245" s="183"/>
      <c r="K245" s="184"/>
    </row>
    <row r="246" spans="2:11">
      <c r="B246" s="184"/>
      <c r="C246" s="184"/>
      <c r="F246" s="183"/>
      <c r="G246" s="183"/>
      <c r="H246" s="183"/>
      <c r="I246" s="183"/>
      <c r="K246" s="184"/>
    </row>
    <row r="247" spans="2:11">
      <c r="B247" s="184"/>
      <c r="C247" s="184"/>
      <c r="F247" s="183"/>
      <c r="G247" s="183"/>
      <c r="H247" s="183"/>
      <c r="I247" s="183"/>
      <c r="K247" s="184"/>
    </row>
    <row r="248" spans="2:11">
      <c r="B248" s="184"/>
      <c r="C248" s="184"/>
      <c r="F248" s="183"/>
      <c r="G248" s="183"/>
      <c r="H248" s="183"/>
      <c r="I248" s="183"/>
      <c r="K248" s="184"/>
    </row>
    <row r="249" spans="2:11">
      <c r="B249" s="184"/>
      <c r="C249" s="184"/>
      <c r="F249" s="183"/>
      <c r="G249" s="183"/>
      <c r="H249" s="183"/>
      <c r="I249" s="183"/>
      <c r="K249" s="184"/>
    </row>
    <row r="250" spans="2:11">
      <c r="B250" s="184"/>
      <c r="C250" s="184"/>
      <c r="F250" s="183"/>
      <c r="G250" s="183"/>
      <c r="H250" s="183"/>
      <c r="I250" s="183"/>
      <c r="K250" s="184"/>
    </row>
    <row r="251" spans="2:11">
      <c r="B251" s="184"/>
      <c r="C251" s="184"/>
      <c r="F251" s="183"/>
      <c r="G251" s="183"/>
      <c r="H251" s="183"/>
      <c r="I251" s="183"/>
      <c r="K251" s="184"/>
    </row>
    <row r="252" spans="2:11">
      <c r="B252" s="184"/>
      <c r="C252" s="184"/>
      <c r="F252" s="183"/>
      <c r="G252" s="183"/>
      <c r="H252" s="183"/>
      <c r="I252" s="183"/>
      <c r="K252" s="184"/>
    </row>
    <row r="253" spans="2:11">
      <c r="B253" s="184"/>
      <c r="C253" s="184"/>
      <c r="F253" s="183"/>
      <c r="G253" s="183"/>
      <c r="H253" s="183"/>
      <c r="I253" s="183"/>
      <c r="K253" s="184"/>
    </row>
    <row r="254" spans="2:11">
      <c r="B254" s="184"/>
      <c r="C254" s="184"/>
      <c r="F254" s="183"/>
      <c r="G254" s="183"/>
      <c r="H254" s="183"/>
      <c r="I254" s="183"/>
      <c r="K254" s="184"/>
    </row>
    <row r="255" spans="2:11">
      <c r="B255" s="184"/>
      <c r="C255" s="184"/>
      <c r="F255" s="183"/>
      <c r="G255" s="183"/>
      <c r="H255" s="183"/>
      <c r="I255" s="183"/>
      <c r="K255" s="184"/>
    </row>
    <row r="256" spans="2:11">
      <c r="B256" s="184"/>
      <c r="C256" s="184"/>
      <c r="F256" s="183"/>
      <c r="G256" s="183"/>
      <c r="H256" s="183"/>
      <c r="I256" s="183"/>
      <c r="K256" s="184"/>
    </row>
    <row r="257" spans="2:11">
      <c r="B257" s="184"/>
      <c r="C257" s="184"/>
      <c r="F257" s="183"/>
      <c r="G257" s="183"/>
      <c r="H257" s="183"/>
      <c r="I257" s="183"/>
      <c r="K257" s="184"/>
    </row>
    <row r="258" spans="2:11">
      <c r="B258" s="184"/>
      <c r="C258" s="184"/>
      <c r="F258" s="183"/>
      <c r="G258" s="183"/>
      <c r="H258" s="183"/>
      <c r="I258" s="183"/>
      <c r="K258" s="184"/>
    </row>
    <row r="259" spans="2:11">
      <c r="B259" s="184"/>
      <c r="C259" s="184"/>
      <c r="F259" s="183"/>
      <c r="G259" s="183"/>
      <c r="H259" s="183"/>
      <c r="I259" s="183"/>
      <c r="K259" s="184"/>
    </row>
    <row r="260" spans="2:11">
      <c r="B260" s="184"/>
      <c r="C260" s="184"/>
      <c r="F260" s="183"/>
      <c r="G260" s="183"/>
      <c r="H260" s="183"/>
      <c r="I260" s="183"/>
      <c r="K260" s="184"/>
    </row>
    <row r="261" spans="2:11">
      <c r="B261" s="184"/>
      <c r="C261" s="184"/>
      <c r="F261" s="183"/>
      <c r="G261" s="183"/>
      <c r="H261" s="183"/>
      <c r="I261" s="183"/>
      <c r="K261" s="184"/>
    </row>
    <row r="262" spans="2:11">
      <c r="B262" s="184"/>
      <c r="C262" s="184"/>
      <c r="F262" s="183"/>
      <c r="G262" s="183"/>
      <c r="H262" s="183"/>
      <c r="I262" s="183"/>
      <c r="K262" s="184"/>
    </row>
    <row r="263" spans="2:11">
      <c r="B263" s="184"/>
      <c r="C263" s="184"/>
      <c r="F263" s="183"/>
      <c r="G263" s="183"/>
      <c r="H263" s="183"/>
      <c r="I263" s="183"/>
      <c r="K263" s="184"/>
    </row>
    <row r="264" spans="2:11">
      <c r="B264" s="184"/>
      <c r="C264" s="184"/>
      <c r="F264" s="183"/>
      <c r="G264" s="183"/>
      <c r="H264" s="183"/>
      <c r="I264" s="183"/>
      <c r="K264" s="184"/>
    </row>
    <row r="265" spans="2:11">
      <c r="B265" s="184"/>
      <c r="C265" s="184"/>
      <c r="F265" s="183"/>
      <c r="G265" s="183"/>
      <c r="H265" s="183"/>
      <c r="I265" s="183"/>
      <c r="K265" s="184"/>
    </row>
    <row r="266" spans="2:11">
      <c r="B266" s="184"/>
      <c r="C266" s="184"/>
      <c r="F266" s="183"/>
      <c r="G266" s="183"/>
      <c r="H266" s="183"/>
      <c r="I266" s="183"/>
      <c r="K266" s="184"/>
    </row>
    <row r="267" spans="2:11">
      <c r="B267" s="184"/>
      <c r="C267" s="184"/>
      <c r="F267" s="183"/>
      <c r="G267" s="183"/>
      <c r="H267" s="183"/>
      <c r="I267" s="183"/>
      <c r="K267" s="184"/>
    </row>
    <row r="268" spans="2:11">
      <c r="B268" s="184"/>
      <c r="C268" s="184"/>
      <c r="F268" s="183"/>
      <c r="G268" s="183"/>
      <c r="H268" s="183"/>
      <c r="I268" s="183"/>
      <c r="K268" s="184"/>
    </row>
    <row r="269" spans="2:11">
      <c r="B269" s="184"/>
      <c r="C269" s="184"/>
      <c r="F269" s="183"/>
      <c r="G269" s="183"/>
      <c r="H269" s="183"/>
      <c r="I269" s="183"/>
      <c r="K269" s="184"/>
    </row>
    <row r="270" spans="2:11">
      <c r="B270" s="184"/>
      <c r="C270" s="184"/>
      <c r="F270" s="183"/>
      <c r="G270" s="183"/>
      <c r="H270" s="183"/>
      <c r="I270" s="183"/>
      <c r="K270" s="184"/>
    </row>
    <row r="271" spans="2:11">
      <c r="B271" s="184"/>
      <c r="C271" s="184"/>
      <c r="F271" s="183"/>
      <c r="G271" s="183"/>
      <c r="H271" s="183"/>
      <c r="I271" s="183"/>
      <c r="K271" s="184"/>
    </row>
    <row r="272" spans="2:11">
      <c r="B272" s="184"/>
      <c r="C272" s="184"/>
      <c r="F272" s="183"/>
      <c r="G272" s="183"/>
      <c r="H272" s="183"/>
      <c r="I272" s="183"/>
      <c r="K272" s="184"/>
    </row>
    <row r="273" spans="2:11">
      <c r="B273" s="184"/>
      <c r="C273" s="184"/>
      <c r="F273" s="183"/>
      <c r="G273" s="183"/>
      <c r="H273" s="183"/>
      <c r="I273" s="183"/>
      <c r="K273" s="184"/>
    </row>
    <row r="274" spans="2:11">
      <c r="B274" s="184"/>
      <c r="C274" s="184"/>
      <c r="F274" s="183"/>
      <c r="G274" s="183"/>
      <c r="H274" s="183"/>
      <c r="I274" s="183"/>
      <c r="K274" s="184"/>
    </row>
    <row r="275" spans="2:11">
      <c r="B275" s="184"/>
      <c r="C275" s="184"/>
      <c r="F275" s="183"/>
      <c r="G275" s="183"/>
      <c r="H275" s="183"/>
      <c r="I275" s="183"/>
      <c r="K275" s="184"/>
    </row>
    <row r="276" spans="2:11">
      <c r="B276" s="184"/>
      <c r="C276" s="184"/>
      <c r="F276" s="183"/>
      <c r="G276" s="183"/>
      <c r="H276" s="183"/>
      <c r="I276" s="183"/>
      <c r="K276" s="184"/>
    </row>
    <row r="277" spans="2:11">
      <c r="B277" s="184"/>
      <c r="C277" s="184"/>
      <c r="F277" s="183"/>
      <c r="G277" s="183"/>
      <c r="H277" s="183"/>
      <c r="I277" s="183"/>
      <c r="K277" s="184"/>
    </row>
    <row r="278" spans="2:11">
      <c r="B278" s="184"/>
      <c r="C278" s="184"/>
      <c r="F278" s="183"/>
      <c r="G278" s="183"/>
      <c r="H278" s="183"/>
      <c r="I278" s="183"/>
      <c r="K278" s="184"/>
    </row>
    <row r="279" spans="2:11">
      <c r="B279" s="184"/>
      <c r="F279" s="183"/>
      <c r="G279" s="183"/>
      <c r="H279" s="183"/>
      <c r="I279" s="183"/>
      <c r="K279" s="184"/>
    </row>
    <row r="280" spans="2:11">
      <c r="B280" s="184"/>
      <c r="C280" s="184"/>
      <c r="F280" s="183"/>
      <c r="G280" s="183"/>
      <c r="H280" s="183"/>
      <c r="I280" s="183"/>
      <c r="K280" s="184"/>
    </row>
    <row r="281" spans="2:11">
      <c r="B281" s="184"/>
      <c r="C281" s="184"/>
      <c r="F281" s="183"/>
      <c r="G281" s="183"/>
      <c r="H281" s="183"/>
      <c r="I281" s="183"/>
      <c r="K281" s="184"/>
    </row>
    <row r="282" spans="2:11">
      <c r="B282" s="184"/>
      <c r="C282" s="184"/>
      <c r="F282" s="183"/>
      <c r="G282" s="183"/>
      <c r="H282" s="183"/>
      <c r="I282" s="183"/>
      <c r="K282" s="184"/>
    </row>
    <row r="283" spans="2:11">
      <c r="B283" s="184"/>
      <c r="C283" s="184"/>
      <c r="F283" s="183"/>
      <c r="G283" s="183"/>
      <c r="H283" s="183"/>
      <c r="I283" s="183"/>
      <c r="K283" s="184"/>
    </row>
    <row r="284" spans="2:11">
      <c r="B284" s="184"/>
      <c r="C284" s="184"/>
      <c r="F284" s="183"/>
      <c r="G284" s="183"/>
      <c r="H284" s="183"/>
      <c r="I284" s="183"/>
      <c r="K284" s="184"/>
    </row>
    <row r="285" spans="2:11">
      <c r="B285" s="184"/>
      <c r="C285" s="184"/>
      <c r="F285" s="183"/>
      <c r="G285" s="183"/>
      <c r="H285" s="183"/>
      <c r="I285" s="183"/>
      <c r="K285" s="184"/>
    </row>
  </sheetData>
  <mergeCells count="1">
    <mergeCell ref="K10:M10"/>
  </mergeCells>
  <conditionalFormatting sqref="J1:J7">
    <cfRule type="expression" dxfId="9" priority="3">
      <formula>ABS(J1)&gt;0.01</formula>
    </cfRule>
  </conditionalFormatting>
  <conditionalFormatting sqref="G1:I1048576">
    <cfRule type="cellIs" dxfId="8" priority="2" operator="greaterThan">
      <formula>0.1</formula>
    </cfRule>
  </conditionalFormatting>
  <conditionalFormatting sqref="L1:L1048576">
    <cfRule type="cellIs" dxfId="7" priority="1" operator="greaterThanOrEqual">
      <formula>0.2</formula>
    </cfRule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337" r:id="rId3" name="Button 1">
              <controlPr defaultSize="0" print="0" autoFill="0" autoPict="0" macro="[0]!Import_VRS_btn">
                <anchor moveWithCells="1" sizeWithCells="1">
                  <from>
                    <xdr:col>14</xdr:col>
                    <xdr:colOff>104775</xdr:colOff>
                    <xdr:row>7</xdr:row>
                    <xdr:rowOff>66675</xdr:rowOff>
                  </from>
                  <to>
                    <xdr:col>16</xdr:col>
                    <xdr:colOff>47625</xdr:colOff>
                    <xdr:row>9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38" r:id="rId4" name="Button 2">
              <controlPr defaultSize="0" print="0" autoFill="0" autoPict="0" macro="[0]!slip_VRS_pg">
                <anchor moveWithCells="1" sizeWithCells="1">
                  <from>
                    <xdr:col>14</xdr:col>
                    <xdr:colOff>85725</xdr:colOff>
                    <xdr:row>9</xdr:row>
                    <xdr:rowOff>123825</xdr:rowOff>
                  </from>
                  <to>
                    <xdr:col>16</xdr:col>
                    <xdr:colOff>28575</xdr:colOff>
                    <xdr:row>11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39" r:id="rId5" name="Button 3">
              <controlPr defaultSize="0" print="0" autoFill="0" autoPict="0" macro="[0]!VRS_2_maintenance">
                <anchor moveWithCells="1" sizeWithCells="1">
                  <from>
                    <xdr:col>14</xdr:col>
                    <xdr:colOff>85725</xdr:colOff>
                    <xdr:row>12</xdr:row>
                    <xdr:rowOff>9525</xdr:rowOff>
                  </from>
                  <to>
                    <xdr:col>16</xdr:col>
                    <xdr:colOff>28575</xdr:colOff>
                    <xdr:row>13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16"/>
  <dimension ref="A1:Q41"/>
  <sheetViews>
    <sheetView workbookViewId="0">
      <selection activeCell="J49" sqref="J49"/>
    </sheetView>
  </sheetViews>
  <sheetFormatPr defaultColWidth="9.140625" defaultRowHeight="12.75"/>
  <cols>
    <col min="1" max="1" width="3.5703125" style="6" customWidth="1"/>
    <col min="2" max="2" width="7.28515625" style="6" customWidth="1"/>
    <col min="3" max="3" width="10.42578125" style="6" customWidth="1"/>
    <col min="4" max="4" width="10.42578125" style="74" customWidth="1"/>
    <col min="5" max="5" width="7.28515625" style="6" customWidth="1"/>
    <col min="6" max="9" width="9.28515625" style="75" customWidth="1"/>
    <col min="10" max="10" width="9.28515625" style="6" customWidth="1"/>
    <col min="11" max="11" width="11.140625" style="6" customWidth="1"/>
    <col min="12" max="12" width="11.42578125" style="6" customWidth="1"/>
    <col min="13" max="13" width="11.140625" style="5" customWidth="1"/>
    <col min="14" max="14" width="14.5703125" style="6" customWidth="1"/>
    <col min="15" max="15" width="6.28515625" style="6" hidden="1" customWidth="1"/>
    <col min="16" max="16" width="6.7109375" style="6" customWidth="1"/>
    <col min="17" max="17" width="5.42578125" style="7" customWidth="1"/>
    <col min="18" max="16384" width="9.140625" style="6"/>
  </cols>
  <sheetData>
    <row r="1" spans="1:17">
      <c r="A1" s="1"/>
      <c r="B1" s="2"/>
      <c r="C1" s="2"/>
      <c r="D1" s="3"/>
      <c r="E1" s="2"/>
      <c r="F1" s="4"/>
      <c r="G1" s="2"/>
      <c r="H1" s="2"/>
      <c r="I1" s="5"/>
      <c r="J1" s="2"/>
      <c r="K1" s="2"/>
      <c r="L1" s="2"/>
      <c r="N1" s="2"/>
    </row>
    <row r="2" spans="1:17">
      <c r="A2" s="8" t="s">
        <v>30</v>
      </c>
      <c r="B2" s="8"/>
      <c r="C2" s="8"/>
      <c r="D2" s="9"/>
      <c r="E2" s="5"/>
      <c r="F2" s="10" t="s">
        <v>0</v>
      </c>
      <c r="G2" s="8"/>
      <c r="H2" s="5"/>
      <c r="I2" s="5"/>
      <c r="J2" s="5"/>
      <c r="K2" s="8"/>
      <c r="M2" s="8" t="s">
        <v>31</v>
      </c>
      <c r="N2" s="8"/>
      <c r="O2" s="5"/>
    </row>
    <row r="3" spans="1:17">
      <c r="A3" s="8"/>
      <c r="B3" s="8"/>
      <c r="C3" s="8"/>
      <c r="D3" s="9"/>
      <c r="E3" s="5"/>
      <c r="F3" s="11"/>
      <c r="G3" s="5"/>
      <c r="H3" s="5"/>
      <c r="I3" s="5"/>
      <c r="J3" s="5"/>
      <c r="K3" s="5"/>
      <c r="L3" s="5"/>
      <c r="N3" s="5"/>
    </row>
    <row r="4" spans="1:17">
      <c r="A4" s="8" t="s">
        <v>32</v>
      </c>
      <c r="B4" s="5"/>
      <c r="C4" s="5"/>
      <c r="D4" s="12"/>
      <c r="E4" s="5"/>
      <c r="F4" s="10" t="s">
        <v>33</v>
      </c>
      <c r="G4" s="5"/>
      <c r="H4" s="5"/>
      <c r="I4" s="5"/>
      <c r="J4" s="5"/>
      <c r="K4" s="8"/>
      <c r="M4" s="8" t="s">
        <v>34</v>
      </c>
      <c r="N4" s="8"/>
      <c r="O4" s="5"/>
    </row>
    <row r="5" spans="1:17">
      <c r="A5" s="5"/>
      <c r="B5" s="5"/>
      <c r="C5" s="5"/>
      <c r="D5" s="12"/>
      <c r="E5" s="5"/>
      <c r="F5" s="11"/>
      <c r="G5" s="5"/>
      <c r="H5" s="5"/>
      <c r="I5" s="5"/>
      <c r="J5" s="5"/>
      <c r="K5" s="5"/>
      <c r="L5" s="5"/>
      <c r="N5" s="5"/>
    </row>
    <row r="6" spans="1:17">
      <c r="A6" s="8" t="s">
        <v>35</v>
      </c>
      <c r="B6" s="5"/>
      <c r="C6" s="5"/>
      <c r="D6" s="12"/>
      <c r="E6" s="5"/>
      <c r="F6" s="10" t="s">
        <v>36</v>
      </c>
      <c r="G6" s="8"/>
      <c r="H6" s="13" t="s">
        <v>19</v>
      </c>
      <c r="I6" s="14">
        <v>1</v>
      </c>
      <c r="K6" s="15" t="s">
        <v>37</v>
      </c>
      <c r="L6" s="8"/>
      <c r="M6" s="8" t="s">
        <v>38</v>
      </c>
      <c r="N6" s="8"/>
      <c r="O6" s="5"/>
    </row>
    <row r="7" spans="1:17" ht="12.75" customHeight="1">
      <c r="A7" s="16"/>
      <c r="B7" s="16"/>
      <c r="C7" s="16"/>
      <c r="D7" s="17"/>
      <c r="E7" s="16"/>
      <c r="F7" s="18"/>
      <c r="G7" s="18"/>
      <c r="H7" s="19" t="s">
        <v>20</v>
      </c>
      <c r="I7" s="20">
        <v>1.0000000000000001E-5</v>
      </c>
      <c r="J7" s="16"/>
      <c r="K7" s="21" t="s">
        <v>56</v>
      </c>
      <c r="L7" s="22">
        <v>25</v>
      </c>
      <c r="M7" s="16"/>
      <c r="N7" s="16"/>
      <c r="P7" s="7"/>
    </row>
    <row r="8" spans="1:17" s="25" customFormat="1" ht="15.6" customHeight="1">
      <c r="A8" s="213" t="s">
        <v>21</v>
      </c>
      <c r="B8" s="23"/>
      <c r="C8" s="24"/>
      <c r="E8" s="23" t="s">
        <v>2</v>
      </c>
      <c r="F8" s="26" t="s">
        <v>3</v>
      </c>
      <c r="G8" s="27"/>
      <c r="H8" s="28"/>
      <c r="I8" s="29"/>
      <c r="J8" s="30" t="s">
        <v>4</v>
      </c>
      <c r="K8" s="31" t="s">
        <v>5</v>
      </c>
      <c r="L8" s="32"/>
      <c r="M8" s="33"/>
      <c r="N8" s="34"/>
      <c r="P8" s="35"/>
      <c r="Q8" s="35"/>
    </row>
    <row r="9" spans="1:17" s="43" customFormat="1" ht="15.6" customHeight="1">
      <c r="A9" s="214"/>
      <c r="B9" s="36" t="s">
        <v>6</v>
      </c>
      <c r="C9" s="37" t="s">
        <v>1</v>
      </c>
      <c r="D9" s="38" t="s">
        <v>12</v>
      </c>
      <c r="E9" s="36" t="s">
        <v>6</v>
      </c>
      <c r="F9" s="39" t="s">
        <v>7</v>
      </c>
      <c r="G9" s="40" t="s">
        <v>8</v>
      </c>
      <c r="H9" s="39"/>
      <c r="I9" s="39" t="s">
        <v>9</v>
      </c>
      <c r="J9" s="41"/>
      <c r="K9" s="41"/>
      <c r="L9" s="41"/>
      <c r="M9" s="41"/>
      <c r="N9" s="216" t="s">
        <v>10</v>
      </c>
      <c r="O9" s="217"/>
      <c r="P9" s="217"/>
      <c r="Q9" s="42"/>
    </row>
    <row r="10" spans="1:17" s="43" customFormat="1" ht="15.6" customHeight="1">
      <c r="A10" s="215"/>
      <c r="B10" s="44" t="s">
        <v>11</v>
      </c>
      <c r="C10" s="45"/>
      <c r="D10" s="46"/>
      <c r="E10" s="44" t="s">
        <v>13</v>
      </c>
      <c r="F10" s="47"/>
      <c r="G10" s="40" t="s">
        <v>7</v>
      </c>
      <c r="H10" s="47" t="s">
        <v>14</v>
      </c>
      <c r="I10" s="47" t="s">
        <v>14</v>
      </c>
      <c r="J10" s="48" t="s">
        <v>15</v>
      </c>
      <c r="K10" s="44" t="s">
        <v>16</v>
      </c>
      <c r="L10" s="44" t="s">
        <v>17</v>
      </c>
      <c r="M10" s="44" t="s">
        <v>18</v>
      </c>
      <c r="N10" s="49"/>
      <c r="P10" s="50"/>
      <c r="Q10" s="50"/>
    </row>
    <row r="11" spans="1:17" ht="15.4" customHeight="1">
      <c r="A11" s="51"/>
      <c r="B11" s="51"/>
      <c r="C11" s="52"/>
      <c r="D11" s="53"/>
      <c r="E11" s="54"/>
      <c r="F11" s="55"/>
      <c r="G11" s="55"/>
      <c r="H11" s="55"/>
      <c r="I11" s="55"/>
      <c r="J11" s="55"/>
      <c r="K11" s="55"/>
      <c r="L11" s="56" t="s">
        <v>27</v>
      </c>
      <c r="M11" s="56">
        <v>100</v>
      </c>
      <c r="N11" s="57"/>
      <c r="O11" s="58"/>
      <c r="P11" s="59"/>
      <c r="Q11" s="59"/>
    </row>
    <row r="12" spans="1:17" ht="15.4" customHeight="1">
      <c r="A12" s="51">
        <v>23</v>
      </c>
      <c r="B12" s="60">
        <v>1</v>
      </c>
      <c r="C12" s="181" t="str">
        <f>L11</f>
        <v>SSM A</v>
      </c>
      <c r="D12" s="62" t="str">
        <f>L12</f>
        <v>SSM B</v>
      </c>
      <c r="E12" s="60">
        <f>B12</f>
        <v>1</v>
      </c>
      <c r="F12" s="55">
        <v>1</v>
      </c>
      <c r="G12" s="55">
        <v>-1</v>
      </c>
      <c r="H12" s="55">
        <f>(F12-G12)/2</f>
        <v>1</v>
      </c>
      <c r="I12" s="55">
        <f>((((A12-$L$7)*$I$7)+1)*$I$6)*H12</f>
        <v>0.99997999999999998</v>
      </c>
      <c r="J12" s="55">
        <f>(E12/E13)*J13</f>
        <v>3.3200000000022101E-3</v>
      </c>
      <c r="K12" s="55">
        <f>M11+I12</f>
        <v>100.99997999999999</v>
      </c>
      <c r="L12" s="55" t="s">
        <v>28</v>
      </c>
      <c r="M12" s="55">
        <f>K12+J12</f>
        <v>101.0033</v>
      </c>
      <c r="N12" s="57"/>
      <c r="O12" s="58"/>
      <c r="P12" s="59"/>
      <c r="Q12" s="59"/>
    </row>
    <row r="13" spans="1:17" ht="15.4" customHeight="1">
      <c r="A13" s="51">
        <v>23</v>
      </c>
      <c r="B13" s="60">
        <v>2</v>
      </c>
      <c r="C13" s="181" t="str">
        <f>L12</f>
        <v>SSM B</v>
      </c>
      <c r="D13" s="62" t="str">
        <f>L13</f>
        <v>SSM C</v>
      </c>
      <c r="E13" s="60">
        <f>E12+B13</f>
        <v>3</v>
      </c>
      <c r="F13" s="55">
        <v>-3</v>
      </c>
      <c r="G13" s="55">
        <v>3</v>
      </c>
      <c r="H13" s="55">
        <f>(F13-G13)/2</f>
        <v>-3</v>
      </c>
      <c r="I13" s="55">
        <f>((((A13-$L$7)*$I$7)+1)*$I$6)*H13</f>
        <v>-2.9999400000000001</v>
      </c>
      <c r="J13" s="55">
        <f>M13-K13</f>
        <v>9.9600000000066302E-3</v>
      </c>
      <c r="K13" s="55">
        <f>K12+I13</f>
        <v>98.000039999999998</v>
      </c>
      <c r="L13" s="151" t="s">
        <v>29</v>
      </c>
      <c r="M13" s="151">
        <v>98.01</v>
      </c>
      <c r="N13" s="63"/>
      <c r="O13" s="58"/>
      <c r="P13" s="64" t="s">
        <v>55</v>
      </c>
      <c r="Q13" s="59">
        <f>0.012*SQRT(E13)</f>
        <v>2.0784609690826527E-2</v>
      </c>
    </row>
    <row r="14" spans="1:17" ht="15.4" customHeight="1">
      <c r="A14" s="51"/>
      <c r="B14" s="60"/>
      <c r="C14" s="61"/>
      <c r="D14" s="62"/>
      <c r="E14" s="60"/>
      <c r="F14" s="55"/>
      <c r="G14" s="55"/>
      <c r="H14" s="55"/>
      <c r="I14" s="55"/>
      <c r="J14" s="55"/>
      <c r="K14" s="55"/>
      <c r="L14" s="55"/>
      <c r="M14" s="55"/>
      <c r="N14" s="57"/>
      <c r="O14" s="58"/>
      <c r="P14" s="59"/>
      <c r="Q14" s="59"/>
    </row>
    <row r="15" spans="1:17" ht="15.4" customHeight="1">
      <c r="A15" s="51"/>
      <c r="B15" s="51"/>
      <c r="C15" s="52"/>
      <c r="D15" s="53"/>
      <c r="E15" s="54"/>
      <c r="F15" s="55"/>
      <c r="G15" s="55"/>
      <c r="H15" s="55"/>
      <c r="I15" s="55"/>
      <c r="J15" s="55"/>
      <c r="K15" s="55"/>
      <c r="L15" s="55" t="s">
        <v>28</v>
      </c>
      <c r="M15" s="55">
        <f>M12</f>
        <v>101.0033</v>
      </c>
      <c r="N15" s="57" t="s">
        <v>57</v>
      </c>
      <c r="O15" s="58"/>
      <c r="P15" s="59"/>
      <c r="Q15" s="59"/>
    </row>
    <row r="16" spans="1:17" ht="15.4" customHeight="1">
      <c r="A16" s="51">
        <v>23</v>
      </c>
      <c r="B16" s="60">
        <v>1</v>
      </c>
      <c r="C16" s="181" t="str">
        <f>L15</f>
        <v>SSM B</v>
      </c>
      <c r="D16" s="62" t="str">
        <f>L16</f>
        <v>SSM D</v>
      </c>
      <c r="E16" s="60">
        <f>E15+B16</f>
        <v>1</v>
      </c>
      <c r="F16" s="55">
        <v>1</v>
      </c>
      <c r="G16" s="55">
        <v>-1</v>
      </c>
      <c r="H16" s="55">
        <f>(F16-G16)/2</f>
        <v>1</v>
      </c>
      <c r="I16" s="55">
        <f>((((A16-$L$7)*$I$7)+1)*$I$6)*H16</f>
        <v>0.99997999999999998</v>
      </c>
      <c r="J16" s="55"/>
      <c r="K16" s="55">
        <f>M15+I16</f>
        <v>102.00327999999999</v>
      </c>
      <c r="L16" s="55" t="s">
        <v>58</v>
      </c>
      <c r="M16" s="55"/>
      <c r="N16" s="57"/>
      <c r="O16" s="58"/>
      <c r="P16" s="59"/>
      <c r="Q16" s="59"/>
    </row>
    <row r="17" spans="1:17" ht="15.4" customHeight="1">
      <c r="A17" s="51"/>
      <c r="B17" s="60"/>
      <c r="C17" s="61"/>
      <c r="D17" s="62"/>
      <c r="E17" s="60"/>
      <c r="F17" s="55"/>
      <c r="G17" s="55"/>
      <c r="H17" s="55"/>
      <c r="I17" s="55"/>
      <c r="J17" s="55"/>
      <c r="K17" s="55"/>
      <c r="L17" s="56"/>
      <c r="M17" s="56"/>
      <c r="N17" s="63"/>
      <c r="O17" s="58"/>
      <c r="P17" s="64"/>
      <c r="Q17" s="59"/>
    </row>
    <row r="18" spans="1:17" ht="15.4" customHeight="1">
      <c r="A18" s="51"/>
      <c r="B18" s="51"/>
      <c r="C18" s="52"/>
      <c r="D18" s="53"/>
      <c r="E18" s="54"/>
      <c r="F18" s="55"/>
      <c r="G18" s="55"/>
      <c r="H18" s="55"/>
      <c r="I18" s="55"/>
      <c r="J18" s="55"/>
      <c r="K18" s="55"/>
      <c r="L18" s="56" t="s">
        <v>59</v>
      </c>
      <c r="M18" s="56">
        <v>100</v>
      </c>
      <c r="N18" s="154" t="s">
        <v>60</v>
      </c>
      <c r="O18" s="58"/>
      <c r="P18" s="59"/>
      <c r="Q18" s="59"/>
    </row>
    <row r="19" spans="1:17" ht="15.4" customHeight="1">
      <c r="A19" s="51">
        <v>23</v>
      </c>
      <c r="B19" s="60">
        <v>1</v>
      </c>
      <c r="C19" s="181" t="str">
        <f>L18</f>
        <v>SSM E</v>
      </c>
      <c r="D19" s="62" t="str">
        <f>L19</f>
        <v>SSM F</v>
      </c>
      <c r="E19" s="60">
        <f>B19</f>
        <v>1</v>
      </c>
      <c r="F19" s="55">
        <v>1</v>
      </c>
      <c r="G19" s="55">
        <v>-1</v>
      </c>
      <c r="H19" s="55">
        <f>(F19-G19)/2</f>
        <v>1</v>
      </c>
      <c r="I19" s="55">
        <f>((((A19-$L$7)*$I$7)+1)*$I$6)*H19</f>
        <v>0.99997999999999998</v>
      </c>
      <c r="J19" s="55"/>
      <c r="K19" s="55">
        <f>M18+I19</f>
        <v>100.99997999999999</v>
      </c>
      <c r="L19" s="55" t="s">
        <v>61</v>
      </c>
      <c r="M19" s="55"/>
      <c r="N19" s="57"/>
      <c r="O19" s="58"/>
      <c r="P19" s="59"/>
      <c r="Q19" s="59"/>
    </row>
    <row r="20" spans="1:17" ht="15.4" customHeight="1">
      <c r="A20" s="51"/>
      <c r="B20" s="60"/>
      <c r="C20" s="61"/>
      <c r="D20" s="62"/>
      <c r="E20" s="60"/>
      <c r="F20" s="55"/>
      <c r="G20" s="55"/>
      <c r="H20" s="55"/>
      <c r="I20" s="55"/>
      <c r="J20" s="55"/>
      <c r="K20" s="55"/>
      <c r="L20" s="55"/>
      <c r="M20" s="55"/>
      <c r="N20" s="57"/>
      <c r="O20" s="58"/>
      <c r="P20" s="59"/>
      <c r="Q20" s="59"/>
    </row>
    <row r="21" spans="1:17" ht="15.4" customHeight="1">
      <c r="A21" s="51"/>
      <c r="B21" s="60"/>
      <c r="C21" s="61"/>
      <c r="D21" s="62"/>
      <c r="E21" s="60"/>
      <c r="F21" s="55"/>
      <c r="G21" s="55"/>
      <c r="H21" s="55"/>
      <c r="I21" s="55"/>
      <c r="J21" s="55"/>
      <c r="K21" s="55"/>
      <c r="L21" s="55"/>
      <c r="M21" s="55"/>
      <c r="N21" s="57"/>
      <c r="O21" s="58"/>
      <c r="P21" s="59"/>
      <c r="Q21" s="59"/>
    </row>
    <row r="22" spans="1:17" ht="15.4" customHeight="1">
      <c r="A22" s="51"/>
      <c r="B22" s="60"/>
      <c r="C22" s="61"/>
      <c r="D22" s="62"/>
      <c r="E22" s="60"/>
      <c r="F22" s="55"/>
      <c r="G22" s="55"/>
      <c r="H22" s="55"/>
      <c r="I22" s="55"/>
      <c r="J22" s="55"/>
      <c r="K22" s="55"/>
      <c r="L22" s="55"/>
      <c r="M22" s="55"/>
      <c r="N22" s="57"/>
      <c r="O22" s="58"/>
      <c r="P22" s="59"/>
      <c r="Q22" s="59"/>
    </row>
    <row r="23" spans="1:17" ht="15.4" customHeight="1">
      <c r="A23" s="51"/>
      <c r="B23" s="60"/>
      <c r="C23" s="61"/>
      <c r="D23" s="62"/>
      <c r="E23" s="60"/>
      <c r="F23" s="55"/>
      <c r="G23" s="55"/>
      <c r="H23" s="55"/>
      <c r="I23" s="55"/>
      <c r="J23" s="55"/>
      <c r="K23" s="55"/>
      <c r="L23" s="55"/>
      <c r="M23" s="55"/>
      <c r="N23" s="57"/>
      <c r="O23" s="58"/>
      <c r="P23" s="59"/>
      <c r="Q23" s="59"/>
    </row>
    <row r="24" spans="1:17" ht="15.4" customHeight="1">
      <c r="A24" s="51"/>
      <c r="B24" s="60"/>
      <c r="C24" s="61"/>
      <c r="D24" s="62"/>
      <c r="E24" s="60"/>
      <c r="F24" s="55"/>
      <c r="G24" s="55"/>
      <c r="H24" s="55"/>
      <c r="I24" s="55"/>
      <c r="J24" s="55"/>
      <c r="K24" s="55"/>
      <c r="L24" s="55"/>
      <c r="M24" s="55"/>
      <c r="N24" s="57"/>
      <c r="O24" s="58"/>
      <c r="P24" s="59"/>
      <c r="Q24" s="59"/>
    </row>
    <row r="25" spans="1:17" ht="15.4" customHeight="1">
      <c r="A25" s="51"/>
      <c r="B25" s="60"/>
      <c r="C25" s="61"/>
      <c r="D25" s="62"/>
      <c r="E25" s="60"/>
      <c r="F25" s="55"/>
      <c r="G25" s="55"/>
      <c r="H25" s="55"/>
      <c r="I25" s="55"/>
      <c r="J25" s="55"/>
      <c r="K25" s="55"/>
      <c r="L25" s="55"/>
      <c r="M25" s="55"/>
      <c r="N25" s="57"/>
      <c r="O25" s="58"/>
      <c r="P25" s="59"/>
      <c r="Q25" s="59"/>
    </row>
    <row r="26" spans="1:17" ht="15.4" customHeight="1">
      <c r="A26" s="51"/>
      <c r="B26" s="60"/>
      <c r="C26" s="61"/>
      <c r="D26" s="62"/>
      <c r="E26" s="60"/>
      <c r="F26" s="55"/>
      <c r="G26" s="55"/>
      <c r="H26" s="55"/>
      <c r="I26" s="55"/>
      <c r="J26" s="55"/>
      <c r="K26" s="55"/>
      <c r="L26" s="55"/>
      <c r="M26" s="55"/>
      <c r="N26" s="57"/>
      <c r="O26" s="58"/>
      <c r="P26" s="59"/>
      <c r="Q26" s="59"/>
    </row>
    <row r="27" spans="1:17" ht="15.4" customHeight="1">
      <c r="A27" s="51"/>
      <c r="B27" s="60"/>
      <c r="C27" s="61"/>
      <c r="D27" s="62"/>
      <c r="E27" s="60"/>
      <c r="F27" s="55"/>
      <c r="G27" s="55"/>
      <c r="H27" s="55"/>
      <c r="I27" s="55"/>
      <c r="J27" s="55"/>
      <c r="K27" s="55"/>
      <c r="L27" s="55"/>
      <c r="M27" s="55"/>
      <c r="N27" s="57"/>
      <c r="O27" s="58"/>
      <c r="P27" s="59"/>
      <c r="Q27" s="59"/>
    </row>
    <row r="28" spans="1:17" ht="15.4" customHeight="1">
      <c r="A28" s="51"/>
      <c r="B28" s="60"/>
      <c r="C28" s="61"/>
      <c r="D28" s="62"/>
      <c r="E28" s="60"/>
      <c r="F28" s="55"/>
      <c r="G28" s="55"/>
      <c r="H28" s="55"/>
      <c r="I28" s="55"/>
      <c r="J28" s="55"/>
      <c r="K28" s="55"/>
      <c r="L28" s="55"/>
      <c r="M28" s="55"/>
      <c r="N28" s="57"/>
      <c r="O28" s="58"/>
      <c r="P28" s="59"/>
      <c r="Q28" s="59"/>
    </row>
    <row r="29" spans="1:17" ht="15.4" customHeight="1">
      <c r="A29" s="51"/>
      <c r="B29" s="60"/>
      <c r="C29" s="61"/>
      <c r="D29" s="62"/>
      <c r="E29" s="60"/>
      <c r="F29" s="55"/>
      <c r="G29" s="55"/>
      <c r="H29" s="55"/>
      <c r="I29" s="55"/>
      <c r="J29" s="55"/>
      <c r="K29" s="55"/>
      <c r="L29" s="55"/>
      <c r="M29" s="55"/>
      <c r="N29" s="57"/>
      <c r="O29" s="58"/>
      <c r="P29" s="59"/>
      <c r="Q29" s="59"/>
    </row>
    <row r="30" spans="1:17" ht="15.4" customHeight="1">
      <c r="A30" s="51"/>
      <c r="B30" s="60"/>
      <c r="C30" s="61"/>
      <c r="D30" s="62"/>
      <c r="E30" s="60"/>
      <c r="F30" s="55"/>
      <c r="G30" s="55"/>
      <c r="H30" s="55"/>
      <c r="I30" s="55"/>
      <c r="J30" s="55"/>
      <c r="K30" s="55"/>
      <c r="L30" s="55"/>
      <c r="M30" s="55"/>
      <c r="N30" s="57"/>
      <c r="O30" s="58"/>
      <c r="P30" s="59"/>
      <c r="Q30" s="59"/>
    </row>
    <row r="31" spans="1:17" ht="15.4" customHeight="1">
      <c r="A31" s="51"/>
      <c r="B31" s="60"/>
      <c r="C31" s="61"/>
      <c r="D31" s="62"/>
      <c r="E31" s="60"/>
      <c r="F31" s="55"/>
      <c r="G31" s="55"/>
      <c r="H31" s="55"/>
      <c r="I31" s="55"/>
      <c r="J31" s="55"/>
      <c r="K31" s="55"/>
      <c r="L31" s="55"/>
      <c r="M31" s="55"/>
      <c r="N31" s="57"/>
      <c r="O31" s="58"/>
      <c r="P31" s="59"/>
      <c r="Q31" s="59"/>
    </row>
    <row r="32" spans="1:17" ht="15.4" customHeight="1">
      <c r="A32" s="51"/>
      <c r="B32" s="60"/>
      <c r="C32" s="61"/>
      <c r="D32" s="62"/>
      <c r="E32" s="60"/>
      <c r="F32" s="55"/>
      <c r="G32" s="55"/>
      <c r="H32" s="55"/>
      <c r="I32" s="55"/>
      <c r="J32" s="55"/>
      <c r="K32" s="55"/>
      <c r="L32" s="55"/>
      <c r="M32" s="55"/>
      <c r="N32" s="57"/>
      <c r="O32" s="58"/>
      <c r="P32" s="59"/>
      <c r="Q32" s="59"/>
    </row>
    <row r="33" spans="1:17" ht="15.4" customHeight="1">
      <c r="A33" s="51"/>
      <c r="B33" s="60"/>
      <c r="C33" s="61"/>
      <c r="D33" s="62"/>
      <c r="E33" s="60"/>
      <c r="F33" s="55"/>
      <c r="G33" s="55"/>
      <c r="H33" s="55"/>
      <c r="I33" s="55"/>
      <c r="J33" s="55"/>
      <c r="K33" s="55"/>
      <c r="L33" s="55"/>
      <c r="M33" s="55"/>
      <c r="N33" s="57"/>
      <c r="O33" s="58"/>
      <c r="P33" s="59"/>
      <c r="Q33" s="59"/>
    </row>
    <row r="34" spans="1:17" ht="15.4" customHeight="1">
      <c r="A34" s="51"/>
      <c r="B34" s="60"/>
      <c r="C34" s="61"/>
      <c r="D34" s="62"/>
      <c r="E34" s="60"/>
      <c r="F34" s="55"/>
      <c r="G34" s="55"/>
      <c r="H34" s="55"/>
      <c r="I34" s="55"/>
      <c r="J34" s="55"/>
      <c r="K34" s="55"/>
      <c r="L34" s="55"/>
      <c r="M34" s="55"/>
      <c r="N34" s="57"/>
      <c r="O34" s="58"/>
      <c r="P34" s="59"/>
      <c r="Q34" s="59"/>
    </row>
    <row r="35" spans="1:17" ht="15.4" customHeight="1">
      <c r="A35" s="51"/>
      <c r="B35" s="60"/>
      <c r="C35" s="61"/>
      <c r="D35" s="62"/>
      <c r="E35" s="60"/>
      <c r="F35" s="55"/>
      <c r="G35" s="55"/>
      <c r="H35" s="55"/>
      <c r="I35" s="55"/>
      <c r="J35" s="55"/>
      <c r="K35" s="55"/>
      <c r="L35" s="55"/>
      <c r="M35" s="55"/>
      <c r="N35" s="57"/>
      <c r="O35" s="58"/>
      <c r="P35" s="59"/>
      <c r="Q35" s="59"/>
    </row>
    <row r="36" spans="1:17" ht="15.4" customHeight="1">
      <c r="A36" s="65"/>
      <c r="B36" s="66"/>
      <c r="C36" s="67"/>
      <c r="D36" s="68"/>
      <c r="E36" s="66"/>
      <c r="F36" s="69"/>
      <c r="G36" s="69"/>
      <c r="H36" s="69"/>
      <c r="I36" s="69"/>
      <c r="J36" s="69"/>
      <c r="K36" s="69"/>
      <c r="L36" s="69"/>
      <c r="M36" s="69"/>
      <c r="N36" s="70"/>
      <c r="O36" s="71"/>
      <c r="P36" s="72"/>
      <c r="Q36" s="72"/>
    </row>
    <row r="37" spans="1:17" ht="15.4" customHeight="1">
      <c r="B37" s="73"/>
      <c r="C37" s="73"/>
      <c r="E37" s="73"/>
      <c r="J37" s="76"/>
      <c r="K37" s="76"/>
      <c r="L37" s="77"/>
      <c r="M37" s="78"/>
      <c r="N37" s="79"/>
    </row>
    <row r="38" spans="1:17" ht="15.4" customHeight="1">
      <c r="B38" s="73"/>
      <c r="C38" s="73"/>
      <c r="D38" s="80"/>
      <c r="E38" s="73"/>
      <c r="J38" s="76"/>
      <c r="K38" s="76"/>
      <c r="L38" s="81"/>
      <c r="M38" s="76"/>
      <c r="N38" s="79"/>
    </row>
    <row r="39" spans="1:17" ht="15.4" customHeight="1">
      <c r="B39" s="73"/>
      <c r="C39" s="73"/>
      <c r="D39" s="80"/>
      <c r="E39" s="73"/>
      <c r="F39" s="82"/>
      <c r="J39" s="76"/>
      <c r="K39" s="76"/>
      <c r="L39" s="77"/>
      <c r="M39" s="78"/>
      <c r="N39" s="83"/>
    </row>
    <row r="40" spans="1:17" ht="14.1" customHeight="1">
      <c r="A40" s="79"/>
      <c r="B40" s="84"/>
      <c r="C40" s="84"/>
      <c r="E40" s="85"/>
      <c r="F40" s="86"/>
      <c r="G40" s="86"/>
      <c r="H40" s="86"/>
      <c r="J40" s="87"/>
      <c r="K40" s="87"/>
      <c r="L40" s="87"/>
      <c r="M40" s="4"/>
      <c r="N40" s="79"/>
    </row>
    <row r="41" spans="1:17" ht="14.1" customHeight="1">
      <c r="A41" s="79"/>
      <c r="B41" s="84"/>
      <c r="C41" s="84"/>
      <c r="E41" s="85"/>
      <c r="F41" s="86"/>
      <c r="G41" s="86"/>
      <c r="H41" s="86"/>
      <c r="J41" s="87"/>
      <c r="K41" s="87"/>
      <c r="L41" s="87"/>
      <c r="M41" s="4"/>
      <c r="N41" s="79"/>
    </row>
  </sheetData>
  <mergeCells count="2">
    <mergeCell ref="A8:A10"/>
    <mergeCell ref="N9:P9"/>
  </mergeCells>
  <conditionalFormatting sqref="J13">
    <cfRule type="expression" dxfId="6" priority="1">
      <formula>ABS($J$13)&gt;$Q$13</formula>
    </cfRule>
  </conditionalFormatting>
  <printOptions horizontalCentered="1" verticalCentered="1"/>
  <pageMargins left="3.937007874015748E-2" right="3.937007874015748E-2" top="0.19685039370078741" bottom="0" header="0.19685039370078741" footer="0.23622047244094491"/>
  <pageSetup paperSize="9" orientation="landscape" r:id="rId1"/>
  <headerFooter alignWithMargins="0">
    <oddFooter>&amp;LFile &amp;F        Date &amp;D&amp;RPage 1 of 2</oddFooter>
  </headerFooter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0866F25-029C-4428-9677-A140CBE94D77}">
  <sheetPr codeName="Sheet4">
    <pageSetUpPr fitToPage="1"/>
  </sheetPr>
  <dimension ref="A1:AA40"/>
  <sheetViews>
    <sheetView workbookViewId="0">
      <selection activeCell="I29" sqref="I29"/>
    </sheetView>
  </sheetViews>
  <sheetFormatPr defaultColWidth="9.140625" defaultRowHeight="12.75"/>
  <cols>
    <col min="1" max="1" width="3.5703125" style="6" customWidth="1"/>
    <col min="2" max="2" width="7.28515625" style="126" customWidth="1"/>
    <col min="3" max="3" width="10.42578125" style="126" customWidth="1"/>
    <col min="4" max="4" width="10.42578125" style="127" customWidth="1"/>
    <col min="5" max="5" width="7.28515625" style="126" customWidth="1"/>
    <col min="6" max="6" width="9.28515625" style="125" customWidth="1"/>
    <col min="7" max="10" width="9.28515625" style="126" customWidth="1"/>
    <col min="11" max="11" width="11.140625" style="118" customWidth="1"/>
    <col min="12" max="12" width="11.42578125" style="118" customWidth="1"/>
    <col min="13" max="13" width="11.140625" style="128" customWidth="1"/>
    <col min="14" max="14" width="26.140625" style="118" customWidth="1"/>
    <col min="15" max="15" width="6.28515625" style="118" hidden="1" customWidth="1"/>
    <col min="16" max="16" width="0" style="118" hidden="1" customWidth="1"/>
    <col min="17" max="17" width="10" style="118" customWidth="1"/>
    <col min="18" max="16384" width="9.140625" style="118"/>
  </cols>
  <sheetData>
    <row r="1" spans="1:27" s="6" customFormat="1">
      <c r="A1" s="1"/>
      <c r="B1" s="2"/>
      <c r="C1" s="2"/>
      <c r="D1" s="3"/>
      <c r="E1" s="2"/>
      <c r="F1" s="4"/>
      <c r="G1" s="2"/>
      <c r="H1" s="2"/>
      <c r="I1" s="5"/>
      <c r="J1" s="2"/>
      <c r="K1" s="2"/>
      <c r="L1" s="2"/>
      <c r="M1" s="5"/>
      <c r="N1" s="2"/>
      <c r="Q1" s="7"/>
    </row>
    <row r="2" spans="1:27" s="6" customFormat="1">
      <c r="A2" s="8" t="s">
        <v>30</v>
      </c>
      <c r="B2" s="8"/>
      <c r="C2" s="8"/>
      <c r="D2" s="9"/>
      <c r="E2" s="5"/>
      <c r="F2" s="10" t="s">
        <v>0</v>
      </c>
      <c r="G2" s="8"/>
      <c r="H2" s="5"/>
      <c r="I2" s="5"/>
      <c r="J2" s="5"/>
      <c r="K2" s="8"/>
      <c r="M2" s="8" t="s">
        <v>31</v>
      </c>
      <c r="N2" s="8"/>
      <c r="O2" s="5"/>
      <c r="Q2" s="7"/>
    </row>
    <row r="3" spans="1:27" s="6" customFormat="1">
      <c r="A3" s="8"/>
      <c r="B3" s="8"/>
      <c r="C3" s="8"/>
      <c r="D3" s="9"/>
      <c r="E3" s="5"/>
      <c r="F3" s="11"/>
      <c r="G3" s="5"/>
      <c r="H3" s="5"/>
      <c r="I3" s="5"/>
      <c r="J3" s="5"/>
      <c r="K3" s="5"/>
      <c r="L3" s="5"/>
      <c r="M3" s="5"/>
      <c r="N3" s="5"/>
      <c r="Q3" s="7"/>
    </row>
    <row r="4" spans="1:27" s="6" customFormat="1">
      <c r="A4" s="8" t="s">
        <v>32</v>
      </c>
      <c r="B4" s="5"/>
      <c r="C4" s="5"/>
      <c r="D4" s="12"/>
      <c r="E4" s="5"/>
      <c r="F4" s="10" t="s">
        <v>33</v>
      </c>
      <c r="G4" s="5"/>
      <c r="H4" s="5"/>
      <c r="I4" s="5"/>
      <c r="J4" s="5"/>
      <c r="K4" s="8"/>
      <c r="M4" s="8" t="s">
        <v>34</v>
      </c>
      <c r="N4" s="8"/>
      <c r="O4" s="5"/>
      <c r="Q4" s="7"/>
    </row>
    <row r="5" spans="1:27" s="6" customFormat="1">
      <c r="A5" s="5"/>
      <c r="B5" s="5"/>
      <c r="C5" s="5"/>
      <c r="D5" s="12"/>
      <c r="E5" s="5"/>
      <c r="F5" s="11"/>
      <c r="G5" s="5"/>
      <c r="H5" s="5"/>
      <c r="I5" s="5"/>
      <c r="J5" s="5"/>
      <c r="K5" s="5"/>
      <c r="L5" s="5"/>
      <c r="M5" s="5"/>
      <c r="N5" s="5"/>
      <c r="Q5" s="7"/>
    </row>
    <row r="6" spans="1:27" s="6" customFormat="1">
      <c r="A6" s="8" t="s">
        <v>35</v>
      </c>
      <c r="B6" s="5"/>
      <c r="C6" s="5"/>
      <c r="D6" s="12"/>
      <c r="E6" s="5"/>
      <c r="F6" s="10" t="s">
        <v>36</v>
      </c>
      <c r="G6" s="8"/>
      <c r="H6" s="13" t="s">
        <v>19</v>
      </c>
      <c r="I6" s="14">
        <v>1</v>
      </c>
      <c r="K6" s="15" t="s">
        <v>37</v>
      </c>
      <c r="L6" s="8"/>
      <c r="M6" s="8" t="s">
        <v>38</v>
      </c>
      <c r="N6" s="8"/>
      <c r="O6" s="5"/>
      <c r="Q6" s="7"/>
    </row>
    <row r="7" spans="1:27" s="6" customFormat="1" ht="12.75" customHeight="1">
      <c r="A7" s="16"/>
      <c r="B7" s="16"/>
      <c r="C7" s="16"/>
      <c r="D7" s="17"/>
      <c r="E7" s="16"/>
      <c r="F7" s="18"/>
      <c r="G7" s="18"/>
      <c r="H7" s="19" t="s">
        <v>20</v>
      </c>
      <c r="I7" s="20">
        <v>1.0000000000000001E-5</v>
      </c>
      <c r="J7" s="16"/>
      <c r="K7" s="21" t="s">
        <v>56</v>
      </c>
      <c r="L7" s="22">
        <v>25</v>
      </c>
      <c r="M7" s="16"/>
      <c r="N7" s="16"/>
      <c r="P7" s="7"/>
      <c r="Q7" s="7"/>
    </row>
    <row r="8" spans="1:27" s="100" customFormat="1" ht="15.6" customHeight="1">
      <c r="A8" s="88" t="s">
        <v>22</v>
      </c>
      <c r="B8" s="89"/>
      <c r="C8" s="90"/>
      <c r="D8" s="91"/>
      <c r="E8" s="92" t="s">
        <v>2</v>
      </c>
      <c r="F8" s="93" t="s">
        <v>3</v>
      </c>
      <c r="G8" s="94"/>
      <c r="H8" s="95"/>
      <c r="I8" s="96"/>
      <c r="J8" s="97"/>
      <c r="K8" s="94" t="s">
        <v>5</v>
      </c>
      <c r="L8" s="98"/>
      <c r="M8" s="98"/>
      <c r="N8" s="99"/>
    </row>
    <row r="9" spans="1:27" s="107" customFormat="1" ht="15.6" customHeight="1">
      <c r="A9" s="101" t="s">
        <v>22</v>
      </c>
      <c r="B9" s="36" t="s">
        <v>6</v>
      </c>
      <c r="C9" s="102" t="s">
        <v>1</v>
      </c>
      <c r="D9" s="103" t="s">
        <v>23</v>
      </c>
      <c r="E9" s="36" t="s">
        <v>6</v>
      </c>
      <c r="F9" s="104" t="s">
        <v>7</v>
      </c>
      <c r="G9" s="105" t="s">
        <v>8</v>
      </c>
      <c r="H9" s="41"/>
      <c r="I9" s="41" t="s">
        <v>9</v>
      </c>
      <c r="J9" s="41" t="s">
        <v>24</v>
      </c>
      <c r="K9" s="106"/>
      <c r="L9" s="106"/>
      <c r="M9" s="106"/>
      <c r="N9" s="37" t="s">
        <v>10</v>
      </c>
    </row>
    <row r="10" spans="1:27" s="107" customFormat="1" ht="15.6" customHeight="1">
      <c r="A10" s="108" t="s">
        <v>22</v>
      </c>
      <c r="B10" s="36" t="s">
        <v>11</v>
      </c>
      <c r="C10" s="109"/>
      <c r="D10" s="110"/>
      <c r="E10" s="111" t="s">
        <v>13</v>
      </c>
      <c r="F10" s="112"/>
      <c r="G10" s="41" t="s">
        <v>7</v>
      </c>
      <c r="H10" s="36" t="s">
        <v>14</v>
      </c>
      <c r="I10" s="111" t="s">
        <v>14</v>
      </c>
      <c r="J10" s="36" t="s">
        <v>25</v>
      </c>
      <c r="K10" s="108" t="s">
        <v>26</v>
      </c>
      <c r="L10" s="36" t="s">
        <v>17</v>
      </c>
      <c r="M10" s="36" t="s">
        <v>18</v>
      </c>
      <c r="N10" s="113"/>
      <c r="R10" s="161" t="s">
        <v>62</v>
      </c>
      <c r="S10" s="162" t="s">
        <v>63</v>
      </c>
      <c r="T10" s="161" t="s">
        <v>64</v>
      </c>
      <c r="U10" s="162" t="s">
        <v>65</v>
      </c>
      <c r="V10" s="162" t="s">
        <v>66</v>
      </c>
      <c r="W10" s="161" t="s">
        <v>67</v>
      </c>
      <c r="X10" s="161" t="s">
        <v>68</v>
      </c>
      <c r="Y10" s="218" t="s">
        <v>69</v>
      </c>
      <c r="Z10" s="218"/>
      <c r="AA10" s="218"/>
    </row>
    <row r="11" spans="1:27" ht="15.4" customHeight="1">
      <c r="A11" s="51"/>
      <c r="B11" s="60"/>
      <c r="C11" s="61"/>
      <c r="D11" s="141"/>
      <c r="E11" s="114"/>
      <c r="F11" s="55"/>
      <c r="G11" s="55"/>
      <c r="H11" s="142"/>
      <c r="I11" s="142"/>
      <c r="J11" s="143"/>
      <c r="K11" s="115"/>
      <c r="L11" s="55" t="s">
        <v>27</v>
      </c>
      <c r="M11" s="116"/>
      <c r="N11" s="117"/>
      <c r="S11" s="165"/>
      <c r="V11" s="165"/>
    </row>
    <row r="12" spans="1:27" ht="15.4" customHeight="1">
      <c r="A12" s="51"/>
      <c r="B12" s="60"/>
      <c r="C12" s="61" t="str">
        <f>L11</f>
        <v>SSM A</v>
      </c>
      <c r="D12" s="62" t="str">
        <f>L12</f>
        <v>RM 1</v>
      </c>
      <c r="E12" s="60"/>
      <c r="F12" s="55">
        <v>-0.123</v>
      </c>
      <c r="G12" s="55">
        <v>-0.125</v>
      </c>
      <c r="H12" s="55">
        <f>AVERAGE(F12,G12)</f>
        <v>-0.124</v>
      </c>
      <c r="I12" s="55"/>
      <c r="J12" s="55">
        <f>H12-K12</f>
        <v>1.0000000000000009E-3</v>
      </c>
      <c r="K12" s="56">
        <v>-0.125</v>
      </c>
      <c r="L12" s="55" t="s">
        <v>49</v>
      </c>
      <c r="M12" s="115"/>
      <c r="N12" s="57" t="s">
        <v>87</v>
      </c>
      <c r="R12" s="160">
        <v>4.8140000000000001</v>
      </c>
      <c r="T12" s="160">
        <v>4.819</v>
      </c>
      <c r="U12" s="129" t="s">
        <v>81</v>
      </c>
      <c r="V12" s="129"/>
      <c r="W12" s="160">
        <f>R12-T12</f>
        <v>-4.9999999999998934E-3</v>
      </c>
      <c r="Y12" s="220" cm="1">
        <f t="array" ref="Y12">Law_of_Cosine(T12,T13,_xlfn.SINGLE(hmsminus(U13,U12)))</f>
        <v>6.7589957979182111</v>
      </c>
      <c r="AA12" s="224" cm="1">
        <f t="array" ref="AA12">Law_of_Cosine(T12,T14,_xlfn.SINGLE(hmsminus(U14,U12)))</f>
        <v>9.6109996134580644</v>
      </c>
    </row>
    <row r="13" spans="1:27" ht="15.4" customHeight="1">
      <c r="A13" s="51"/>
      <c r="B13" s="144"/>
      <c r="C13" s="61"/>
      <c r="D13" s="62" t="str">
        <f>L13</f>
        <v>RM 2</v>
      </c>
      <c r="E13" s="60"/>
      <c r="F13" s="55">
        <v>-0.23400000000000001</v>
      </c>
      <c r="G13" s="55">
        <v>-0.23599999999999999</v>
      </c>
      <c r="H13" s="55">
        <f>AVERAGE(F13,G13)</f>
        <v>-0.23499999999999999</v>
      </c>
      <c r="I13" s="55"/>
      <c r="J13" s="55">
        <f>H13-K13</f>
        <v>2.0000000000000018E-3</v>
      </c>
      <c r="K13" s="56">
        <v>-0.23699999999999999</v>
      </c>
      <c r="L13" s="55" t="s">
        <v>50</v>
      </c>
      <c r="M13" s="115"/>
      <c r="N13" s="57"/>
      <c r="R13" s="160">
        <v>4.742</v>
      </c>
      <c r="T13" s="160">
        <v>4.7380000000000004</v>
      </c>
      <c r="U13" s="129" t="s">
        <v>82</v>
      </c>
      <c r="V13" s="129"/>
      <c r="W13" s="160">
        <f>R13-T13</f>
        <v>3.9999999999995595E-3</v>
      </c>
      <c r="Y13" s="223"/>
      <c r="Z13" s="227" cm="1">
        <f t="array" ref="Z13">Law_of_Cosine(T13,T14,_xlfn.SINGLE(hmsminus(U14,U13)))</f>
        <v>6.7398157942301298</v>
      </c>
      <c r="AA13" s="225"/>
    </row>
    <row r="14" spans="1:27" ht="15.4" customHeight="1">
      <c r="A14" s="51"/>
      <c r="B14" s="144"/>
      <c r="C14" s="61"/>
      <c r="D14" s="62" t="str">
        <f>L14</f>
        <v>RM 3</v>
      </c>
      <c r="E14" s="60"/>
      <c r="F14" s="119">
        <v>-0.34499999999999997</v>
      </c>
      <c r="G14" s="55">
        <v>-0.34300000000000003</v>
      </c>
      <c r="H14" s="55">
        <f>AVERAGE(F14,G14)</f>
        <v>-0.34399999999999997</v>
      </c>
      <c r="I14" s="55"/>
      <c r="J14" s="55">
        <f>H14-K14</f>
        <v>3.0000000000000027E-3</v>
      </c>
      <c r="K14" s="56">
        <v>-0.34699999999999998</v>
      </c>
      <c r="L14" s="55" t="s">
        <v>51</v>
      </c>
      <c r="M14" s="116"/>
      <c r="N14" s="145"/>
      <c r="R14" s="160">
        <v>4.7930000000000001</v>
      </c>
      <c r="T14" s="160">
        <v>4.7919999999999998</v>
      </c>
      <c r="U14" s="129" t="s">
        <v>83</v>
      </c>
      <c r="V14" s="129"/>
      <c r="W14" s="160">
        <f>R14-T14</f>
        <v>1.000000000000334E-3</v>
      </c>
      <c r="Z14" s="228"/>
      <c r="AA14" s="226"/>
    </row>
    <row r="15" spans="1:27" ht="15.4" customHeight="1">
      <c r="A15" s="51"/>
      <c r="B15" s="144"/>
      <c r="C15" s="146"/>
      <c r="D15" s="62"/>
      <c r="E15" s="60"/>
      <c r="F15" s="55"/>
      <c r="G15" s="55"/>
      <c r="H15" s="55"/>
      <c r="I15" s="147"/>
      <c r="J15" s="143"/>
      <c r="K15" s="148"/>
      <c r="L15" s="54"/>
      <c r="M15" s="115"/>
      <c r="N15" s="117"/>
      <c r="S15" s="165"/>
      <c r="V15" s="165"/>
    </row>
    <row r="16" spans="1:27" ht="15.4" customHeight="1">
      <c r="A16" s="51"/>
      <c r="B16" s="144"/>
      <c r="C16" s="61"/>
      <c r="D16" s="141"/>
      <c r="E16" s="60"/>
      <c r="F16" s="55"/>
      <c r="G16" s="55"/>
      <c r="H16" s="55"/>
      <c r="I16" s="142"/>
      <c r="J16" s="143"/>
      <c r="K16" s="115"/>
      <c r="L16" s="55" t="s">
        <v>28</v>
      </c>
      <c r="M16" s="115"/>
      <c r="N16" s="117" t="s">
        <v>84</v>
      </c>
      <c r="R16" s="164" t="s">
        <v>75</v>
      </c>
      <c r="S16" s="166" t="s">
        <v>74</v>
      </c>
      <c r="T16" s="160"/>
      <c r="V16" s="165" t="s">
        <v>70</v>
      </c>
      <c r="W16" s="160"/>
      <c r="X16" s="160"/>
      <c r="Y16" s="130"/>
    </row>
    <row r="17" spans="1:27" ht="15.4" customHeight="1">
      <c r="A17" s="51"/>
      <c r="B17" s="144"/>
      <c r="C17" s="61" t="str">
        <f>L16</f>
        <v>SSM B</v>
      </c>
      <c r="D17" s="62" t="str">
        <f>L17</f>
        <v>RM 1</v>
      </c>
      <c r="E17" s="60"/>
      <c r="F17" s="55">
        <v>-0.123</v>
      </c>
      <c r="G17" s="55">
        <v>-0.125</v>
      </c>
      <c r="H17" s="55">
        <f>AVERAGE(F17,G17)</f>
        <v>-0.124</v>
      </c>
      <c r="I17" s="55"/>
      <c r="J17" s="55"/>
      <c r="K17" s="56"/>
      <c r="L17" s="55" t="s">
        <v>49</v>
      </c>
      <c r="M17" s="115"/>
      <c r="N17" s="57" t="s">
        <v>85</v>
      </c>
      <c r="R17" s="160">
        <v>2.6259999999999999</v>
      </c>
      <c r="S17" s="165" t="str" cm="1">
        <f t="array" ref="S17">hmsplus(_xlfn.SINGLE(hmsminus(V17,V16)),S16)</f>
        <v>54 34 51.48</v>
      </c>
      <c r="T17" s="160"/>
      <c r="V17" s="165" t="s">
        <v>71</v>
      </c>
      <c r="W17" s="160"/>
      <c r="X17" s="160"/>
      <c r="Y17" s="220" cm="1">
        <f t="array" ref="Y17">Law_of_Cosine(R17,R18,_xlfn.SINGLE(hmsminus(S18,S17)))</f>
        <v>4.9219863715012799</v>
      </c>
      <c r="Z17" s="6"/>
      <c r="AA17" s="220" cm="1">
        <f t="array" ref="AA17">Law_of_Cosine(R17,R19,_xlfn.SINGLE(hmsminus(S19,S17)))</f>
        <v>4.3871347749211695</v>
      </c>
    </row>
    <row r="18" spans="1:27" ht="15.4" customHeight="1">
      <c r="A18" s="51"/>
      <c r="B18" s="144"/>
      <c r="C18" s="61"/>
      <c r="D18" s="62" t="str">
        <f>L18</f>
        <v>RM 2</v>
      </c>
      <c r="E18" s="60"/>
      <c r="F18" s="55">
        <v>-0.23400000000000001</v>
      </c>
      <c r="G18" s="55">
        <v>-0.23599999999999999</v>
      </c>
      <c r="H18" s="55">
        <f>AVERAGE(F18,G18)</f>
        <v>-0.23499999999999999</v>
      </c>
      <c r="I18" s="55"/>
      <c r="J18" s="55"/>
      <c r="K18" s="56"/>
      <c r="L18" s="55" t="s">
        <v>50</v>
      </c>
      <c r="M18" s="116"/>
      <c r="N18" s="57" t="s">
        <v>86</v>
      </c>
      <c r="R18" s="160">
        <v>3.7280000000000002</v>
      </c>
      <c r="S18" s="165" t="str" cm="1">
        <f t="array" ref="S18">hmsplus(_xlfn.SINGLE(hmsminus(V18,V17)),S17)</f>
        <v>154 40 35.48</v>
      </c>
      <c r="T18" s="160"/>
      <c r="V18" s="165" t="s">
        <v>72</v>
      </c>
      <c r="W18" s="160"/>
      <c r="X18" s="160"/>
      <c r="Y18" s="221"/>
      <c r="Z18" s="220" cm="1">
        <f t="array" ref="Z18">Law_of_Cosine(R18,R19,_xlfn.SINGLE(hmsminus(S19,S18)))</f>
        <v>6.7741522811244721</v>
      </c>
      <c r="AA18" s="222"/>
    </row>
    <row r="19" spans="1:27" ht="15.4" customHeight="1">
      <c r="A19" s="149"/>
      <c r="B19" s="144"/>
      <c r="C19" s="61"/>
      <c r="D19" s="62" t="str">
        <f>L19</f>
        <v>RM 3</v>
      </c>
      <c r="E19" s="60"/>
      <c r="F19" s="119">
        <v>-0.34499999999999997</v>
      </c>
      <c r="G19" s="55">
        <v>-0.34300000000000003</v>
      </c>
      <c r="H19" s="55">
        <f>AVERAGE(F19,G19)</f>
        <v>-0.34399999999999997</v>
      </c>
      <c r="I19" s="55"/>
      <c r="J19" s="55"/>
      <c r="K19" s="56"/>
      <c r="L19" s="55" t="s">
        <v>51</v>
      </c>
      <c r="M19" s="115"/>
      <c r="N19" s="57" t="s">
        <v>86</v>
      </c>
      <c r="R19" s="160">
        <v>3.1379999999999999</v>
      </c>
      <c r="S19" s="165" t="str" cm="1">
        <f t="array" ref="S19">hmsplus(_xlfn.SINGLE(hmsminus(V19,V18)),S18)</f>
        <v>315 50 30.48</v>
      </c>
      <c r="T19" s="160"/>
      <c r="V19" s="165" t="s">
        <v>73</v>
      </c>
      <c r="W19" s="160"/>
      <c r="X19" s="160"/>
      <c r="Y19" s="6"/>
      <c r="Z19" s="221"/>
      <c r="AA19" s="221"/>
    </row>
    <row r="20" spans="1:27" ht="15.4" customHeight="1">
      <c r="A20" s="51"/>
      <c r="B20" s="60"/>
      <c r="C20" s="61"/>
      <c r="D20" s="62"/>
      <c r="E20" s="60"/>
      <c r="F20" s="55"/>
      <c r="G20" s="55"/>
      <c r="H20" s="55"/>
      <c r="I20" s="55"/>
      <c r="J20" s="55"/>
      <c r="K20" s="56"/>
      <c r="L20" s="55"/>
      <c r="M20" s="115"/>
      <c r="N20" s="57"/>
      <c r="S20" s="165"/>
      <c r="V20" s="165"/>
    </row>
    <row r="21" spans="1:27" ht="15.4" customHeight="1">
      <c r="A21" s="51"/>
      <c r="B21" s="60"/>
      <c r="C21" s="61"/>
      <c r="D21" s="141"/>
      <c r="E21" s="114"/>
      <c r="F21" s="55"/>
      <c r="G21" s="55"/>
      <c r="H21" s="142"/>
      <c r="I21" s="142"/>
      <c r="J21" s="143"/>
      <c r="K21" s="115"/>
      <c r="L21" s="55" t="s">
        <v>29</v>
      </c>
      <c r="M21" s="115"/>
      <c r="N21" s="57"/>
      <c r="S21" s="165"/>
      <c r="V21" s="165"/>
    </row>
    <row r="22" spans="1:27" ht="15.4" customHeight="1">
      <c r="A22" s="51"/>
      <c r="B22" s="60"/>
      <c r="C22" s="61" t="str">
        <f>L21</f>
        <v>SSM C</v>
      </c>
      <c r="D22" s="62" t="str">
        <f>L22</f>
        <v>RM 1</v>
      </c>
      <c r="E22" s="60"/>
      <c r="F22" s="55">
        <v>-0.123</v>
      </c>
      <c r="G22" s="55">
        <v>-0.125</v>
      </c>
      <c r="H22" s="55">
        <f>AVERAGE(F22,G22)</f>
        <v>-0.124</v>
      </c>
      <c r="I22" s="55"/>
      <c r="J22" s="55">
        <f>H22-K22</f>
        <v>1.0000000000000009E-3</v>
      </c>
      <c r="K22" s="56">
        <v>-0.125</v>
      </c>
      <c r="L22" s="55" t="s">
        <v>49</v>
      </c>
      <c r="M22" s="115"/>
      <c r="N22" s="57"/>
      <c r="R22" s="160">
        <v>4.1360000000000001</v>
      </c>
      <c r="S22" s="167" t="str" cm="1">
        <f t="array" ref="S22">hmsplus(U22,"0 3 28.81")</f>
        <v>192 24 29.81</v>
      </c>
      <c r="T22" s="160">
        <v>4.1379999999999999</v>
      </c>
      <c r="U22" s="167" t="s">
        <v>76</v>
      </c>
      <c r="V22" s="129" t="s">
        <v>70</v>
      </c>
      <c r="W22" s="160">
        <f>R22-T22</f>
        <v>-1.9999999999997797E-3</v>
      </c>
      <c r="X22" s="130">
        <f>TAN(RADIANS(dd(S22)-dd(U22))*R22)</f>
        <v>4.1870604231532991E-3</v>
      </c>
      <c r="Y22" s="220" cm="1">
        <f t="array" ref="Y22">Law_of_Cosine(T22,T23,_xlfn.SINGLE(hmsminus(U23,U22)))</f>
        <v>6.0777607575550254</v>
      </c>
      <c r="AA22" s="224" cm="1">
        <f t="array" ref="AA22">Law_of_Cosine(T22,R24,_xlfn.SINGLE(hmsminus(S24,U22)))</f>
        <v>6.8326818938939216</v>
      </c>
    </row>
    <row r="23" spans="1:27" ht="15.4" customHeight="1">
      <c r="A23" s="51"/>
      <c r="B23" s="60"/>
      <c r="C23" s="61"/>
      <c r="D23" s="62" t="str">
        <f>L23</f>
        <v>RM 2</v>
      </c>
      <c r="E23" s="60"/>
      <c r="F23" s="55">
        <v>-0.254</v>
      </c>
      <c r="G23" s="55">
        <v>-0.25600000000000001</v>
      </c>
      <c r="H23" s="55">
        <f>AVERAGE(F23,G23)</f>
        <v>-0.255</v>
      </c>
      <c r="I23" s="55"/>
      <c r="J23" s="139">
        <f>H23-K23</f>
        <v>-1.8000000000000016E-2</v>
      </c>
      <c r="K23" s="138">
        <v>-0.23699999999999999</v>
      </c>
      <c r="L23" s="55" t="s">
        <v>50</v>
      </c>
      <c r="M23" s="115"/>
      <c r="N23" s="57" t="s">
        <v>52</v>
      </c>
      <c r="R23" s="118">
        <v>3.9079999999999999</v>
      </c>
      <c r="S23" s="167" t="str" cm="1">
        <f t="array" ref="S23">hmsplus(S22,V23)</f>
        <v>94 12 58.81</v>
      </c>
      <c r="T23" s="160">
        <v>3.9079999999999999</v>
      </c>
      <c r="U23" s="167" t="s">
        <v>77</v>
      </c>
      <c r="V23" s="129" t="s">
        <v>78</v>
      </c>
      <c r="W23" s="160">
        <f>R23-T23</f>
        <v>0</v>
      </c>
      <c r="X23" s="130">
        <f>TAN(RADIANS(dd(S23)-dd(U23))*R23)</f>
        <v>-3.9560537334369823E-3</v>
      </c>
      <c r="Y23" s="223"/>
      <c r="Z23" s="227" cm="1">
        <f t="array" ref="Z23">Law_of_Cosine(T23,R24,_xlfn.SINGLE(hmsminus(S24,U23)))</f>
        <v>7.4671220003561753</v>
      </c>
      <c r="AA23" s="225"/>
    </row>
    <row r="24" spans="1:27" ht="15.4" customHeight="1">
      <c r="A24" s="51"/>
      <c r="B24" s="60"/>
      <c r="C24" s="61"/>
      <c r="D24" s="62" t="str">
        <f>L24</f>
        <v>RM 3 4</v>
      </c>
      <c r="E24" s="60"/>
      <c r="F24" s="119">
        <v>-0.38500000000000001</v>
      </c>
      <c r="G24" s="55">
        <v>-0.38300000000000001</v>
      </c>
      <c r="H24" s="55">
        <f>AVERAGE(F24,G24)</f>
        <v>-0.38400000000000001</v>
      </c>
      <c r="I24" s="55"/>
      <c r="J24" s="139">
        <f>H24-K24</f>
        <v>-3.7000000000000033E-2</v>
      </c>
      <c r="K24" s="138">
        <v>-0.34699999999999998</v>
      </c>
      <c r="L24" s="55" t="s">
        <v>53</v>
      </c>
      <c r="M24" s="115"/>
      <c r="N24" s="57" t="s">
        <v>54</v>
      </c>
      <c r="R24" s="160">
        <v>3.907</v>
      </c>
      <c r="S24" s="129" t="str" cm="1">
        <f t="array" ref="S24">hmsplus(S22,V24)</f>
        <v>308 35 37.81</v>
      </c>
      <c r="T24" s="168">
        <v>3.8570000000000002</v>
      </c>
      <c r="U24" s="169" t="s">
        <v>80</v>
      </c>
      <c r="V24" s="129" t="s">
        <v>79</v>
      </c>
      <c r="W24" s="168">
        <f>R24-T24</f>
        <v>4.9999999999999822E-2</v>
      </c>
      <c r="X24" s="170">
        <f>TAN(RADIANS(dd(S24)-dd(U24))*R24)</f>
        <v>1.1324004054147968E-2</v>
      </c>
      <c r="Z24" s="228"/>
      <c r="AA24" s="226"/>
    </row>
    <row r="25" spans="1:27" ht="15.4" customHeight="1">
      <c r="A25" s="51"/>
      <c r="B25" s="60"/>
      <c r="C25" s="61"/>
      <c r="D25" s="62"/>
      <c r="E25" s="60"/>
      <c r="F25" s="55"/>
      <c r="G25" s="55"/>
      <c r="H25" s="55"/>
      <c r="I25" s="55"/>
      <c r="J25" s="55"/>
      <c r="K25" s="56"/>
      <c r="L25" s="55"/>
      <c r="M25" s="115"/>
      <c r="N25" s="57"/>
      <c r="S25" s="165"/>
      <c r="V25" s="165"/>
    </row>
    <row r="26" spans="1:27" ht="15.4" customHeight="1">
      <c r="A26" s="51"/>
      <c r="B26" s="60"/>
      <c r="C26" s="61"/>
      <c r="D26" s="62"/>
      <c r="E26" s="60"/>
      <c r="F26" s="55"/>
      <c r="G26" s="55"/>
      <c r="H26" s="55"/>
      <c r="I26" s="55"/>
      <c r="J26" s="55"/>
      <c r="K26" s="56"/>
      <c r="L26" s="55"/>
      <c r="M26" s="115"/>
      <c r="N26" s="57"/>
      <c r="S26" s="165"/>
      <c r="V26" s="165"/>
    </row>
    <row r="27" spans="1:27" ht="15.4" customHeight="1">
      <c r="A27" s="51"/>
      <c r="B27" s="60"/>
      <c r="C27" s="60"/>
      <c r="D27" s="60"/>
      <c r="E27" s="60"/>
      <c r="F27" s="60"/>
      <c r="G27" s="60"/>
      <c r="H27" s="60"/>
      <c r="I27" s="60"/>
      <c r="J27" s="60"/>
      <c r="K27" s="60"/>
      <c r="L27" s="60"/>
      <c r="M27" s="60"/>
      <c r="N27" s="57"/>
      <c r="S27" s="165"/>
      <c r="V27" s="165"/>
    </row>
    <row r="28" spans="1:27" ht="15.4" customHeight="1">
      <c r="A28" s="51"/>
      <c r="B28" s="60"/>
      <c r="C28" s="61"/>
      <c r="D28" s="62"/>
      <c r="E28" s="60"/>
      <c r="F28" s="55"/>
      <c r="G28" s="55"/>
      <c r="H28" s="55"/>
      <c r="I28" s="55"/>
      <c r="J28" s="55"/>
      <c r="K28" s="56"/>
      <c r="L28" s="55"/>
      <c r="M28" s="115"/>
      <c r="N28" s="57"/>
      <c r="S28" s="165"/>
      <c r="V28" s="165"/>
    </row>
    <row r="29" spans="1:27" ht="15.4" customHeight="1">
      <c r="A29" s="51"/>
      <c r="B29" s="60"/>
      <c r="C29" s="61"/>
      <c r="D29" s="62"/>
      <c r="E29" s="60"/>
      <c r="F29" s="55"/>
      <c r="G29" s="55"/>
      <c r="H29" s="55"/>
      <c r="I29" s="55"/>
      <c r="J29" s="55"/>
      <c r="K29" s="56"/>
      <c r="L29" s="55"/>
      <c r="M29" s="115"/>
      <c r="N29" s="57"/>
      <c r="S29" s="165"/>
      <c r="V29" s="165"/>
    </row>
    <row r="30" spans="1:27" ht="15.4" customHeight="1">
      <c r="A30" s="51"/>
      <c r="B30" s="60"/>
      <c r="C30" s="61"/>
      <c r="D30" s="62"/>
      <c r="E30" s="60"/>
      <c r="F30" s="55"/>
      <c r="G30" s="55"/>
      <c r="H30" s="55"/>
      <c r="I30" s="55"/>
      <c r="J30" s="55"/>
      <c r="K30" s="56"/>
      <c r="L30" s="55"/>
      <c r="M30" s="115"/>
      <c r="N30" s="57"/>
      <c r="S30" s="165"/>
      <c r="V30" s="165"/>
    </row>
    <row r="31" spans="1:27" ht="15.4" customHeight="1">
      <c r="A31" s="51"/>
      <c r="B31" s="60"/>
      <c r="C31" s="61"/>
      <c r="D31" s="62"/>
      <c r="E31" s="60"/>
      <c r="F31" s="55"/>
      <c r="G31" s="55"/>
      <c r="H31" s="55"/>
      <c r="I31" s="55"/>
      <c r="J31" s="55"/>
      <c r="K31" s="56"/>
      <c r="L31" s="55"/>
      <c r="M31" s="115"/>
      <c r="N31" s="57"/>
      <c r="S31" s="165"/>
      <c r="V31" s="165"/>
    </row>
    <row r="32" spans="1:27" ht="15.4" customHeight="1">
      <c r="A32" s="51"/>
      <c r="B32" s="60"/>
      <c r="C32" s="61"/>
      <c r="D32" s="62"/>
      <c r="E32" s="60"/>
      <c r="F32" s="55"/>
      <c r="G32" s="55"/>
      <c r="H32" s="55"/>
      <c r="I32" s="55"/>
      <c r="J32" s="55"/>
      <c r="K32" s="56"/>
      <c r="L32" s="55"/>
      <c r="M32" s="115"/>
      <c r="N32" s="57"/>
      <c r="S32" s="165"/>
      <c r="V32" s="165"/>
    </row>
    <row r="33" spans="1:22" ht="15.4" customHeight="1">
      <c r="A33" s="51"/>
      <c r="B33" s="60"/>
      <c r="C33" s="61"/>
      <c r="D33" s="62"/>
      <c r="E33" s="60"/>
      <c r="F33" s="55"/>
      <c r="G33" s="55"/>
      <c r="H33" s="55"/>
      <c r="I33" s="55"/>
      <c r="J33" s="55"/>
      <c r="K33" s="56"/>
      <c r="L33" s="55"/>
      <c r="M33" s="115"/>
      <c r="N33" s="57"/>
      <c r="S33" s="165"/>
      <c r="V33" s="165"/>
    </row>
    <row r="34" spans="1:22" ht="15.4" customHeight="1">
      <c r="A34" s="51"/>
      <c r="B34" s="60"/>
      <c r="C34" s="61"/>
      <c r="D34" s="62"/>
      <c r="E34" s="60"/>
      <c r="F34" s="55"/>
      <c r="G34" s="55"/>
      <c r="H34" s="55"/>
      <c r="I34" s="55"/>
      <c r="J34" s="55"/>
      <c r="K34" s="56"/>
      <c r="L34" s="55"/>
      <c r="M34" s="115"/>
      <c r="N34" s="57"/>
      <c r="S34" s="165"/>
      <c r="V34" s="165"/>
    </row>
    <row r="35" spans="1:22" ht="15.4" customHeight="1">
      <c r="A35" s="51"/>
      <c r="B35" s="60"/>
      <c r="C35" s="61"/>
      <c r="D35" s="62"/>
      <c r="E35" s="60"/>
      <c r="F35" s="55"/>
      <c r="G35" s="55"/>
      <c r="H35" s="55"/>
      <c r="I35" s="55"/>
      <c r="J35" s="55"/>
      <c r="K35" s="56"/>
      <c r="L35" s="55"/>
      <c r="M35" s="115"/>
      <c r="N35" s="57"/>
      <c r="S35" s="165"/>
      <c r="V35" s="165"/>
    </row>
    <row r="36" spans="1:22" ht="15.4" customHeight="1">
      <c r="A36" s="65"/>
      <c r="B36" s="120"/>
      <c r="C36" s="121"/>
      <c r="D36" s="122"/>
      <c r="E36" s="120"/>
      <c r="F36" s="69"/>
      <c r="G36" s="69"/>
      <c r="H36" s="69"/>
      <c r="I36" s="69"/>
      <c r="J36" s="69"/>
      <c r="K36" s="123"/>
      <c r="L36" s="69"/>
      <c r="M36" s="124"/>
      <c r="N36" s="70"/>
      <c r="S36" s="165"/>
      <c r="V36" s="165"/>
    </row>
    <row r="40" spans="1:22">
      <c r="C40" s="140"/>
    </row>
  </sheetData>
  <mergeCells count="10">
    <mergeCell ref="Y10:AA10"/>
    <mergeCell ref="Y17:Y18"/>
    <mergeCell ref="AA17:AA19"/>
    <mergeCell ref="Z18:Z19"/>
    <mergeCell ref="Y22:Y23"/>
    <mergeCell ref="AA22:AA24"/>
    <mergeCell ref="Z23:Z24"/>
    <mergeCell ref="Y12:Y13"/>
    <mergeCell ref="Z13:Z14"/>
    <mergeCell ref="AA12:AA14"/>
  </mergeCells>
  <conditionalFormatting sqref="G24:G26 G28:G36">
    <cfRule type="expression" dxfId="5" priority="7">
      <formula>IF(G24&lt;&gt;"",ABS(F24-G24)&gt;0.002,FALSE)</formula>
    </cfRule>
  </conditionalFormatting>
  <conditionalFormatting sqref="G11:G23">
    <cfRule type="expression" dxfId="4" priority="6">
      <formula>IF(G11&lt;&gt;"",ABS(F11-G11)&gt;0.002,FALSE)</formula>
    </cfRule>
  </conditionalFormatting>
  <conditionalFormatting sqref="W10:Y10">
    <cfRule type="expression" dxfId="3" priority="4">
      <formula>ABS(W10)&gt;0.01</formula>
    </cfRule>
  </conditionalFormatting>
  <conditionalFormatting sqref="Y16 W16:X19">
    <cfRule type="expression" dxfId="2" priority="3">
      <formula>ABS(W16)&gt;0.01</formula>
    </cfRule>
  </conditionalFormatting>
  <conditionalFormatting sqref="W22:X24">
    <cfRule type="expression" dxfId="1" priority="2">
      <formula>ABS(W22)&gt;0.01</formula>
    </cfRule>
  </conditionalFormatting>
  <conditionalFormatting sqref="W12:W14">
    <cfRule type="expression" dxfId="0" priority="1">
      <formula>ABS(W12)&gt;0.01</formula>
    </cfRule>
  </conditionalFormatting>
  <printOptions horizontalCentered="1" verticalCentered="1"/>
  <pageMargins left="3.937007874015748E-2" right="3.937007874015748E-2" top="0.19685039370078741" bottom="0.19685039370078741" header="0.19685039370078741" footer="0.19685039370078741"/>
  <pageSetup paperSize="9" scale="93" orientation="landscape" r:id="rId1"/>
  <headerFooter alignWithMargins="0">
    <oddFooter>&amp;LFile &amp;F        Date &amp;D&amp;RPage 2 of 2</oddFooter>
  </headerFooter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2"/>
  <dimension ref="A1:Q80"/>
  <sheetViews>
    <sheetView workbookViewId="0"/>
  </sheetViews>
  <sheetFormatPr defaultColWidth="9.140625" defaultRowHeight="12.75"/>
  <cols>
    <col min="1" max="1" width="3.5703125" style="6" customWidth="1"/>
    <col min="2" max="2" width="7.28515625" style="126" customWidth="1"/>
    <col min="3" max="3" width="10.42578125" style="126" customWidth="1"/>
    <col min="4" max="4" width="10.42578125" style="127" customWidth="1"/>
    <col min="5" max="5" width="7.28515625" style="126" customWidth="1"/>
    <col min="6" max="6" width="9.28515625" style="125" customWidth="1"/>
    <col min="7" max="10" width="9.28515625" style="126" customWidth="1"/>
    <col min="11" max="11" width="11.140625" style="118" customWidth="1"/>
    <col min="12" max="12" width="11.42578125" style="118" customWidth="1"/>
    <col min="13" max="13" width="11.140625" style="128" customWidth="1"/>
    <col min="14" max="14" width="26.140625" style="118" customWidth="1"/>
    <col min="15" max="15" width="6.28515625" style="118" hidden="1" customWidth="1"/>
    <col min="16" max="16" width="0" style="118" hidden="1" customWidth="1"/>
    <col min="17" max="17" width="10" style="118" customWidth="1"/>
    <col min="18" max="16384" width="9.140625" style="118"/>
  </cols>
  <sheetData>
    <row r="1" spans="1:17" s="6" customFormat="1">
      <c r="A1" s="1"/>
      <c r="B1" s="2"/>
      <c r="C1" s="2"/>
      <c r="D1" s="3"/>
      <c r="E1" s="2"/>
      <c r="F1" s="4"/>
      <c r="G1" s="2"/>
      <c r="H1" s="2"/>
      <c r="I1" s="5"/>
      <c r="J1" s="2"/>
      <c r="K1" s="2"/>
      <c r="L1" s="2"/>
      <c r="M1" s="5"/>
      <c r="N1" s="2"/>
      <c r="Q1" s="7"/>
    </row>
    <row r="2" spans="1:17" s="6" customFormat="1">
      <c r="A2" s="8" t="s">
        <v>30</v>
      </c>
      <c r="B2" s="8"/>
      <c r="C2" s="8"/>
      <c r="D2" s="9"/>
      <c r="E2" s="5"/>
      <c r="F2" s="10" t="s">
        <v>0</v>
      </c>
      <c r="G2" s="8"/>
      <c r="H2" s="5"/>
      <c r="I2" s="5"/>
      <c r="J2" s="5"/>
      <c r="K2" s="8"/>
      <c r="M2" s="8" t="s">
        <v>31</v>
      </c>
      <c r="N2" s="8"/>
      <c r="O2" s="5"/>
      <c r="Q2" s="7"/>
    </row>
    <row r="3" spans="1:17" s="6" customFormat="1">
      <c r="A3" s="8"/>
      <c r="B3" s="8"/>
      <c r="C3" s="8"/>
      <c r="D3" s="9"/>
      <c r="E3" s="5"/>
      <c r="F3" s="11"/>
      <c r="G3" s="5"/>
      <c r="H3" s="5"/>
      <c r="I3" s="5"/>
      <c r="J3" s="5"/>
      <c r="K3" s="5"/>
      <c r="L3" s="5"/>
      <c r="M3" s="5"/>
      <c r="N3" s="5"/>
      <c r="Q3" s="7"/>
    </row>
    <row r="4" spans="1:17" s="6" customFormat="1">
      <c r="A4" s="8" t="s">
        <v>32</v>
      </c>
      <c r="B4" s="5"/>
      <c r="C4" s="5"/>
      <c r="D4" s="12"/>
      <c r="E4" s="5"/>
      <c r="F4" s="10" t="s">
        <v>33</v>
      </c>
      <c r="G4" s="5"/>
      <c r="H4" s="5"/>
      <c r="I4" s="5"/>
      <c r="J4" s="5"/>
      <c r="K4" s="8"/>
      <c r="M4" s="8" t="s">
        <v>34</v>
      </c>
      <c r="N4" s="8"/>
      <c r="O4" s="5"/>
      <c r="Q4" s="7"/>
    </row>
    <row r="5" spans="1:17" s="6" customFormat="1">
      <c r="A5" s="5"/>
      <c r="B5" s="5"/>
      <c r="C5" s="5"/>
      <c r="D5" s="12"/>
      <c r="E5" s="5"/>
      <c r="F5" s="11"/>
      <c r="G5" s="5"/>
      <c r="H5" s="5"/>
      <c r="I5" s="5"/>
      <c r="J5" s="5"/>
      <c r="K5" s="5"/>
      <c r="L5" s="5"/>
      <c r="M5" s="5"/>
      <c r="N5" s="5"/>
      <c r="Q5" s="7"/>
    </row>
    <row r="6" spans="1:17" s="6" customFormat="1">
      <c r="A6" s="8" t="s">
        <v>35</v>
      </c>
      <c r="B6" s="5"/>
      <c r="C6" s="5"/>
      <c r="D6" s="12"/>
      <c r="E6" s="5"/>
      <c r="F6" s="10" t="s">
        <v>36</v>
      </c>
      <c r="G6" s="8"/>
      <c r="H6" s="13" t="s">
        <v>19</v>
      </c>
      <c r="I6" s="14">
        <v>1</v>
      </c>
      <c r="K6" s="15" t="s">
        <v>37</v>
      </c>
      <c r="L6" s="8"/>
      <c r="M6" s="8" t="s">
        <v>38</v>
      </c>
      <c r="N6" s="8"/>
      <c r="O6" s="5"/>
      <c r="Q6" s="7"/>
    </row>
    <row r="7" spans="1:17" s="6" customFormat="1" ht="12.75" customHeight="1">
      <c r="A7" s="16"/>
      <c r="B7" s="16"/>
      <c r="C7" s="16"/>
      <c r="D7" s="17"/>
      <c r="E7" s="16"/>
      <c r="F7" s="18"/>
      <c r="G7" s="18"/>
      <c r="H7" s="19" t="s">
        <v>20</v>
      </c>
      <c r="I7" s="20">
        <v>1.0000000000000001E-5</v>
      </c>
      <c r="J7" s="16"/>
      <c r="K7" s="21" t="s">
        <v>56</v>
      </c>
      <c r="L7" s="22">
        <v>25</v>
      </c>
      <c r="M7" s="16"/>
      <c r="N7" s="16"/>
      <c r="Q7" s="7"/>
    </row>
    <row r="8" spans="1:17" s="100" customFormat="1" ht="15.6" customHeight="1">
      <c r="A8" s="88" t="s">
        <v>22</v>
      </c>
      <c r="B8" s="89"/>
      <c r="C8" s="90"/>
      <c r="D8" s="91"/>
      <c r="E8" s="92" t="s">
        <v>2</v>
      </c>
      <c r="F8" s="93" t="s">
        <v>3</v>
      </c>
      <c r="G8" s="94"/>
      <c r="H8" s="95"/>
      <c r="I8" s="96"/>
      <c r="J8" s="97"/>
      <c r="K8" s="94" t="s">
        <v>5</v>
      </c>
      <c r="L8" s="98"/>
      <c r="M8" s="98"/>
      <c r="N8" s="99"/>
    </row>
    <row r="9" spans="1:17" s="107" customFormat="1" ht="15.6" customHeight="1">
      <c r="A9" s="101" t="s">
        <v>22</v>
      </c>
      <c r="B9" s="36" t="s">
        <v>6</v>
      </c>
      <c r="C9" s="102" t="s">
        <v>1</v>
      </c>
      <c r="D9" s="103" t="s">
        <v>23</v>
      </c>
      <c r="E9" s="36" t="s">
        <v>6</v>
      </c>
      <c r="F9" s="104" t="s">
        <v>7</v>
      </c>
      <c r="G9" s="105" t="s">
        <v>8</v>
      </c>
      <c r="H9" s="41"/>
      <c r="I9" s="41" t="s">
        <v>9</v>
      </c>
      <c r="J9" s="41" t="s">
        <v>24</v>
      </c>
      <c r="K9" s="106"/>
      <c r="L9" s="106"/>
      <c r="M9" s="106"/>
      <c r="N9" s="37" t="s">
        <v>10</v>
      </c>
    </row>
    <row r="10" spans="1:17" s="107" customFormat="1" ht="15.6" customHeight="1">
      <c r="A10" s="108" t="s">
        <v>22</v>
      </c>
      <c r="B10" s="36" t="s">
        <v>11</v>
      </c>
      <c r="C10" s="109"/>
      <c r="D10" s="110"/>
      <c r="E10" s="111" t="s">
        <v>13</v>
      </c>
      <c r="F10" s="112"/>
      <c r="G10" s="41" t="s">
        <v>7</v>
      </c>
      <c r="H10" s="36" t="s">
        <v>14</v>
      </c>
      <c r="I10" s="111" t="s">
        <v>14</v>
      </c>
      <c r="J10" s="36" t="s">
        <v>25</v>
      </c>
      <c r="K10" s="108" t="s">
        <v>26</v>
      </c>
      <c r="L10" s="36" t="s">
        <v>17</v>
      </c>
      <c r="M10" s="36" t="s">
        <v>18</v>
      </c>
      <c r="N10" s="113"/>
    </row>
    <row r="11" spans="1:17" ht="15.4" customHeight="1">
      <c r="A11" s="135"/>
      <c r="B11" s="60"/>
      <c r="C11" s="61"/>
      <c r="D11" s="62"/>
      <c r="E11" s="114"/>
      <c r="F11" s="55"/>
      <c r="G11" s="55"/>
      <c r="H11" s="55"/>
      <c r="I11" s="55"/>
      <c r="J11" s="55"/>
      <c r="K11" s="55">
        <f>M14-F14</f>
        <v>132.11500000000001</v>
      </c>
      <c r="L11" s="55"/>
      <c r="M11" s="116"/>
      <c r="N11" s="117"/>
    </row>
    <row r="12" spans="1:17" ht="15.4" customHeight="1">
      <c r="A12" s="135"/>
      <c r="B12" s="60"/>
      <c r="C12" s="61"/>
      <c r="D12" s="62"/>
      <c r="E12" s="114"/>
      <c r="F12" s="55"/>
      <c r="G12" s="55"/>
      <c r="H12" s="55"/>
      <c r="I12" s="55"/>
      <c r="J12" s="55"/>
      <c r="K12" s="55">
        <f>M15-F15</f>
        <v>132.113</v>
      </c>
      <c r="L12" s="55"/>
      <c r="M12" s="116"/>
      <c r="N12" s="117"/>
    </row>
    <row r="13" spans="1:17" ht="15.4" customHeight="1">
      <c r="A13" s="135"/>
      <c r="B13" s="60"/>
      <c r="C13" s="61"/>
      <c r="D13" s="62"/>
      <c r="E13" s="114"/>
      <c r="F13" s="55"/>
      <c r="G13" s="55"/>
      <c r="H13" s="55"/>
      <c r="I13" s="55"/>
      <c r="J13" s="55"/>
      <c r="K13" s="55">
        <f>M16-F16</f>
        <v>132.11100000000002</v>
      </c>
      <c r="L13" s="55" t="s">
        <v>47</v>
      </c>
      <c r="M13" s="55">
        <f>AVERAGE(K11:K13)</f>
        <v>132.11300000000003</v>
      </c>
      <c r="N13" s="57" t="s">
        <v>48</v>
      </c>
    </row>
    <row r="14" spans="1:17" ht="15.4" customHeight="1">
      <c r="A14" s="135"/>
      <c r="B14" s="60"/>
      <c r="C14" s="61" t="str">
        <f>L13</f>
        <v>SSM 1A</v>
      </c>
      <c r="D14" s="62" t="str">
        <f>L14</f>
        <v>RM 5</v>
      </c>
      <c r="E14" s="114"/>
      <c r="F14" s="55">
        <v>0.22</v>
      </c>
      <c r="G14" s="55"/>
      <c r="H14" s="55"/>
      <c r="I14" s="55"/>
      <c r="J14" s="139">
        <f>F14-K14</f>
        <v>0.624</v>
      </c>
      <c r="K14" s="138">
        <v>-0.40400000000000003</v>
      </c>
      <c r="L14" s="56" t="s">
        <v>45</v>
      </c>
      <c r="M14" s="56">
        <f>$M$18+K14</f>
        <v>132.33500000000001</v>
      </c>
      <c r="N14" s="57" t="s">
        <v>41</v>
      </c>
    </row>
    <row r="15" spans="1:17" ht="15.4" customHeight="1">
      <c r="A15" s="135"/>
      <c r="B15" s="60"/>
      <c r="C15" s="61"/>
      <c r="D15" s="62" t="str">
        <f>L15</f>
        <v>RM 6</v>
      </c>
      <c r="E15" s="114"/>
      <c r="F15" s="55">
        <v>0.22800000000000001</v>
      </c>
      <c r="G15" s="55"/>
      <c r="H15" s="55"/>
      <c r="I15" s="55"/>
      <c r="J15" s="139">
        <f>F15-K15</f>
        <v>0.626</v>
      </c>
      <c r="K15" s="138">
        <v>-0.39800000000000002</v>
      </c>
      <c r="L15" s="56" t="s">
        <v>44</v>
      </c>
      <c r="M15" s="56">
        <f>$M$18+K15</f>
        <v>132.34100000000001</v>
      </c>
      <c r="N15" s="57" t="s">
        <v>41</v>
      </c>
      <c r="O15" s="126"/>
      <c r="P15" s="126"/>
      <c r="Q15" s="126"/>
    </row>
    <row r="16" spans="1:17" ht="15.4" customHeight="1">
      <c r="A16" s="135"/>
      <c r="B16" s="60"/>
      <c r="C16" s="61"/>
      <c r="D16" s="62" t="str">
        <f>L16</f>
        <v>RM 7</v>
      </c>
      <c r="E16" s="114"/>
      <c r="F16" s="55">
        <v>0.16400000000000001</v>
      </c>
      <c r="G16" s="55"/>
      <c r="H16" s="55"/>
      <c r="I16" s="55"/>
      <c r="J16" s="139">
        <f>F16-K16</f>
        <v>0.628</v>
      </c>
      <c r="K16" s="138">
        <v>-0.46400000000000002</v>
      </c>
      <c r="L16" s="56" t="s">
        <v>43</v>
      </c>
      <c r="M16" s="56">
        <f>$M$18+K16</f>
        <v>132.27500000000001</v>
      </c>
      <c r="N16" s="57" t="s">
        <v>42</v>
      </c>
      <c r="O16" s="126"/>
      <c r="P16" s="126"/>
      <c r="Q16" s="126"/>
    </row>
    <row r="17" spans="1:17" ht="15.4" customHeight="1">
      <c r="A17" s="135"/>
      <c r="B17" s="60"/>
      <c r="C17" s="61"/>
      <c r="D17" s="62"/>
      <c r="E17" s="114"/>
      <c r="F17" s="55"/>
      <c r="G17" s="55"/>
      <c r="H17" s="55"/>
      <c r="I17" s="55"/>
      <c r="J17" s="55"/>
      <c r="K17" s="56"/>
      <c r="L17" s="55"/>
      <c r="M17" s="115"/>
      <c r="N17" s="134"/>
      <c r="O17" s="126"/>
      <c r="P17" s="126"/>
      <c r="Q17" s="126"/>
    </row>
    <row r="18" spans="1:17" ht="15.4" customHeight="1">
      <c r="A18" s="135"/>
      <c r="B18" s="51"/>
      <c r="C18" s="52"/>
      <c r="D18" s="53"/>
      <c r="E18" s="54"/>
      <c r="F18" s="55"/>
      <c r="G18" s="137"/>
      <c r="H18" s="55"/>
      <c r="I18" s="55"/>
      <c r="J18" s="55"/>
      <c r="K18" s="55"/>
      <c r="L18" s="56" t="s">
        <v>46</v>
      </c>
      <c r="M18" s="56">
        <v>132.739</v>
      </c>
      <c r="N18" s="57" t="s">
        <v>41</v>
      </c>
      <c r="O18" s="6"/>
      <c r="P18" s="6"/>
      <c r="Q18" s="136"/>
    </row>
    <row r="19" spans="1:17" ht="15.4" customHeight="1">
      <c r="A19" s="135"/>
      <c r="B19" s="60">
        <v>0.01</v>
      </c>
      <c r="C19" s="61" t="str">
        <f>L18</f>
        <v>SSM 1</v>
      </c>
      <c r="D19" s="62" t="str">
        <f>L19</f>
        <v>SSM 1A</v>
      </c>
      <c r="E19" s="60"/>
      <c r="F19" s="55">
        <f>K19-M18</f>
        <v>-0.62599999999997635</v>
      </c>
      <c r="G19" s="55" t="s">
        <v>40</v>
      </c>
      <c r="H19" s="55">
        <f>AVERAGE(F19,G19)</f>
        <v>-0.62599999999997635</v>
      </c>
      <c r="I19" s="55"/>
      <c r="J19" s="55">
        <f>H19-K19</f>
        <v>-132.739</v>
      </c>
      <c r="K19" s="55">
        <f>M13</f>
        <v>132.11300000000003</v>
      </c>
      <c r="L19" s="55" t="s">
        <v>47</v>
      </c>
      <c r="M19" s="55"/>
      <c r="N19" s="57" t="s">
        <v>39</v>
      </c>
      <c r="O19" s="6"/>
      <c r="P19" s="6"/>
      <c r="Q19" s="136"/>
    </row>
    <row r="20" spans="1:17" ht="15.4" customHeight="1">
      <c r="A20" s="135"/>
      <c r="B20" s="60"/>
      <c r="C20" s="61"/>
      <c r="D20" s="62"/>
      <c r="E20" s="114"/>
      <c r="F20" s="55"/>
      <c r="G20" s="55"/>
      <c r="H20" s="55"/>
      <c r="I20" s="55"/>
      <c r="J20" s="55"/>
      <c r="K20" s="55"/>
      <c r="L20" s="55"/>
      <c r="M20" s="115"/>
      <c r="N20" s="134"/>
      <c r="O20" s="126"/>
      <c r="P20" s="126"/>
      <c r="Q20" s="126"/>
    </row>
    <row r="21" spans="1:17" ht="15.4" customHeight="1">
      <c r="A21" s="135"/>
      <c r="B21" s="60"/>
      <c r="C21" s="61"/>
      <c r="D21" s="62"/>
      <c r="E21" s="114"/>
      <c r="F21" s="55"/>
      <c r="G21" s="55"/>
      <c r="H21" s="55"/>
      <c r="I21" s="55"/>
      <c r="J21" s="55"/>
      <c r="K21" s="115"/>
      <c r="L21" s="55"/>
      <c r="M21" s="115"/>
      <c r="N21" s="134"/>
      <c r="O21" s="126"/>
      <c r="P21" s="126"/>
      <c r="Q21" s="126"/>
    </row>
    <row r="22" spans="1:17" ht="15.4" customHeight="1">
      <c r="A22" s="135"/>
      <c r="B22" s="60"/>
      <c r="C22" s="61"/>
      <c r="D22" s="62"/>
      <c r="E22" s="114"/>
      <c r="F22" s="55"/>
      <c r="G22" s="55"/>
      <c r="H22" s="55"/>
      <c r="I22" s="55"/>
      <c r="J22" s="55"/>
      <c r="K22" s="56"/>
      <c r="L22" s="55"/>
      <c r="M22" s="115"/>
      <c r="N22" s="134"/>
      <c r="O22" s="126"/>
      <c r="P22" s="126"/>
      <c r="Q22" s="126"/>
    </row>
    <row r="23" spans="1:17" ht="15.4" customHeight="1">
      <c r="A23" s="135"/>
      <c r="B23" s="60"/>
      <c r="C23" s="61"/>
      <c r="D23" s="62"/>
      <c r="E23" s="114"/>
      <c r="F23" s="55"/>
      <c r="G23" s="55"/>
      <c r="H23" s="55"/>
      <c r="I23" s="55"/>
      <c r="J23" s="55"/>
      <c r="K23" s="56"/>
      <c r="L23" s="55"/>
      <c r="M23" s="115"/>
      <c r="N23" s="134"/>
      <c r="O23" s="126"/>
      <c r="P23" s="126"/>
      <c r="Q23" s="126"/>
    </row>
    <row r="24" spans="1:17" ht="15.4" customHeight="1">
      <c r="A24" s="135"/>
      <c r="B24" s="60"/>
      <c r="C24" s="61"/>
      <c r="D24" s="62"/>
      <c r="E24" s="114"/>
      <c r="F24" s="55"/>
      <c r="G24" s="55"/>
      <c r="H24" s="55"/>
      <c r="I24" s="55"/>
      <c r="J24" s="55"/>
      <c r="K24" s="56"/>
      <c r="L24" s="55"/>
      <c r="M24" s="115"/>
      <c r="N24" s="134"/>
      <c r="O24" s="126"/>
      <c r="P24" s="126"/>
      <c r="Q24" s="126"/>
    </row>
    <row r="25" spans="1:17" ht="15.4" customHeight="1">
      <c r="A25" s="135"/>
      <c r="B25" s="60"/>
      <c r="C25" s="61"/>
      <c r="D25" s="62"/>
      <c r="E25" s="114"/>
      <c r="F25" s="55"/>
      <c r="G25" s="55"/>
      <c r="H25" s="55"/>
      <c r="I25" s="55"/>
      <c r="J25" s="55"/>
      <c r="K25" s="56"/>
      <c r="L25" s="55"/>
      <c r="M25" s="115"/>
      <c r="N25" s="134"/>
      <c r="O25" s="126"/>
      <c r="P25" s="126"/>
      <c r="Q25" s="126"/>
    </row>
    <row r="26" spans="1:17" ht="15.4" customHeight="1">
      <c r="A26" s="135"/>
      <c r="B26" s="60"/>
      <c r="C26" s="61"/>
      <c r="D26" s="62"/>
      <c r="E26" s="114"/>
      <c r="F26" s="55"/>
      <c r="G26" s="55"/>
      <c r="H26" s="55"/>
      <c r="I26" s="55"/>
      <c r="J26" s="55"/>
      <c r="K26" s="56"/>
      <c r="L26" s="55"/>
      <c r="M26" s="115"/>
      <c r="N26" s="134"/>
      <c r="O26" s="126"/>
      <c r="P26" s="126"/>
      <c r="Q26" s="126"/>
    </row>
    <row r="27" spans="1:17" ht="15.4" customHeight="1">
      <c r="A27" s="135"/>
      <c r="B27" s="60"/>
      <c r="C27" s="61"/>
      <c r="D27" s="62"/>
      <c r="E27" s="114"/>
      <c r="F27" s="55"/>
      <c r="G27" s="55"/>
      <c r="H27" s="55"/>
      <c r="I27" s="55"/>
      <c r="J27" s="55"/>
      <c r="K27" s="56"/>
      <c r="L27" s="55"/>
      <c r="M27" s="115"/>
      <c r="N27" s="134"/>
      <c r="O27" s="126"/>
      <c r="P27" s="126"/>
      <c r="Q27" s="126"/>
    </row>
    <row r="28" spans="1:17" ht="15.4" customHeight="1">
      <c r="A28" s="135"/>
      <c r="B28" s="60"/>
      <c r="C28" s="61"/>
      <c r="D28" s="62"/>
      <c r="E28" s="114"/>
      <c r="F28" s="55"/>
      <c r="G28" s="55"/>
      <c r="H28" s="55"/>
      <c r="I28" s="55"/>
      <c r="J28" s="55"/>
      <c r="K28" s="56"/>
      <c r="L28" s="55"/>
      <c r="M28" s="115"/>
      <c r="N28" s="134"/>
      <c r="O28" s="126"/>
      <c r="P28" s="126"/>
      <c r="Q28" s="126"/>
    </row>
    <row r="29" spans="1:17" ht="15.4" customHeight="1">
      <c r="A29" s="135"/>
      <c r="B29" s="60"/>
      <c r="C29" s="61"/>
      <c r="D29" s="62"/>
      <c r="E29" s="114"/>
      <c r="F29" s="55"/>
      <c r="G29" s="55"/>
      <c r="H29" s="55"/>
      <c r="I29" s="55"/>
      <c r="J29" s="55"/>
      <c r="K29" s="56"/>
      <c r="L29" s="55"/>
      <c r="M29" s="115"/>
      <c r="N29" s="134"/>
      <c r="O29" s="126"/>
      <c r="P29" s="126"/>
      <c r="Q29" s="126"/>
    </row>
    <row r="30" spans="1:17" ht="15.4" customHeight="1">
      <c r="A30" s="135"/>
      <c r="B30" s="60"/>
      <c r="C30" s="61"/>
      <c r="D30" s="62"/>
      <c r="E30" s="114"/>
      <c r="F30" s="55"/>
      <c r="G30" s="55"/>
      <c r="H30" s="55"/>
      <c r="I30" s="55"/>
      <c r="J30" s="55"/>
      <c r="K30" s="56"/>
      <c r="L30" s="55"/>
      <c r="M30" s="115"/>
      <c r="N30" s="134"/>
      <c r="O30" s="126"/>
      <c r="P30" s="126"/>
      <c r="Q30" s="126"/>
    </row>
    <row r="31" spans="1:17" ht="15.4" customHeight="1">
      <c r="A31" s="135"/>
      <c r="B31" s="60"/>
      <c r="C31" s="61"/>
      <c r="D31" s="62"/>
      <c r="E31" s="114"/>
      <c r="F31" s="55"/>
      <c r="G31" s="55"/>
      <c r="H31" s="55"/>
      <c r="I31" s="55"/>
      <c r="J31" s="55"/>
      <c r="K31" s="56"/>
      <c r="L31" s="55"/>
      <c r="M31" s="115"/>
      <c r="N31" s="134"/>
      <c r="O31" s="126"/>
      <c r="P31" s="126"/>
      <c r="Q31" s="126"/>
    </row>
    <row r="32" spans="1:17" ht="15.4" customHeight="1">
      <c r="A32" s="135"/>
      <c r="B32" s="60"/>
      <c r="C32" s="61"/>
      <c r="D32" s="62"/>
      <c r="E32" s="114"/>
      <c r="F32" s="55"/>
      <c r="G32" s="55"/>
      <c r="H32" s="55"/>
      <c r="I32" s="55"/>
      <c r="J32" s="55"/>
      <c r="K32" s="56"/>
      <c r="L32" s="55"/>
      <c r="M32" s="115"/>
      <c r="N32" s="134"/>
      <c r="O32" s="126"/>
      <c r="P32" s="126"/>
      <c r="Q32" s="126"/>
    </row>
    <row r="33" spans="1:17" ht="15.4" customHeight="1">
      <c r="A33" s="135"/>
      <c r="B33" s="60"/>
      <c r="C33" s="61"/>
      <c r="D33" s="62"/>
      <c r="E33" s="114"/>
      <c r="F33" s="55"/>
      <c r="G33" s="55"/>
      <c r="H33" s="55"/>
      <c r="I33" s="55"/>
      <c r="J33" s="55"/>
      <c r="K33" s="56"/>
      <c r="L33" s="55"/>
      <c r="M33" s="115"/>
      <c r="N33" s="134"/>
      <c r="O33" s="126"/>
      <c r="P33" s="126"/>
      <c r="Q33" s="126"/>
    </row>
    <row r="34" spans="1:17" ht="15.4" customHeight="1">
      <c r="A34" s="135"/>
      <c r="B34" s="60"/>
      <c r="C34" s="61"/>
      <c r="D34" s="62"/>
      <c r="E34" s="114"/>
      <c r="F34" s="55"/>
      <c r="G34" s="55"/>
      <c r="H34" s="55"/>
      <c r="I34" s="55"/>
      <c r="J34" s="55"/>
      <c r="K34" s="56"/>
      <c r="L34" s="55"/>
      <c r="M34" s="115"/>
      <c r="N34" s="134"/>
      <c r="O34" s="126"/>
      <c r="P34" s="126"/>
      <c r="Q34" s="126"/>
    </row>
    <row r="35" spans="1:17" ht="15.4" customHeight="1">
      <c r="A35" s="135"/>
      <c r="B35" s="60"/>
      <c r="C35" s="61"/>
      <c r="D35" s="62"/>
      <c r="E35" s="114"/>
      <c r="F35" s="55"/>
      <c r="G35" s="55"/>
      <c r="H35" s="55"/>
      <c r="I35" s="55"/>
      <c r="J35" s="55"/>
      <c r="K35" s="56"/>
      <c r="L35" s="55"/>
      <c r="M35" s="115"/>
      <c r="N35" s="134"/>
      <c r="O35" s="126"/>
      <c r="P35" s="126"/>
      <c r="Q35" s="126"/>
    </row>
    <row r="36" spans="1:17" ht="15.4" customHeight="1">
      <c r="A36" s="65"/>
      <c r="B36" s="120"/>
      <c r="C36" s="121"/>
      <c r="D36" s="122"/>
      <c r="E36" s="120"/>
      <c r="F36" s="69"/>
      <c r="G36" s="69"/>
      <c r="H36" s="69"/>
      <c r="I36" s="69"/>
      <c r="J36" s="69"/>
      <c r="K36" s="123"/>
      <c r="L36" s="69"/>
      <c r="M36" s="69"/>
      <c r="N36" s="133"/>
      <c r="O36" s="126"/>
      <c r="P36" s="126"/>
      <c r="Q36" s="126"/>
    </row>
    <row r="37" spans="1:17" ht="15.4" customHeight="1">
      <c r="B37" s="131"/>
      <c r="C37" s="131"/>
      <c r="D37" s="129"/>
      <c r="E37" s="132"/>
      <c r="G37" s="125"/>
      <c r="H37" s="125"/>
      <c r="I37" s="125"/>
      <c r="J37" s="125"/>
      <c r="K37" s="130"/>
      <c r="L37" s="130"/>
      <c r="M37" s="130"/>
    </row>
    <row r="38" spans="1:17" ht="15.4" customHeight="1">
      <c r="B38" s="131"/>
      <c r="C38" s="131"/>
      <c r="D38" s="129"/>
      <c r="E38" s="132"/>
      <c r="G38" s="125"/>
      <c r="H38" s="125"/>
      <c r="I38" s="125"/>
      <c r="J38" s="125"/>
      <c r="K38" s="130"/>
      <c r="L38" s="130"/>
      <c r="M38" s="130"/>
    </row>
    <row r="39" spans="1:17" ht="15.4" customHeight="1">
      <c r="B39" s="131"/>
      <c r="C39" s="131"/>
      <c r="D39" s="129"/>
      <c r="E39" s="118"/>
      <c r="G39" s="125"/>
      <c r="H39" s="125"/>
      <c r="I39" s="125"/>
      <c r="J39" s="125"/>
      <c r="K39" s="130"/>
      <c r="L39" s="130"/>
      <c r="M39" s="130"/>
    </row>
    <row r="40" spans="1:17" ht="14.1" customHeight="1">
      <c r="B40" s="131"/>
      <c r="C40" s="131"/>
      <c r="D40" s="129"/>
      <c r="E40" s="131"/>
      <c r="G40" s="125"/>
      <c r="H40" s="125"/>
      <c r="I40" s="125"/>
      <c r="J40" s="125"/>
      <c r="K40" s="130"/>
      <c r="L40" s="130"/>
      <c r="M40" s="130"/>
    </row>
    <row r="41" spans="1:17" ht="14.1" customHeight="1">
      <c r="B41" s="131"/>
      <c r="C41" s="131"/>
      <c r="D41" s="129"/>
      <c r="E41" s="131"/>
      <c r="G41" s="125"/>
      <c r="H41" s="125"/>
      <c r="I41" s="125"/>
      <c r="J41" s="125"/>
      <c r="K41" s="130"/>
      <c r="L41" s="130"/>
      <c r="M41" s="130"/>
    </row>
    <row r="42" spans="1:17">
      <c r="D42" s="129"/>
      <c r="M42" s="118"/>
    </row>
    <row r="43" spans="1:17">
      <c r="D43" s="129"/>
      <c r="M43" s="118"/>
    </row>
    <row r="44" spans="1:17">
      <c r="D44" s="129"/>
      <c r="M44" s="118"/>
    </row>
    <row r="45" spans="1:17">
      <c r="D45" s="129"/>
      <c r="M45" s="118"/>
    </row>
    <row r="46" spans="1:17">
      <c r="D46" s="129"/>
      <c r="M46" s="118"/>
    </row>
    <row r="47" spans="1:17">
      <c r="D47" s="129"/>
      <c r="M47" s="118"/>
    </row>
    <row r="48" spans="1:17">
      <c r="D48" s="129"/>
      <c r="M48" s="118"/>
    </row>
    <row r="49" spans="4:13">
      <c r="D49" s="129"/>
      <c r="M49" s="118"/>
    </row>
    <row r="50" spans="4:13">
      <c r="D50" s="129"/>
      <c r="M50" s="118"/>
    </row>
    <row r="51" spans="4:13">
      <c r="D51" s="129"/>
      <c r="M51" s="118"/>
    </row>
    <row r="52" spans="4:13">
      <c r="D52" s="129"/>
      <c r="M52" s="118"/>
    </row>
    <row r="53" spans="4:13">
      <c r="D53" s="129"/>
      <c r="M53" s="118"/>
    </row>
    <row r="54" spans="4:13">
      <c r="D54" s="129"/>
      <c r="M54" s="118"/>
    </row>
    <row r="55" spans="4:13">
      <c r="D55" s="129"/>
      <c r="M55" s="118"/>
    </row>
    <row r="56" spans="4:13">
      <c r="D56" s="129"/>
      <c r="M56" s="118"/>
    </row>
    <row r="57" spans="4:13">
      <c r="D57" s="129"/>
      <c r="M57" s="118"/>
    </row>
    <row r="58" spans="4:13">
      <c r="D58" s="129"/>
      <c r="M58" s="118"/>
    </row>
    <row r="59" spans="4:13">
      <c r="D59" s="129"/>
      <c r="M59" s="118"/>
    </row>
    <row r="60" spans="4:13">
      <c r="D60" s="129"/>
      <c r="M60" s="118"/>
    </row>
    <row r="61" spans="4:13">
      <c r="D61" s="129"/>
      <c r="M61" s="118"/>
    </row>
    <row r="62" spans="4:13">
      <c r="D62" s="129"/>
      <c r="M62" s="118"/>
    </row>
    <row r="63" spans="4:13">
      <c r="D63" s="129"/>
      <c r="M63" s="118"/>
    </row>
    <row r="64" spans="4:13">
      <c r="D64" s="129"/>
      <c r="M64" s="118"/>
    </row>
    <row r="65" spans="4:13">
      <c r="D65" s="129"/>
      <c r="M65" s="118"/>
    </row>
    <row r="66" spans="4:13">
      <c r="D66" s="129"/>
      <c r="M66" s="118"/>
    </row>
    <row r="67" spans="4:13">
      <c r="D67" s="129"/>
      <c r="M67" s="118"/>
    </row>
    <row r="68" spans="4:13">
      <c r="D68" s="129"/>
      <c r="M68" s="118"/>
    </row>
    <row r="69" spans="4:13">
      <c r="D69" s="129"/>
      <c r="M69" s="118"/>
    </row>
    <row r="70" spans="4:13">
      <c r="D70" s="129"/>
      <c r="M70" s="118"/>
    </row>
    <row r="71" spans="4:13">
      <c r="D71" s="129"/>
      <c r="M71" s="118"/>
    </row>
    <row r="72" spans="4:13">
      <c r="D72" s="129"/>
      <c r="M72" s="118"/>
    </row>
    <row r="73" spans="4:13">
      <c r="D73" s="129"/>
      <c r="M73" s="118"/>
    </row>
    <row r="74" spans="4:13">
      <c r="D74" s="129"/>
      <c r="M74" s="118"/>
    </row>
    <row r="75" spans="4:13">
      <c r="D75" s="129"/>
      <c r="M75" s="118"/>
    </row>
    <row r="76" spans="4:13">
      <c r="D76" s="129"/>
      <c r="M76" s="118"/>
    </row>
    <row r="77" spans="4:13">
      <c r="D77" s="129"/>
      <c r="M77" s="118"/>
    </row>
    <row r="78" spans="4:13">
      <c r="D78" s="129"/>
      <c r="M78" s="118"/>
    </row>
    <row r="79" spans="4:13">
      <c r="D79" s="129"/>
      <c r="M79" s="118"/>
    </row>
    <row r="80" spans="4:13">
      <c r="D80" s="129"/>
      <c r="M80" s="118"/>
    </row>
  </sheetData>
  <printOptions horizontalCentered="1" verticalCentered="1"/>
  <pageMargins left="3.937007874015748E-2" right="3.937007874015748E-2" top="0.19685039370078741" bottom="0.19685039370078741" header="0.19685039370078741" footer="0.19685039370078741"/>
  <pageSetup paperSize="9" orientation="landscape" r:id="rId1"/>
  <headerFooter alignWithMargins="0">
    <oddFooter>&amp;LFile &amp;F        Date &amp;D&amp;RPage 1 of  1</oddFooter>
  </headerFooter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Named Ranges</vt:lpstr>
      </vt:variant>
      <vt:variant>
        <vt:i4>2</vt:i4>
      </vt:variant>
    </vt:vector>
  </HeadingPairs>
  <TitlesOfParts>
    <vt:vector size="9" baseType="lpstr">
      <vt:lpstr>Calibration Certificate</vt:lpstr>
      <vt:lpstr>PAGE 1</vt:lpstr>
      <vt:lpstr>PAGE 2</vt:lpstr>
      <vt:lpstr>VRS</vt:lpstr>
      <vt:lpstr>PAGE 1 Template</vt:lpstr>
      <vt:lpstr>PAGE 2 Template</vt:lpstr>
      <vt:lpstr>PAGE 3 Template</vt:lpstr>
      <vt:lpstr>'PAGE 2'!Print_Titles</vt:lpstr>
      <vt:lpstr>'PAGE 2 Template'!Print_Titles</vt:lpstr>
    </vt:vector>
  </TitlesOfParts>
  <Company>DOLA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Kent Wheeler</dc:creator>
  <cp:lastModifiedBy>Kent Wheeler</cp:lastModifiedBy>
  <cp:lastPrinted>2018-03-21T02:15:59Z</cp:lastPrinted>
  <dcterms:created xsi:type="dcterms:W3CDTF">2001-02-05T00:04:52Z</dcterms:created>
  <dcterms:modified xsi:type="dcterms:W3CDTF">2024-10-31T03:20:50Z</dcterms:modified>
</cp:coreProperties>
</file>