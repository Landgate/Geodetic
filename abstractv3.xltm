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Development\Landgate.Geodetic\Geodetic\"/>
    </mc:Choice>
  </mc:AlternateContent>
  <xr:revisionPtr revIDLastSave="0" documentId="8_{DD7F9136-0F78-4492-A42B-D00DB8249F6B}" xr6:coauthVersionLast="47" xr6:coauthVersionMax="47" xr10:uidLastSave="{00000000-0000-0000-0000-000000000000}"/>
  <bookViews>
    <workbookView xWindow="-120" yWindow="-120" windowWidth="38640" windowHeight="21240" activeTab="1" xr2:uid="{00000000-000D-0000-FFFF-FFFF00000000}"/>
  </bookViews>
  <sheets>
    <sheet name="Calibration Certificate" sheetId="17" r:id="rId1"/>
    <sheet name="PAGE 1" sheetId="18" r:id="rId2"/>
    <sheet name="PAGE 2" sheetId="13" r:id="rId3"/>
    <sheet name="VRS" sheetId="19" state="hidden" r:id="rId4"/>
    <sheet name="PAGE 1 Template" sheetId="15" r:id="rId5"/>
    <sheet name="PAGE 2 Template" sheetId="16" r:id="rId6"/>
    <sheet name="PAGE 3 Template" sheetId="14" r:id="rId7"/>
  </sheets>
  <functionGroups builtInGroupCount="19"/>
  <definedNames>
    <definedName name="_xleta.COLUMN" hidden="1" xlm="1">#NAME?</definedName>
    <definedName name="_xlnm.Print_Titles" localSheetId="2">'PAGE 2'!$1:$7</definedName>
    <definedName name="_xlnm.Print_Titles" localSheetId="5">'PAGE 2 Template'!$1:$7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9" i="14" l="1"/>
  <c r="H19" i="14"/>
  <c r="D19" i="14"/>
  <c r="C19" i="14"/>
  <c r="J16" i="14"/>
  <c r="D16" i="14"/>
  <c r="J15" i="14"/>
  <c r="D15" i="14"/>
  <c r="J14" i="14"/>
  <c r="D14" i="14"/>
  <c r="C14" i="14"/>
  <c r="W24" i="16"/>
  <c r="J24" i="16"/>
  <c r="H24" i="16"/>
  <c r="D24" i="16"/>
  <c r="W23" i="16"/>
  <c r="J23" i="16"/>
  <c r="H23" i="16"/>
  <c r="D23" i="16"/>
  <c r="W22" i="16"/>
  <c r="J22" i="16"/>
  <c r="H22" i="16"/>
  <c r="D22" i="16"/>
  <c r="C22" i="16"/>
  <c r="H19" i="16"/>
  <c r="D19" i="16"/>
  <c r="H18" i="16"/>
  <c r="D18" i="16"/>
  <c r="H17" i="16"/>
  <c r="D17" i="16"/>
  <c r="C17" i="16"/>
  <c r="W14" i="16"/>
  <c r="J14" i="16"/>
  <c r="H14" i="16"/>
  <c r="D14" i="16"/>
  <c r="W13" i="16"/>
  <c r="J13" i="16"/>
  <c r="H13" i="16"/>
  <c r="D13" i="16"/>
  <c r="W12" i="16"/>
  <c r="J12" i="16"/>
  <c r="H12" i="16"/>
  <c r="D12" i="16"/>
  <c r="C12" i="16"/>
  <c r="K19" i="15"/>
  <c r="E19" i="15"/>
  <c r="I19" i="15"/>
  <c r="H19" i="15"/>
  <c r="D19" i="15"/>
  <c r="C19" i="15"/>
  <c r="K16" i="15"/>
  <c r="E16" i="15"/>
  <c r="I16" i="15"/>
  <c r="H16" i="15"/>
  <c r="D16" i="15"/>
  <c r="C16" i="15"/>
  <c r="K13" i="15"/>
  <c r="E13" i="15"/>
  <c r="Q13" i="15"/>
  <c r="J13" i="15"/>
  <c r="I13" i="15"/>
  <c r="H13" i="15"/>
  <c r="D13" i="15"/>
  <c r="C13" i="15"/>
  <c r="J12" i="15"/>
  <c r="M12" i="15" s="1"/>
  <c r="K12" i="15"/>
  <c r="E12" i="15"/>
  <c r="I12" i="15"/>
  <c r="H12" i="15"/>
  <c r="D12" i="15"/>
  <c r="C12" i="15"/>
  <c r="D130" i="13"/>
  <c r="D129" i="13"/>
  <c r="C129" i="13"/>
  <c r="D126" i="13"/>
  <c r="D125" i="13"/>
  <c r="C125" i="13"/>
  <c r="D122" i="13"/>
  <c r="D121" i="13"/>
  <c r="D120" i="13"/>
  <c r="D119" i="13"/>
  <c r="C119" i="13"/>
  <c r="D116" i="13"/>
  <c r="D115" i="13"/>
  <c r="D114" i="13"/>
  <c r="D113" i="13"/>
  <c r="D112" i="13"/>
  <c r="C112" i="13"/>
  <c r="D109" i="13"/>
  <c r="D108" i="13"/>
  <c r="D107" i="13"/>
  <c r="D106" i="13"/>
  <c r="D105" i="13"/>
  <c r="C105" i="13"/>
  <c r="D102" i="13"/>
  <c r="D101" i="13"/>
  <c r="D100" i="13"/>
  <c r="D99" i="13"/>
  <c r="D98" i="13"/>
  <c r="C98" i="13"/>
  <c r="D95" i="13"/>
  <c r="D94" i="13"/>
  <c r="D93" i="13"/>
  <c r="D92" i="13"/>
  <c r="C92" i="13"/>
  <c r="D89" i="13"/>
  <c r="D88" i="13"/>
  <c r="D87" i="13"/>
  <c r="D86" i="13"/>
  <c r="C86" i="13"/>
  <c r="D83" i="13"/>
  <c r="D82" i="13"/>
  <c r="D81" i="13"/>
  <c r="C81" i="13"/>
  <c r="D78" i="13"/>
  <c r="D77" i="13"/>
  <c r="D76" i="13"/>
  <c r="C76" i="13"/>
  <c r="D73" i="13"/>
  <c r="D72" i="13"/>
  <c r="D71" i="13"/>
  <c r="D70" i="13"/>
  <c r="D69" i="13"/>
  <c r="C69" i="13"/>
  <c r="D66" i="13"/>
  <c r="D65" i="13"/>
  <c r="D64" i="13"/>
  <c r="D63" i="13"/>
  <c r="D62" i="13"/>
  <c r="C62" i="13"/>
  <c r="D59" i="13"/>
  <c r="D58" i="13"/>
  <c r="D57" i="13"/>
  <c r="C57" i="13"/>
  <c r="D54" i="13"/>
  <c r="D53" i="13"/>
  <c r="D52" i="13"/>
  <c r="C52" i="13"/>
  <c r="D49" i="13"/>
  <c r="D48" i="13"/>
  <c r="D47" i="13"/>
  <c r="D46" i="13"/>
  <c r="D45" i="13"/>
  <c r="D44" i="13"/>
  <c r="C44" i="13"/>
  <c r="D41" i="13"/>
  <c r="D40" i="13"/>
  <c r="D39" i="13"/>
  <c r="D38" i="13"/>
  <c r="C38" i="13"/>
  <c r="D35" i="13"/>
  <c r="D34" i="13"/>
  <c r="D33" i="13"/>
  <c r="D32" i="13"/>
  <c r="C32" i="13"/>
  <c r="D29" i="13"/>
  <c r="D28" i="13"/>
  <c r="C28" i="13"/>
  <c r="D25" i="13"/>
  <c r="D24" i="13"/>
  <c r="D23" i="13"/>
  <c r="D22" i="13"/>
  <c r="D21" i="13"/>
  <c r="C21" i="13"/>
  <c r="D18" i="13"/>
  <c r="D17" i="13"/>
  <c r="D16" i="13"/>
  <c r="D15" i="13"/>
  <c r="D14" i="13"/>
  <c r="D13" i="13"/>
  <c r="C13" i="13"/>
  <c r="S17" i="16" a="1"/>
  <c r="Z13" i="16" a="1"/>
  <c r="Y22" i="16" a="1"/>
  <c r="AA12" i="16" a="1"/>
  <c r="Y12" i="16" a="1"/>
  <c r="S22" i="16" a="1"/>
  <c r="AA12" i="16" l="1"/>
  <c r="Z13" i="16"/>
  <c r="Y12" i="16"/>
  <c r="S17" i="16"/>
  <c r="Y22" i="16"/>
  <c r="M15" i="15"/>
  <c r="S22" i="16"/>
  <c r="S23" i="16" a="1"/>
  <c r="S18" i="16" a="1"/>
  <c r="X22" i="16"/>
  <c r="S24" i="16" a="1"/>
  <c r="S18" i="16" l="1"/>
  <c r="S24" i="16"/>
  <c r="S23" i="16"/>
  <c r="X24" i="16"/>
  <c r="Y17" i="16" a="1"/>
  <c r="X23" i="16"/>
  <c r="S19" i="16" a="1"/>
  <c r="Z23" i="16" a="1"/>
  <c r="AA22" i="16" a="1"/>
  <c r="Z23" i="16" l="1"/>
  <c r="AA22" i="16"/>
  <c r="S19" i="16"/>
  <c r="Y17" i="16"/>
  <c r="AA17" i="16" a="1"/>
  <c r="Z18" i="16" a="1"/>
  <c r="AA17" i="16" l="1"/>
  <c r="Z18" i="16"/>
  <c r="M14" i="14"/>
  <c r="K11" i="14" s="1"/>
  <c r="M15" i="14"/>
  <c r="K12" i="14" s="1"/>
  <c r="M16" i="14"/>
  <c r="K13" i="14" s="1"/>
  <c r="M13" i="14" l="1"/>
  <c r="K19" i="14" s="1"/>
  <c r="F19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<sst xmlns="http://schemas.openxmlformats.org/spreadsheetml/2006/main" count="471" uniqueCount="246">
  <si>
    <t>ABSTRACT OF CLASS C LEVELLING</t>
  </si>
  <si>
    <t>From BM</t>
  </si>
  <si>
    <t xml:space="preserve">Total </t>
  </si>
  <si>
    <t>Difference in Elevation</t>
  </si>
  <si>
    <t>Adjustment</t>
  </si>
  <si>
    <t>Elevation Above AHD</t>
  </si>
  <si>
    <t>Distance</t>
  </si>
  <si>
    <t>Forward</t>
  </si>
  <si>
    <t>Backward</t>
  </si>
  <si>
    <t>Calibrated</t>
  </si>
  <si>
    <t>Remarks</t>
  </si>
  <si>
    <t>km</t>
  </si>
  <si>
    <t>To BM</t>
  </si>
  <si>
    <t>From</t>
  </si>
  <si>
    <t>Mean</t>
  </si>
  <si>
    <t>Closure</t>
  </si>
  <si>
    <t>Observed</t>
  </si>
  <si>
    <t>BM</t>
  </si>
  <si>
    <t>Adjusted</t>
  </si>
  <si>
    <t>C Const =</t>
  </si>
  <si>
    <t>COE =</t>
  </si>
  <si>
    <t>Temp</t>
  </si>
  <si>
    <t xml:space="preserve"> </t>
  </si>
  <si>
    <t>To RM</t>
  </si>
  <si>
    <t>Difference</t>
  </si>
  <si>
    <t>(Allow 0.010)</t>
  </si>
  <si>
    <t>Original Diff.</t>
  </si>
  <si>
    <t>SSM A</t>
  </si>
  <si>
    <t>SSM B</t>
  </si>
  <si>
    <t>SSM C</t>
  </si>
  <si>
    <t xml:space="preserve">SURVEYOR   </t>
  </si>
  <si>
    <t xml:space="preserve">Calculation File  GS </t>
  </si>
  <si>
    <t xml:space="preserve">Level Book No.  GS </t>
  </si>
  <si>
    <t xml:space="preserve">Job No.  </t>
  </si>
  <si>
    <t xml:space="preserve">Computer   </t>
  </si>
  <si>
    <t xml:space="preserve">Date of Survey   </t>
  </si>
  <si>
    <t xml:space="preserve">Staff No.   </t>
  </si>
  <si>
    <t xml:space="preserve">Inst. No.  </t>
  </si>
  <si>
    <t xml:space="preserve">Date   </t>
  </si>
  <si>
    <t>RL from RMs above</t>
  </si>
  <si>
    <t>CAL</t>
  </si>
  <si>
    <t>GS 33/1976/7</t>
  </si>
  <si>
    <t>GS 33/1976/30</t>
  </si>
  <si>
    <t>RM 7</t>
  </si>
  <si>
    <t>RM 6</t>
  </si>
  <si>
    <t>RM 5</t>
  </si>
  <si>
    <t>SSM 1</t>
  </si>
  <si>
    <t>SSM 1A</t>
  </si>
  <si>
    <t>SSM 1 moved horiz. Now SSM 1A</t>
  </si>
  <si>
    <t>RM 1</t>
  </si>
  <si>
    <t>RM 2</t>
  </si>
  <si>
    <t>RM 3</t>
  </si>
  <si>
    <t>New HD Adopted</t>
  </si>
  <si>
    <r>
      <t xml:space="preserve">RM </t>
    </r>
    <r>
      <rPr>
        <strike/>
        <sz val="10"/>
        <rFont val="Arial"/>
        <family val="2"/>
      </rPr>
      <t>3</t>
    </r>
    <r>
      <rPr>
        <sz val="10"/>
        <rFont val="Arial"/>
        <family val="2"/>
      </rPr>
      <t xml:space="preserve"> 4</t>
    </r>
  </si>
  <si>
    <t>RM Moved</t>
  </si>
  <si>
    <t>Allow</t>
  </si>
  <si>
    <r>
      <t>STP(</t>
    </r>
    <r>
      <rPr>
        <b/>
        <vertAlign val="superscript"/>
        <sz val="9"/>
        <rFont val="Times New Roman"/>
        <family val="1"/>
      </rPr>
      <t>o</t>
    </r>
    <r>
      <rPr>
        <b/>
        <sz val="9"/>
        <rFont val="Times New Roman"/>
        <family val="1"/>
      </rPr>
      <t>C) =</t>
    </r>
  </si>
  <si>
    <t>From Above</t>
  </si>
  <si>
    <t>SSM D</t>
  </si>
  <si>
    <t>SSM E</t>
  </si>
  <si>
    <t>GS xx/xxxx/xx</t>
  </si>
  <si>
    <t>SSM F</t>
  </si>
  <si>
    <t>Meas Dist</t>
  </si>
  <si>
    <t>Meas Az</t>
  </si>
  <si>
    <t>Orig Dist</t>
  </si>
  <si>
    <t>Orig Az</t>
  </si>
  <si>
    <t>Meas Dir</t>
  </si>
  <si>
    <t>Dist Diff(m)</t>
  </si>
  <si>
    <t>Az Diff(m)</t>
  </si>
  <si>
    <t>DBs</t>
  </si>
  <si>
    <t>0 0 0</t>
  </si>
  <si>
    <t>250 15 39</t>
  </si>
  <si>
    <t>350 21 23</t>
  </si>
  <si>
    <t>151 31 18</t>
  </si>
  <si>
    <t>164 19 12.48</t>
  </si>
  <si>
    <t>RO</t>
  </si>
  <si>
    <t>192 21 01</t>
  </si>
  <si>
    <t>94 16 27.61</t>
  </si>
  <si>
    <t>261 48 29</t>
  </si>
  <si>
    <t>116 11 8</t>
  </si>
  <si>
    <t>308 25 40</t>
  </si>
  <si>
    <t>12 19 3</t>
  </si>
  <si>
    <t>102 20 0</t>
  </si>
  <si>
    <t>192 21 0</t>
  </si>
  <si>
    <t>New SSM</t>
  </si>
  <si>
    <t>New RM (Dsp in Bit)(0.0 BGL)</t>
  </si>
  <si>
    <t>New RM (Sp in Conc)(0.3 BGL)</t>
  </si>
  <si>
    <t>(0.4 BGL)</t>
  </si>
  <si>
    <t>DesignPointID</t>
  </si>
  <si>
    <t>GPSSetup_ID</t>
  </si>
  <si>
    <t>networkType</t>
  </si>
  <si>
    <t>ipAddress</t>
  </si>
  <si>
    <t>port</t>
  </si>
  <si>
    <t>mountpoint</t>
  </si>
  <si>
    <t>GPSSetupID_12</t>
  </si>
  <si>
    <t>VRS</t>
  </si>
  <si>
    <t>server2020.rtknetwest.com</t>
  </si>
  <si>
    <t>VRS-RTCM3.2</t>
  </si>
  <si>
    <t>uniqueID</t>
  </si>
  <si>
    <t>lat</t>
  </si>
  <si>
    <t>lon</t>
  </si>
  <si>
    <t>hghthO</t>
  </si>
  <si>
    <t>CQ3D</t>
  </si>
  <si>
    <t>CQPos</t>
  </si>
  <si>
    <t>CQHeight</t>
  </si>
  <si>
    <t>Computer   K. Wheeler</t>
  </si>
  <si>
    <t>Date</t>
  </si>
  <si>
    <t>RO.</t>
  </si>
  <si>
    <t>355 15 16.06</t>
  </si>
  <si>
    <t>355 15 18.50</t>
  </si>
  <si>
    <t>302 52 16.16</t>
  </si>
  <si>
    <t>RM3</t>
  </si>
  <si>
    <t>229 47 13.04</t>
  </si>
  <si>
    <t>174 52 25.39</t>
  </si>
  <si>
    <t>251 04 07.37</t>
  </si>
  <si>
    <t>355 15 50.71</t>
  </si>
  <si>
    <t>302 53 10.99</t>
  </si>
  <si>
    <t>229 50 02.98</t>
  </si>
  <si>
    <t>174 52 58.56</t>
  </si>
  <si>
    <t>251 05 07.78</t>
  </si>
  <si>
    <t>228 43 44.10</t>
  </si>
  <si>
    <t>338 34 09.89</t>
  </si>
  <si>
    <t>.RO</t>
  </si>
  <si>
    <t>354 49 38.31</t>
  </si>
  <si>
    <t>324 49 15.42</t>
  </si>
  <si>
    <t>233 54 37.64</t>
  </si>
  <si>
    <t>149 57 12.25</t>
  </si>
  <si>
    <t>354 49 37.65</t>
  </si>
  <si>
    <t>149 58 24.95</t>
  </si>
  <si>
    <t>233 53 54.00</t>
  </si>
  <si>
    <t>324 48 03.26</t>
  </si>
  <si>
    <t>ROBBS</t>
  </si>
  <si>
    <t>286 27 21.62</t>
  </si>
  <si>
    <t>44 20 17.26</t>
  </si>
  <si>
    <t>148 00 26.66</t>
  </si>
  <si>
    <t>286 26 53.86</t>
  </si>
  <si>
    <t>44 19 19.40</t>
  </si>
  <si>
    <t>148 01 08.98</t>
  </si>
  <si>
    <t>173 38 27.71</t>
  </si>
  <si>
    <t>354 20 48.30</t>
  </si>
  <si>
    <t>80 52 30.51</t>
  </si>
  <si>
    <t>173 37 18.82</t>
  </si>
  <si>
    <t>354 22 23.77</t>
  </si>
  <si>
    <t>80 52 24.14</t>
  </si>
  <si>
    <t>351 01 02.96</t>
  </si>
  <si>
    <t>96 51 34.30</t>
  </si>
  <si>
    <t>172 49 25.62</t>
  </si>
  <si>
    <t>52 23 38.42</t>
  </si>
  <si>
    <t>4 49 28.41</t>
  </si>
  <si>
    <t>351 00 39.09</t>
  </si>
  <si>
    <t>96 49 51.96</t>
  </si>
  <si>
    <t>52 23 47.84</t>
  </si>
  <si>
    <t>172 53 38.01</t>
  </si>
  <si>
    <t>4 49 27.65</t>
  </si>
  <si>
    <t>99 10 02.10</t>
  </si>
  <si>
    <t>279 14 23.74</t>
  </si>
  <si>
    <t>7 21 08.79</t>
  </si>
  <si>
    <t>99 08 28.88</t>
  </si>
  <si>
    <t>279 14 14.04</t>
  </si>
  <si>
    <t>7 20 12.12</t>
  </si>
  <si>
    <t>356 46 23.29</t>
  </si>
  <si>
    <t>205 24 46.43</t>
  </si>
  <si>
    <t>25 33 41.79</t>
  </si>
  <si>
    <t>299 42 19.63</t>
  </si>
  <si>
    <t>356 46 19.07</t>
  </si>
  <si>
    <t>205 24 30.58</t>
  </si>
  <si>
    <t>25 30 56.00</t>
  </si>
  <si>
    <t>299 41 26.28</t>
  </si>
  <si>
    <t>0 27 31.45</t>
  </si>
  <si>
    <t>103 57 02.63</t>
  </si>
  <si>
    <t>41 20 06.03</t>
  </si>
  <si>
    <t>103 43 03.58</t>
  </si>
  <si>
    <t>188 13 13.59</t>
  </si>
  <si>
    <t>0 26 57.25</t>
  </si>
  <si>
    <t>103 58 46.00</t>
  </si>
  <si>
    <t>41 18 14.02</t>
  </si>
  <si>
    <t>103 43 20.12</t>
  </si>
  <si>
    <t>188 14 00.81</t>
  </si>
  <si>
    <t>0 52 06.83</t>
  </si>
  <si>
    <t>117 41 33.97</t>
  </si>
  <si>
    <t>297 48 49.30</t>
  </si>
  <si>
    <t>243 26 20.31</t>
  </si>
  <si>
    <t>0 52 10.00</t>
  </si>
  <si>
    <t>117 43 24.53</t>
  </si>
  <si>
    <t>297 48 57.93</t>
  </si>
  <si>
    <t>243 26 10.73</t>
  </si>
  <si>
    <t>307 01 38.75</t>
  </si>
  <si>
    <t>285 55 14.67</t>
  </si>
  <si>
    <t>286 06 07.45</t>
  </si>
  <si>
    <t>209 00 09.83</t>
  </si>
  <si>
    <t>COO 40</t>
  </si>
  <si>
    <t>RM 4</t>
  </si>
  <si>
    <t>COO 40.</t>
  </si>
  <si>
    <t>JAN 109</t>
  </si>
  <si>
    <t>JAN 108</t>
  </si>
  <si>
    <t>JAN 110.</t>
  </si>
  <si>
    <t>JAN 110</t>
  </si>
  <si>
    <t>.RM 1</t>
  </si>
  <si>
    <t>.RM 3</t>
  </si>
  <si>
    <t>.RM 4</t>
  </si>
  <si>
    <t>JAN 110..</t>
  </si>
  <si>
    <t>ROBSS A.RM 1</t>
  </si>
  <si>
    <t>ROBSS A.RM 2</t>
  </si>
  <si>
    <t>ROBSS A.RM 3</t>
  </si>
  <si>
    <t>ROBSS A..RM 1</t>
  </si>
  <si>
    <t>ROBSS A..RM 2</t>
  </si>
  <si>
    <t>ROBSS A..RM 3</t>
  </si>
  <si>
    <t>ROSS 252.</t>
  </si>
  <si>
    <t>ROSS 252..</t>
  </si>
  <si>
    <t>ROSS 97B</t>
  </si>
  <si>
    <t>.RM 8</t>
  </si>
  <si>
    <t>.RM 9</t>
  </si>
  <si>
    <t>.RM 5</t>
  </si>
  <si>
    <t>RM 10</t>
  </si>
  <si>
    <t>ROSS 97B..</t>
  </si>
  <si>
    <t>ROSS 97B.RM 8.</t>
  </si>
  <si>
    <t>ROSS 97B.RM 9.</t>
  </si>
  <si>
    <t>ROSS 97B.RM 10.</t>
  </si>
  <si>
    <t>ROSS 97B.RM 5.</t>
  </si>
  <si>
    <t>SPW 11</t>
  </si>
  <si>
    <t>.RM 2</t>
  </si>
  <si>
    <t>SPW 11..</t>
  </si>
  <si>
    <t>SPW 13.</t>
  </si>
  <si>
    <t>SPW 13..</t>
  </si>
  <si>
    <t>SPW 20A</t>
  </si>
  <si>
    <t>.RM 10</t>
  </si>
  <si>
    <t>.RM 7</t>
  </si>
  <si>
    <t>SPW 20A..</t>
  </si>
  <si>
    <t>RM 8</t>
  </si>
  <si>
    <t>SPW 9.</t>
  </si>
  <si>
    <t>SPW 9..</t>
  </si>
  <si>
    <t>SPW 91A</t>
  </si>
  <si>
    <t>SPW 91A.</t>
  </si>
  <si>
    <t>ABSTRACT OF HexagonLandXML</t>
  </si>
  <si>
    <t>Coordinate System</t>
  </si>
  <si>
    <t>name</t>
  </si>
  <si>
    <t>ellipsoidName</t>
  </si>
  <si>
    <t>projectedCoordinateSystemName</t>
  </si>
  <si>
    <t>MGA20_50</t>
  </si>
  <si>
    <t>GRS1980</t>
  </si>
  <si>
    <t>UTM 50</t>
  </si>
  <si>
    <t>Code - Description</t>
  </si>
  <si>
    <t>Name</t>
  </si>
  <si>
    <t>SphDist Diff</t>
  </si>
  <si>
    <t>Vt Diff</t>
  </si>
  <si>
    <t>GESMAR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</si>
</sst>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"/>
    <numFmt numFmtId="167" formatCode="0.00000000"/>
  </numFmts>
  <fonts count="34">
    <font>
      <sz val="10"/>
      <name val="Arial"/>
    </font>
    <font>
      <sz val="10"/>
      <name val="Arial"/>
      <family val="2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8"/>
      <name val="Times New Roman"/>
      <family val="1"/>
    </font>
    <font>
      <sz val="10"/>
      <color indexed="8"/>
      <name val="Times New Roman"/>
      <family val="1"/>
    </font>
    <font>
      <sz val="8.5"/>
      <name val="Times New Roman"/>
      <family val="1"/>
    </font>
    <font>
      <sz val="8.5"/>
      <color indexed="8"/>
      <name val="Times New Roman"/>
      <family val="1"/>
    </font>
    <font>
      <sz val="8.5"/>
      <name val="MS Dialog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2"/>
      <name val="Arial"/>
      <family val="2"/>
    </font>
    <font>
      <sz val="10"/>
      <color indexed="17"/>
      <name val="Arial"/>
      <family val="2"/>
    </font>
    <font>
      <sz val="9"/>
      <color indexed="17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vertAlign val="superscript"/>
      <sz val="9"/>
      <name val="Times New Roman"/>
      <family val="1"/>
    </font>
    <font>
      <sz val="8"/>
      <name val="Times New Roman"/>
      <family val="1"/>
    </font>
    <font>
      <sz val="8"/>
      <name val="MS Dialog"/>
      <family val="2"/>
    </font>
    <font>
      <strike/>
      <sz val="8.5"/>
      <name val="Times New Roman"/>
      <family val="1"/>
    </font>
    <font>
      <b/>
      <sz val="10"/>
      <color indexed="10"/>
      <name val="Arial"/>
      <family val="2"/>
    </font>
    <font>
      <sz val="10"/>
      <color indexed="61"/>
      <name val="Arial"/>
      <family val="2"/>
    </font>
    <font>
      <sz val="10"/>
      <color indexed="10"/>
      <name val="Arial"/>
      <family val="2"/>
    </font>
    <font>
      <b/>
      <sz val="8"/>
      <color rgb="FFFF0000"/>
      <name val="Arial"/>
      <family val="2"/>
    </font>
    <font>
      <b/>
      <sz val="8"/>
      <name val="Arial"/>
      <family val="2"/>
    </font>
    <font>
      <b/>
      <strike/>
      <sz val="10"/>
      <color indexed="10"/>
      <name val="Arial"/>
      <family val="2"/>
    </font>
    <font>
      <strike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b/>
      <sz val="10"/>
      <color rgb="FFFF0000"/>
      <name val="Arial"/>
      <family val="2"/>
    </font>
    <font>
      <b/>
      <sz val="8.5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4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auto="1"/>
      </bottom>
      <diagonal/>
    </border>
  </borders>
  <cellStyleXfs count="3">
    <xf numFmtId="0" fontId="0" fillId="0" borderId="0" applyBorder="0"/>
    <xf numFmtId="0" fontId="1" fillId="0" borderId="0" applyBorder="0"/>
    <xf numFmtId="0" fontId="31" fillId="2" borderId="0" applyNumberFormat="0" applyBorder="0" applyAlignment="0" applyProtection="0"/>
  </cellStyleXfs>
  <cellXfs count="220">
    <xf numFmtId="0" fontId="0" fillId="0" borderId="0" xfId="0"/>
    <xf numFmtId="0" fontId="2" fillId="0" borderId="0" xfId="1" applyFont="1" applyAlignment="1">
      <alignment horizontal="left"/>
    </xf>
    <xf numFmtId="0" fontId="3" fillId="0" borderId="0" xfId="1" applyFont="1" applyAlignment="1">
      <alignment horizontal="left"/>
    </xf>
    <xf numFmtId="0" fontId="4" fillId="0" borderId="0" xfId="1" applyFont="1" applyAlignment="1">
      <alignment horizontal="left"/>
    </xf>
    <xf numFmtId="164" fontId="3" fillId="0" borderId="0" xfId="1" applyNumberFormat="1" applyFont="1" applyAlignment="1">
      <alignment horizontal="left"/>
    </xf>
    <xf numFmtId="0" fontId="5" fillId="0" borderId="0" xfId="1" applyFont="1" applyAlignment="1">
      <alignment horizontal="left"/>
    </xf>
    <xf numFmtId="0" fontId="1" fillId="0" borderId="0" xfId="1" applyAlignment="1">
      <alignment horizontal="left"/>
    </xf>
    <xf numFmtId="164" fontId="17" fillId="0" borderId="0" xfId="1" applyNumberFormat="1" applyFont="1" applyAlignment="1">
      <alignment horizontal="left"/>
    </xf>
    <xf numFmtId="0" fontId="6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164" fontId="6" fillId="0" borderId="0" xfId="1" applyNumberFormat="1" applyFont="1" applyAlignment="1">
      <alignment horizontal="left"/>
    </xf>
    <xf numFmtId="164" fontId="5" fillId="0" borderId="0" xfId="1" applyNumberFormat="1" applyFont="1" applyAlignment="1">
      <alignment horizontal="left"/>
    </xf>
    <xf numFmtId="0" fontId="8" fillId="0" borderId="0" xfId="1" applyFont="1" applyAlignment="1">
      <alignment horizontal="left"/>
    </xf>
    <xf numFmtId="0" fontId="6" fillId="0" borderId="0" xfId="1" applyFont="1" applyAlignment="1">
      <alignment horizontal="right"/>
    </xf>
    <xf numFmtId="165" fontId="6" fillId="0" borderId="0" xfId="1" applyNumberFormat="1" applyFont="1" applyAlignment="1">
      <alignment horizontal="left"/>
    </xf>
    <xf numFmtId="0" fontId="6" fillId="0" borderId="0" xfId="1" applyFont="1"/>
    <xf numFmtId="0" fontId="3" fillId="0" borderId="4" xfId="1" applyFont="1" applyBorder="1" applyAlignment="1">
      <alignment horizontal="left"/>
    </xf>
    <xf numFmtId="0" fontId="4" fillId="0" borderId="4" xfId="1" applyFont="1" applyBorder="1" applyAlignment="1">
      <alignment horizontal="left"/>
    </xf>
    <xf numFmtId="166" fontId="3" fillId="0" borderId="4" xfId="1" applyNumberFormat="1" applyFont="1" applyBorder="1" applyAlignment="1">
      <alignment horizontal="left"/>
    </xf>
    <xf numFmtId="166" fontId="2" fillId="0" borderId="4" xfId="1" applyNumberFormat="1" applyFont="1" applyBorder="1" applyAlignment="1">
      <alignment horizontal="right"/>
    </xf>
    <xf numFmtId="165" fontId="6" fillId="0" borderId="4" xfId="1" applyNumberFormat="1" applyFont="1" applyBorder="1" applyAlignment="1">
      <alignment horizontal="left"/>
    </xf>
    <xf numFmtId="0" fontId="2" fillId="0" borderId="4" xfId="1" applyFont="1" applyBorder="1" applyAlignment="1">
      <alignment horizontal="right"/>
    </xf>
    <xf numFmtId="0" fontId="2" fillId="0" borderId="4" xfId="1" applyFont="1" applyBorder="1" applyAlignment="1">
      <alignment horizontal="left"/>
    </xf>
    <xf numFmtId="0" fontId="9" fillId="0" borderId="5" xfId="1" applyFont="1" applyBorder="1" applyAlignment="1">
      <alignment horizontal="center"/>
    </xf>
    <xf numFmtId="0" fontId="10" fillId="0" borderId="6" xfId="1" applyFont="1" applyBorder="1" applyAlignment="1">
      <alignment horizontal="center"/>
    </xf>
    <xf numFmtId="0" fontId="11" fillId="0" borderId="0" xfId="1" applyFont="1" applyAlignment="1">
      <alignment horizontal="center"/>
    </xf>
    <xf numFmtId="166" fontId="9" fillId="0" borderId="3" xfId="1" applyNumberFormat="1" applyFont="1" applyBorder="1" applyAlignment="1">
      <alignment horizontal="centerContinuous"/>
    </xf>
    <xf numFmtId="166" fontId="9" fillId="0" borderId="7" xfId="1" applyNumberFormat="1" applyFont="1" applyBorder="1" applyAlignment="1">
      <alignment horizontal="centerContinuous"/>
    </xf>
    <xf numFmtId="166" fontId="9" fillId="0" borderId="8" xfId="1" applyNumberFormat="1" applyFont="1" applyBorder="1" applyAlignment="1">
      <alignment horizontal="centerContinuous"/>
    </xf>
    <xf numFmtId="166" fontId="5" fillId="0" borderId="9" xfId="1" applyNumberFormat="1" applyFont="1" applyBorder="1" applyAlignment="1">
      <alignment horizontal="centerContinuous"/>
    </xf>
    <xf numFmtId="0" fontId="9" fillId="0" borderId="3" xfId="1" applyFont="1" applyBorder="1" applyAlignment="1">
      <alignment horizontal="center"/>
    </xf>
    <xf numFmtId="0" fontId="9" fillId="0" borderId="3" xfId="1" applyFont="1" applyBorder="1" applyAlignment="1">
      <alignment horizontal="centerContinuous"/>
    </xf>
    <xf numFmtId="0" fontId="9" fillId="0" borderId="7" xfId="1" applyFont="1" applyBorder="1" applyAlignment="1">
      <alignment horizontal="centerContinuous"/>
    </xf>
    <xf numFmtId="0" fontId="9" fillId="0" borderId="9" xfId="1" applyFont="1" applyBorder="1" applyAlignment="1">
      <alignment horizontal="centerContinuous"/>
    </xf>
    <xf numFmtId="0" fontId="9" fillId="0" borderId="10" xfId="1" applyFont="1" applyBorder="1" applyAlignment="1">
      <alignment horizontal="center"/>
    </xf>
    <xf numFmtId="164" fontId="20" fillId="0" borderId="11" xfId="1" applyNumberFormat="1" applyFont="1" applyBorder="1" applyAlignment="1">
      <alignment horizontal="center"/>
    </xf>
    <xf numFmtId="0" fontId="9" fillId="0" borderId="12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166" fontId="9" fillId="0" borderId="15" xfId="1" applyNumberFormat="1" applyFont="1" applyBorder="1" applyAlignment="1">
      <alignment horizontal="center" vertical="center"/>
    </xf>
    <xf numFmtId="166" fontId="9" fillId="0" borderId="1" xfId="1" applyNumberFormat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164" fontId="2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9" fillId="0" borderId="16" xfId="1" applyFont="1" applyBorder="1" applyAlignment="1">
      <alignment horizontal="center" vertical="center"/>
    </xf>
    <xf numFmtId="0" fontId="9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166" fontId="9" fillId="0" borderId="16" xfId="1" applyNumberFormat="1" applyFont="1" applyBorder="1" applyAlignment="1">
      <alignment horizontal="center" vertical="center"/>
    </xf>
    <xf numFmtId="0" fontId="22" fillId="0" borderId="16" xfId="1" applyFont="1" applyBorder="1" applyAlignment="1">
      <alignment horizontal="center" vertical="center"/>
    </xf>
    <xf numFmtId="0" fontId="1" fillId="0" borderId="0" xfId="1" applyAlignment="1">
      <alignment horizontal="center" vertical="center"/>
    </xf>
    <xf numFmtId="164" fontId="21" fillId="0" borderId="19" xfId="1" applyNumberFormat="1" applyFont="1" applyBorder="1" applyAlignment="1">
      <alignment horizontal="center" vertical="center"/>
    </xf>
    <xf numFmtId="0" fontId="1" fillId="0" borderId="20" xfId="1" applyBorder="1" applyAlignment="1">
      <alignment horizontal="center"/>
    </xf>
    <xf numFmtId="2" fontId="1" fillId="0" borderId="21" xfId="1" applyNumberFormat="1" applyBorder="1" applyAlignment="1">
      <alignment horizontal="center"/>
    </xf>
    <xf numFmtId="0" fontId="12" fillId="0" borderId="20" xfId="1" applyFont="1" applyBorder="1" applyAlignment="1">
      <alignment horizontal="right"/>
    </xf>
    <xf numFmtId="0" fontId="1" fillId="0" borderId="1" xfId="1" applyBorder="1" applyAlignment="1">
      <alignment horizontal="center"/>
    </xf>
    <xf numFmtId="164" fontId="1" fillId="0" borderId="1" xfId="1" applyNumberFormat="1" applyBorder="1" applyAlignment="1">
      <alignment horizontal="center"/>
    </xf>
    <xf numFmtId="164" fontId="23" fillId="0" borderId="1" xfId="1" applyNumberFormat="1" applyFont="1" applyBorder="1" applyAlignment="1">
      <alignment horizontal="center"/>
    </xf>
    <xf numFmtId="0" fontId="17" fillId="0" borderId="21" xfId="1" applyFont="1" applyBorder="1" applyAlignment="1">
      <alignment horizontal="left"/>
    </xf>
    <xf numFmtId="0" fontId="17" fillId="0" borderId="0" xfId="1" applyFont="1" applyAlignment="1">
      <alignment horizontal="left"/>
    </xf>
    <xf numFmtId="164" fontId="17" fillId="0" borderId="22" xfId="1" applyNumberFormat="1" applyFon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2" fontId="1" fillId="0" borderId="21" xfId="1" applyNumberFormat="1" applyBorder="1" applyAlignment="1">
      <alignment horizontal="left"/>
    </xf>
    <xf numFmtId="164" fontId="1" fillId="0" borderId="20" xfId="1" applyNumberFormat="1" applyBorder="1" applyAlignment="1">
      <alignment horizontal="right"/>
    </xf>
    <xf numFmtId="0" fontId="17" fillId="0" borderId="21" xfId="1" applyFont="1" applyBorder="1" applyAlignment="1">
      <alignment horizontal="right"/>
    </xf>
    <xf numFmtId="164" fontId="17" fillId="0" borderId="22" xfId="1" applyNumberFormat="1" applyFont="1" applyBorder="1" applyAlignment="1">
      <alignment horizontal="right"/>
    </xf>
    <xf numFmtId="0" fontId="1" fillId="0" borderId="23" xfId="1" applyBorder="1" applyAlignment="1">
      <alignment horizontal="center"/>
    </xf>
    <xf numFmtId="0" fontId="1" fillId="0" borderId="2" xfId="1" applyBorder="1" applyAlignment="1">
      <alignment horizontal="left"/>
    </xf>
    <xf numFmtId="0" fontId="1" fillId="0" borderId="24" xfId="1" applyBorder="1" applyAlignment="1">
      <alignment horizontal="left"/>
    </xf>
    <xf numFmtId="0" fontId="12" fillId="0" borderId="23" xfId="1" applyFont="1" applyBorder="1" applyAlignment="1">
      <alignment horizontal="left"/>
    </xf>
    <xf numFmtId="164" fontId="1" fillId="0" borderId="2" xfId="1" applyNumberFormat="1" applyBorder="1" applyAlignment="1">
      <alignment horizontal="center"/>
    </xf>
    <xf numFmtId="0" fontId="17" fillId="0" borderId="24" xfId="1" applyFont="1" applyBorder="1" applyAlignment="1">
      <alignment horizontal="left"/>
    </xf>
    <xf numFmtId="0" fontId="17" fillId="0" borderId="4" xfId="1" applyFont="1" applyBorder="1" applyAlignment="1">
      <alignment horizontal="left"/>
    </xf>
    <xf numFmtId="164" fontId="17" fillId="0" borderId="25" xfId="1" applyNumberFormat="1" applyFont="1" applyBorder="1" applyAlignment="1">
      <alignment horizontal="center"/>
    </xf>
    <xf numFmtId="2" fontId="1" fillId="0" borderId="0" xfId="1" applyNumberFormat="1" applyAlignment="1">
      <alignment horizontal="left"/>
    </xf>
    <xf numFmtId="0" fontId="12" fillId="0" borderId="0" xfId="1" applyFont="1" applyAlignment="1">
      <alignment horizontal="left"/>
    </xf>
    <xf numFmtId="166" fontId="1" fillId="0" borderId="0" xfId="1" applyNumberFormat="1" applyAlignment="1">
      <alignment horizontal="left"/>
    </xf>
    <xf numFmtId="164" fontId="1" fillId="0" borderId="0" xfId="1" applyNumberFormat="1" applyAlignment="1">
      <alignment horizontal="left"/>
    </xf>
    <xf numFmtId="20" fontId="15" fillId="0" borderId="0" xfId="1" applyNumberFormat="1" applyFont="1" applyAlignment="1">
      <alignment horizontal="left"/>
    </xf>
    <xf numFmtId="164" fontId="15" fillId="0" borderId="0" xfId="1" applyNumberFormat="1" applyFont="1" applyAlignment="1">
      <alignment horizontal="left"/>
    </xf>
    <xf numFmtId="0" fontId="13" fillId="0" borderId="0" xfId="1" applyFont="1" applyAlignment="1">
      <alignment horizontal="left"/>
    </xf>
    <xf numFmtId="20" fontId="12" fillId="0" borderId="0" xfId="1" applyNumberFormat="1" applyFont="1" applyAlignment="1">
      <alignment horizontal="left"/>
    </xf>
    <xf numFmtId="20" fontId="1" fillId="0" borderId="0" xfId="1" applyNumberFormat="1" applyAlignment="1">
      <alignment horizontal="left"/>
    </xf>
    <xf numFmtId="166" fontId="1" fillId="0" borderId="0" xfId="1" quotePrefix="1" applyNumberFormat="1" applyAlignment="1">
      <alignment horizontal="left"/>
    </xf>
    <xf numFmtId="0" fontId="16" fillId="0" borderId="0" xfId="1" applyFont="1" applyAlignment="1">
      <alignment horizontal="left"/>
    </xf>
    <xf numFmtId="2" fontId="13" fillId="0" borderId="0" xfId="1" applyNumberFormat="1" applyFont="1" applyAlignment="1">
      <alignment horizontal="left"/>
    </xf>
    <xf numFmtId="2" fontId="14" fillId="0" borderId="0" xfId="1" applyNumberFormat="1" applyFont="1" applyAlignment="1">
      <alignment horizontal="left"/>
    </xf>
    <xf numFmtId="166" fontId="13" fillId="0" borderId="0" xfId="1" applyNumberFormat="1" applyFont="1" applyAlignment="1">
      <alignment horizontal="left"/>
    </xf>
    <xf numFmtId="164" fontId="13" fillId="0" borderId="0" xfId="1" applyNumberFormat="1" applyFont="1" applyAlignment="1">
      <alignment horizontal="left"/>
    </xf>
    <xf numFmtId="0" fontId="9" fillId="0" borderId="26" xfId="1" applyFont="1" applyBorder="1" applyAlignment="1">
      <alignment horizontal="center"/>
    </xf>
    <xf numFmtId="0" fontId="9" fillId="0" borderId="15" xfId="1" applyFont="1" applyBorder="1" applyAlignment="1">
      <alignment horizontal="center" vertical="justify"/>
    </xf>
    <xf numFmtId="0" fontId="10" fillId="0" borderId="13" xfId="1" applyFont="1" applyBorder="1" applyAlignment="1">
      <alignment horizontal="centerContinuous"/>
    </xf>
    <xf numFmtId="0" fontId="11" fillId="0" borderId="27" xfId="1" applyFont="1" applyBorder="1"/>
    <xf numFmtId="0" fontId="9" fillId="0" borderId="12" xfId="1" applyFont="1" applyBorder="1" applyAlignment="1">
      <alignment horizontal="center"/>
    </xf>
    <xf numFmtId="164" fontId="9" fillId="0" borderId="15" xfId="1" applyNumberFormat="1" applyFont="1" applyBorder="1" applyAlignment="1">
      <alignment horizontal="centerContinuous"/>
    </xf>
    <xf numFmtId="0" fontId="9" fillId="0" borderId="10" xfId="1" applyFont="1" applyBorder="1" applyAlignment="1">
      <alignment horizontal="centerContinuous"/>
    </xf>
    <xf numFmtId="0" fontId="9" fillId="0" borderId="28" xfId="1" applyFont="1" applyBorder="1" applyAlignment="1">
      <alignment horizontal="centerContinuous"/>
    </xf>
    <xf numFmtId="0" fontId="5" fillId="0" borderId="26" xfId="1" applyFont="1" applyBorder="1" applyAlignment="1">
      <alignment horizontal="centerContinuous"/>
    </xf>
    <xf numFmtId="0" fontId="22" fillId="0" borderId="15" xfId="1" applyFont="1" applyBorder="1" applyAlignment="1">
      <alignment horizontal="center"/>
    </xf>
    <xf numFmtId="0" fontId="9" fillId="0" borderId="15" xfId="1" applyFont="1" applyBorder="1" applyAlignment="1">
      <alignment horizontal="centerContinuous"/>
    </xf>
    <xf numFmtId="0" fontId="9" fillId="0" borderId="10" xfId="1" applyFont="1" applyBorder="1"/>
    <xf numFmtId="0" fontId="11" fillId="0" borderId="0" xfId="1" applyFont="1"/>
    <xf numFmtId="0" fontId="9" fillId="0" borderId="14" xfId="1" applyFont="1" applyBorder="1" applyAlignment="1">
      <alignment horizontal="center" vertical="center" textRotation="180" wrapText="1"/>
    </xf>
    <xf numFmtId="0" fontId="10" fillId="0" borderId="13" xfId="1" applyFont="1" applyBorder="1" applyAlignment="1">
      <alignment horizontal="centerContinuous" vertical="center"/>
    </xf>
    <xf numFmtId="0" fontId="10" fillId="0" borderId="14" xfId="1" applyFont="1" applyBorder="1" applyAlignment="1">
      <alignment horizontal="centerContinuous" vertical="center"/>
    </xf>
    <xf numFmtId="164" fontId="9" fillId="0" borderId="15" xfId="1" applyNumberFormat="1" applyFont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1" fillId="0" borderId="0" xfId="1" applyFont="1" applyAlignment="1">
      <alignment vertical="center"/>
    </xf>
    <xf numFmtId="0" fontId="9" fillId="0" borderId="14" xfId="1" applyFont="1" applyBorder="1" applyAlignment="1">
      <alignment horizontal="center" vertical="center"/>
    </xf>
    <xf numFmtId="0" fontId="9" fillId="0" borderId="13" xfId="1" applyFont="1" applyBorder="1" applyAlignment="1">
      <alignment horizontal="left" vertical="center"/>
    </xf>
    <xf numFmtId="0" fontId="10" fillId="0" borderId="18" xfId="1" applyFont="1" applyBorder="1" applyAlignment="1">
      <alignment horizontal="centerContinuous" vertical="center"/>
    </xf>
    <xf numFmtId="0" fontId="9" fillId="0" borderId="0" xfId="1" applyFont="1" applyAlignment="1">
      <alignment horizontal="center" vertical="center"/>
    </xf>
    <xf numFmtId="164" fontId="9" fillId="0" borderId="12" xfId="1" applyNumberFormat="1" applyFont="1" applyBorder="1" applyAlignment="1">
      <alignment horizontal="center" vertical="center"/>
    </xf>
    <xf numFmtId="0" fontId="1" fillId="0" borderId="0" xfId="1" applyAlignment="1">
      <alignment vertical="center"/>
    </xf>
    <xf numFmtId="2" fontId="1" fillId="0" borderId="1" xfId="1" applyNumberFormat="1" applyBorder="1"/>
    <xf numFmtId="164" fontId="1" fillId="0" borderId="1" xfId="1" applyNumberFormat="1" applyBorder="1"/>
    <xf numFmtId="164" fontId="18" fillId="0" borderId="1" xfId="1" applyNumberFormat="1" applyFont="1" applyBorder="1"/>
    <xf numFmtId="0" fontId="17" fillId="0" borderId="22" xfId="1" applyFont="1" applyBorder="1" applyAlignment="1">
      <alignment horizontal="left"/>
    </xf>
    <xf numFmtId="0" fontId="1" fillId="0" borderId="0" xfId="1"/>
    <xf numFmtId="164" fontId="1" fillId="0" borderId="1" xfId="1" quotePrefix="1" applyNumberFormat="1" applyBorder="1" applyAlignment="1">
      <alignment horizontal="center"/>
    </xf>
    <xf numFmtId="2" fontId="1" fillId="0" borderId="2" xfId="1" applyNumberFormat="1" applyBorder="1" applyAlignment="1">
      <alignment horizontal="center"/>
    </xf>
    <xf numFmtId="2" fontId="24" fillId="0" borderId="24" xfId="1" applyNumberFormat="1" applyFont="1" applyBorder="1" applyAlignment="1">
      <alignment horizontal="left"/>
    </xf>
    <xf numFmtId="164" fontId="1" fillId="0" borderId="23" xfId="1" applyNumberFormat="1" applyBorder="1" applyAlignment="1">
      <alignment horizontal="right"/>
    </xf>
    <xf numFmtId="164" fontId="23" fillId="0" borderId="2" xfId="1" applyNumberFormat="1" applyFont="1" applyBorder="1" applyAlignment="1">
      <alignment horizontal="center"/>
    </xf>
    <xf numFmtId="164" fontId="1" fillId="0" borderId="2" xfId="1" applyNumberFormat="1" applyBorder="1"/>
    <xf numFmtId="164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12" fillId="0" borderId="0" xfId="1" applyFont="1" applyAlignment="1">
      <alignment horizontal="right"/>
    </xf>
    <xf numFmtId="0" fontId="5" fillId="0" borderId="0" xfId="1" applyFont="1"/>
    <xf numFmtId="0" fontId="1" fillId="0" borderId="0" xfId="1" applyAlignment="1">
      <alignment horizontal="right"/>
    </xf>
    <xf numFmtId="164" fontId="1" fillId="0" borderId="0" xfId="1" applyNumberFormat="1"/>
    <xf numFmtId="2" fontId="1" fillId="0" borderId="0" xfId="1" applyNumberFormat="1" applyAlignment="1">
      <alignment horizontal="center"/>
    </xf>
    <xf numFmtId="2" fontId="1" fillId="0" borderId="0" xfId="1" applyNumberFormat="1"/>
    <xf numFmtId="0" fontId="17" fillId="0" borderId="24" xfId="1" applyFont="1" applyBorder="1" applyAlignment="1">
      <alignment horizontal="center"/>
    </xf>
    <xf numFmtId="0" fontId="27" fillId="0" borderId="21" xfId="1" applyFont="1" applyBorder="1" applyAlignment="1">
      <alignment horizontal="left"/>
    </xf>
    <xf numFmtId="0" fontId="1" fillId="0" borderId="20" xfId="1" applyBorder="1" applyAlignment="1">
      <alignment horizontal="left"/>
    </xf>
    <xf numFmtId="164" fontId="1" fillId="0" borderId="22" xfId="1" applyNumberFormat="1" applyBorder="1" applyAlignment="1">
      <alignment horizontal="center"/>
    </xf>
    <xf numFmtId="164" fontId="1" fillId="0" borderId="1" xfId="1" applyNumberFormat="1" applyBorder="1" applyAlignment="1">
      <alignment horizontal="center" vertical="center"/>
    </xf>
    <xf numFmtId="164" fontId="28" fillId="0" borderId="1" xfId="1" applyNumberFormat="1" applyFont="1" applyBorder="1" applyAlignment="1">
      <alignment horizontal="center"/>
    </xf>
    <xf numFmtId="164" fontId="29" fillId="0" borderId="1" xfId="1" applyNumberFormat="1" applyFont="1" applyBorder="1" applyAlignment="1">
      <alignment horizontal="center"/>
    </xf>
    <xf numFmtId="14" fontId="1" fillId="0" borderId="0" xfId="1" applyNumberFormat="1" applyAlignment="1">
      <alignment horizontal="center"/>
    </xf>
    <xf numFmtId="0" fontId="1" fillId="0" borderId="20" xfId="1" applyBorder="1" applyAlignment="1">
      <alignment horizontal="right"/>
    </xf>
    <xf numFmtId="164" fontId="1" fillId="0" borderId="1" xfId="1" applyNumberFormat="1" applyBorder="1" applyAlignment="1">
      <alignment horizontal="right"/>
    </xf>
    <xf numFmtId="164" fontId="25" fillId="0" borderId="1" xfId="1" applyNumberFormat="1" applyFont="1" applyBorder="1" applyAlignment="1">
      <alignment horizontal="center"/>
    </xf>
    <xf numFmtId="2" fontId="24" fillId="0" borderId="1" xfId="1" applyNumberFormat="1" applyFont="1" applyBorder="1" applyAlignment="1">
      <alignment horizontal="center"/>
    </xf>
    <xf numFmtId="164" fontId="17" fillId="0" borderId="21" xfId="1" applyNumberFormat="1" applyFont="1" applyBorder="1" applyAlignment="1">
      <alignment horizontal="left"/>
    </xf>
    <xf numFmtId="2" fontId="24" fillId="0" borderId="21" xfId="1" applyNumberFormat="1" applyFont="1" applyBorder="1" applyAlignment="1">
      <alignment horizontal="left"/>
    </xf>
    <xf numFmtId="164" fontId="24" fillId="0" borderId="1" xfId="1" applyNumberFormat="1" applyFont="1" applyBorder="1"/>
    <xf numFmtId="0" fontId="1" fillId="0" borderId="1" xfId="1" applyBorder="1"/>
    <xf numFmtId="0" fontId="24" fillId="0" borderId="20" xfId="1" applyFont="1" applyBorder="1" applyAlignment="1">
      <alignment horizontal="center"/>
    </xf>
    <xf numFmtId="164" fontId="31" fillId="2" borderId="1" xfId="2" applyNumberFormat="1" applyBorder="1" applyAlignment="1">
      <alignment horizontal="center"/>
    </xf>
    <xf numFmtId="164" fontId="32" fillId="0" borderId="1" xfId="1" applyNumberFormat="1" applyFont="1" applyBorder="1" applyAlignment="1">
      <alignment horizontal="center"/>
    </xf>
    <xf numFmtId="49" fontId="1" fillId="0" borderId="1" xfId="1" applyNumberFormat="1" applyBorder="1" applyAlignment="1">
      <alignment horizontal="center"/>
    </xf>
    <xf numFmtId="49" fontId="1" fillId="0" borderId="20" xfId="1" applyNumberFormat="1" applyBorder="1" applyAlignment="1">
      <alignment horizontal="right"/>
    </xf>
    <xf numFmtId="49" fontId="1" fillId="0" borderId="21" xfId="1" applyNumberFormat="1" applyBorder="1" applyAlignment="1">
      <alignment horizontal="left"/>
    </xf>
    <xf numFmtId="49" fontId="32" fillId="0" borderId="1" xfId="1" applyNumberFormat="1" applyFont="1" applyBorder="1" applyAlignment="1">
      <alignment horizontal="center"/>
    </xf>
    <xf numFmtId="0" fontId="26" fillId="0" borderId="21" xfId="1" applyFont="1" applyBorder="1" applyAlignment="1">
      <alignment horizontal="left"/>
    </xf>
    <xf numFmtId="22" fontId="17" fillId="0" borderId="0" xfId="1" applyNumberFormat="1" applyFont="1" applyAlignment="1">
      <alignment horizontal="left"/>
    </xf>
    <xf numFmtId="0" fontId="9" fillId="2" borderId="12" xfId="2" applyFont="1" applyBorder="1" applyAlignment="1">
      <alignment horizontal="center" vertical="center"/>
    </xf>
    <xf numFmtId="0" fontId="9" fillId="0" borderId="12" xfId="2" applyFont="1" applyFill="1" applyBorder="1" applyAlignment="1">
      <alignment horizontal="center" vertical="center"/>
    </xf>
    <xf numFmtId="164" fontId="31" fillId="0" borderId="1" xfId="2" applyNumberFormat="1" applyFill="1" applyBorder="1" applyAlignment="1">
      <alignment horizontal="center"/>
    </xf>
    <xf numFmtId="14" fontId="17" fillId="0" borderId="0" xfId="1" applyNumberFormat="1" applyFont="1" applyAlignment="1">
      <alignment horizontal="left"/>
    </xf>
    <xf numFmtId="14" fontId="17" fillId="0" borderId="4" xfId="1" applyNumberFormat="1" applyFont="1" applyBorder="1" applyAlignment="1">
      <alignment horizontal="left"/>
    </xf>
    <xf numFmtId="0" fontId="26" fillId="0" borderId="24" xfId="1" applyFont="1" applyBorder="1" applyAlignment="1">
      <alignment horizontal="left"/>
    </xf>
    <xf numFmtId="49" fontId="1" fillId="0" borderId="24" xfId="1" applyNumberFormat="1" applyBorder="1" applyAlignment="1">
      <alignment horizontal="left"/>
    </xf>
    <xf numFmtId="49" fontId="12" fillId="0" borderId="23" xfId="1" applyNumberFormat="1" applyFont="1" applyBorder="1" applyAlignment="1">
      <alignment horizontal="left"/>
    </xf>
    <xf numFmtId="2" fontId="1" fillId="0" borderId="2" xfId="1" applyNumberFormat="1" applyBorder="1" applyAlignment="1">
      <alignment horizontal="left"/>
    </xf>
    <xf numFmtId="49" fontId="1" fillId="0" borderId="2" xfId="1" applyNumberFormat="1" applyBorder="1" applyAlignment="1">
      <alignment horizontal="center"/>
    </xf>
    <xf numFmtId="0" fontId="1" fillId="0" borderId="21" xfId="1" applyBorder="1" applyAlignment="1">
      <alignment horizontal="left"/>
    </xf>
    <xf numFmtId="14" fontId="1" fillId="0" borderId="0" xfId="1" applyNumberFormat="1"/>
    <xf numFmtId="164" fontId="1" fillId="0" borderId="0" xfId="1" applyNumberFormat="1" applyAlignment="1">
      <alignment horizontal="right"/>
    </xf>
    <xf numFmtId="164" fontId="33" fillId="0" borderId="0" xfId="1" applyNumberFormat="1" applyFont="1" applyBorder="1" applyAlignment="1">
      <alignment horizontal="center"/>
    </xf>
    <xf numFmtId="0" fontId="33" fillId="0" borderId="0" xfId="1" applyFont="1" applyBorder="1" applyAlignment="1">
      <alignment horizontal="center"/>
    </xf>
    <xf numFmtId="14" fontId="33" fillId="0" borderId="0" xfId="1" applyNumberFormat="1" applyFont="1" applyBorder="1" applyAlignment="1">
      <alignment horizontal="center"/>
    </xf>
    <xf numFmtId="164" fontId="18" fillId="0" borderId="0" xfId="1" applyNumberFormat="1" applyFont="1" applyAlignment="1">
      <alignment horizontal="left"/>
    </xf>
    <xf numFmtId="0" fontId="1" fillId="0" borderId="0" xfId="1" applyAlignment="1">
      <alignment horizontal="right" shrinkToFit="1"/>
    </xf>
    <xf numFmtId="0" fontId="32" fillId="0" borderId="0" xfId="1" applyFont="1" applyAlignment="1">
      <alignment horizontal="right" shrinkToFit="1"/>
    </xf>
    <xf numFmtId="0" fontId="32" fillId="0" borderId="0" xfId="1" applyFont="1" applyAlignment="1">
      <alignment horizontal="right"/>
    </xf>
    <xf numFmtId="164" fontId="29" fillId="0" borderId="0" xfId="1" applyNumberFormat="1" applyFont="1" applyAlignment="1">
      <alignment horizontal="right"/>
    </xf>
    <xf numFmtId="0" fontId="29" fillId="0" borderId="0" xfId="1" applyFont="1" applyAlignment="1">
      <alignment horizontal="right"/>
    </xf>
    <xf numFmtId="164" fontId="29" fillId="0" borderId="0" xfId="1" applyNumberFormat="1" applyFont="1"/>
    <xf numFmtId="0" fontId="18" fillId="0" borderId="0" xfId="0" applyFont="1"/>
    <xf numFmtId="0" fontId="1" fillId="0" borderId="39" xfId="1" applyBorder="1" applyAlignment="1">
      <alignment horizontal="center"/>
    </xf>
    <xf numFmtId="2" fontId="1" fillId="0" borderId="40" xfId="1" applyNumberFormat="1" applyBorder="1" applyAlignment="1">
      <alignment horizontal="center"/>
    </xf>
    <xf numFmtId="2" fontId="1" fillId="0" borderId="41" xfId="1" applyNumberFormat="1" applyBorder="1" applyAlignment="1">
      <alignment horizontal="left"/>
    </xf>
    <xf numFmtId="164" fontId="1" fillId="0" borderId="39" xfId="1" applyNumberFormat="1" applyBorder="1" applyAlignment="1">
      <alignment horizontal="right"/>
    </xf>
    <xf numFmtId="164" fontId="1" fillId="0" borderId="40" xfId="1" applyNumberFormat="1" applyBorder="1" applyAlignment="1">
      <alignment horizontal="center"/>
    </xf>
    <xf numFmtId="164" fontId="32" fillId="0" borderId="40" xfId="1" applyNumberFormat="1" applyFont="1" applyBorder="1" applyAlignment="1">
      <alignment horizontal="center"/>
    </xf>
    <xf numFmtId="164" fontId="1" fillId="0" borderId="40" xfId="1" applyNumberFormat="1" applyBorder="1"/>
    <xf numFmtId="0" fontId="17" fillId="0" borderId="41" xfId="1" applyFont="1" applyBorder="1" applyAlignment="1">
      <alignment horizontal="left"/>
    </xf>
    <xf numFmtId="14" fontId="17" fillId="0" borderId="38" xfId="1" applyNumberFormat="1" applyFont="1" applyBorder="1" applyAlignment="1">
      <alignment horizontal="left"/>
    </xf>
    <xf numFmtId="164" fontId="1" fillId="0" borderId="21" xfId="1" applyNumberFormat="1" applyBorder="1" applyAlignment="1">
      <alignment horizontal="left"/>
    </xf>
    <xf numFmtId="0" fontId="1" fillId="0" borderId="0" xfId="0" applyFont="1"/>
    <xf numFmtId="164" fontId="1" fillId="0" borderId="0" xfId="0" applyNumberFormat="1" applyFont="1"/>
    <xf numFmtId="0" fontId="1" fillId="0" borderId="0" xfId="0" quotePrefix="1" applyFont="1"/>
    <xf numFmtId="16" fontId="1" fillId="0" borderId="0" xfId="0" quotePrefix="1" applyNumberFormat="1" applyFont="1"/>
    <xf numFmtId="164" fontId="6" fillId="0" borderId="0" xfId="1" applyNumberFormat="1" applyFont="1" applyAlignment="1">
      <alignment horizontal="center"/>
    </xf>
    <xf numFmtId="0" fontId="5" fillId="0" borderId="0" xfId="1" applyFont="1" applyAlignment="1">
      <alignment horizontal="right"/>
    </xf>
    <xf numFmtId="165" fontId="5" fillId="0" borderId="0" xfId="1" applyNumberFormat="1" applyFont="1" applyAlignment="1">
      <alignment horizontal="left"/>
    </xf>
    <xf numFmtId="166" fontId="3" fillId="0" borderId="4" xfId="1" applyNumberFormat="1" applyFont="1" applyBorder="1" applyAlignment="1">
      <alignment horizontal="right"/>
    </xf>
    <xf numFmtId="165" fontId="5" fillId="0" borderId="4" xfId="1" applyNumberFormat="1" applyFont="1" applyBorder="1" applyAlignment="1">
      <alignment horizontal="left"/>
    </xf>
    <xf numFmtId="0" fontId="3" fillId="0" borderId="4" xfId="1" applyFont="1" applyBorder="1" applyAlignment="1">
      <alignment horizontal="right"/>
    </xf>
    <xf numFmtId="167" fontId="1" fillId="0" borderId="0" xfId="0" applyNumberFormat="1" applyFont="1"/>
    <xf numFmtId="164" fontId="1" fillId="0" borderId="0" xfId="0" quotePrefix="1" applyNumberFormat="1" applyFont="1"/>
    <xf numFmtId="0" fontId="9" fillId="0" borderId="27" xfId="1" applyFont="1" applyBorder="1" applyAlignment="1">
      <alignment horizontal="center" vertical="distributed" textRotation="90"/>
    </xf>
    <xf numFmtId="0" fontId="1" fillId="0" borderId="14" xfId="1" applyBorder="1" applyAlignment="1">
      <alignment horizontal="center" vertical="distributed" textRotation="90"/>
    </xf>
    <xf numFmtId="0" fontId="1" fillId="0" borderId="18" xfId="1" applyBorder="1" applyAlignment="1">
      <alignment horizontal="center" vertical="distributed" textRotation="90"/>
    </xf>
    <xf numFmtId="0" fontId="9" fillId="0" borderId="13" xfId="1" applyFont="1" applyBorder="1" applyAlignment="1">
      <alignment horizontal="center" vertical="center"/>
    </xf>
    <xf numFmtId="0" fontId="9" fillId="0" borderId="0" xfId="1" applyFont="1" applyAlignment="1">
      <alignment horizontal="center" vertical="center"/>
    </xf>
    <xf numFmtId="164" fontId="33" fillId="0" borderId="0" xfId="1" applyNumberFormat="1" applyFont="1" applyBorder="1" applyAlignment="1">
      <alignment horizontal="center"/>
    </xf>
    <xf numFmtId="0" fontId="1" fillId="0" borderId="0" xfId="0" applyFont="1"/>
    <xf numFmtId="164" fontId="1" fillId="0" borderId="29" xfId="1" applyNumberFormat="1" applyBorder="1" applyAlignment="1">
      <alignment horizontal="center" vertical="center"/>
    </xf>
    <xf numFmtId="164" fontId="1" fillId="0" borderId="30" xfId="1" applyNumberFormat="1" applyBorder="1" applyAlignment="1">
      <alignment horizontal="center" vertical="center"/>
    </xf>
    <xf numFmtId="164" fontId="1" fillId="0" borderId="31" xfId="1" applyNumberFormat="1" applyBorder="1" applyAlignment="1">
      <alignment horizontal="center" vertical="center"/>
    </xf>
    <xf numFmtId="164" fontId="1" fillId="0" borderId="32" xfId="1" applyNumberFormat="1" applyBorder="1" applyAlignment="1">
      <alignment horizontal="center" vertical="center"/>
    </xf>
    <xf numFmtId="164" fontId="1" fillId="0" borderId="34" xfId="1" applyNumberFormat="1" applyBorder="1" applyAlignment="1">
      <alignment horizontal="center" vertical="center"/>
    </xf>
    <xf numFmtId="164" fontId="1" fillId="0" borderId="33" xfId="1" applyNumberFormat="1" applyBorder="1" applyAlignment="1">
      <alignment horizontal="center" vertical="center"/>
    </xf>
    <xf numFmtId="164" fontId="1" fillId="0" borderId="35" xfId="1" applyNumberFormat="1" applyBorder="1" applyAlignment="1">
      <alignment horizontal="center" vertical="center"/>
    </xf>
    <xf numFmtId="164" fontId="1" fillId="0" borderId="36" xfId="1" applyNumberFormat="1" applyBorder="1" applyAlignment="1">
      <alignment horizontal="center" vertical="center"/>
    </xf>
    <xf numFmtId="164" fontId="1" fillId="0" borderId="37" xfId="1" applyNumberFormat="1" applyBorder="1" applyAlignment="1">
      <alignment horizontal="center" vertical="center"/>
    </xf>
  </cellXfs>
  <cellStyles count="3">
    <cellStyle name="Good" xfId="2" builtinId="26"/>
    <cellStyle name="Normal" xfId="0" builtinId="0"/>
    <cellStyle name="Normal 2" xfId="1" xr:uid="{00000000-0005-0000-0000-000001000000}"/>
  </cellStyles>
  <dxfs count="14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  <dxf>
      <fill>
        <patternFill>
          <fgColor indexed="64"/>
          <bgColor theme="5" tint="0.79995117038483843"/>
        </patternFill>
      </fill>
    </dxf>
  </dxfs>
  <tableStyles count="0" defaultTableStyle="TableStyleMedium9" defaultPivotStyle="PivotStyleLight16"/>
  <colors>
    <mruColors>
      <color rgb="FFFF7C80"/>
      <color rgb="FFFF5050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1</xdr:row>
      <xdr:rowOff>142875</xdr:rowOff>
    </xdr:from>
    <xdr:to>
      <xdr:col>8</xdr:col>
      <xdr:colOff>541401</xdr:colOff>
      <xdr:row>27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304800"/>
          <a:ext cx="5180076" cy="419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0</xdr:row>
          <xdr:rowOff>142875</xdr:rowOff>
        </xdr:from>
        <xdr:to>
          <xdr:col>19</xdr:col>
          <xdr:colOff>47625</xdr:colOff>
          <xdr:row>2</xdr:row>
          <xdr:rowOff>104775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1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2</xdr:row>
          <xdr:rowOff>133350</xdr:rowOff>
        </xdr:from>
        <xdr:to>
          <xdr:col>19</xdr:col>
          <xdr:colOff>38100</xdr:colOff>
          <xdr:row>4</xdr:row>
          <xdr:rowOff>95250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1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66675</xdr:colOff>
          <xdr:row>4</xdr:row>
          <xdr:rowOff>123825</xdr:rowOff>
        </xdr:from>
        <xdr:to>
          <xdr:col>19</xdr:col>
          <xdr:colOff>38100</xdr:colOff>
          <xdr:row>6</xdr:row>
          <xdr:rowOff>85725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1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85725</xdr:colOff>
          <xdr:row>2</xdr:row>
          <xdr:rowOff>123825</xdr:rowOff>
        </xdr:from>
        <xdr:to>
          <xdr:col>19</xdr:col>
          <xdr:colOff>476250</xdr:colOff>
          <xdr:row>4</xdr:row>
          <xdr:rowOff>85725</xdr:rowOff>
        </xdr:to>
        <xdr:sp macro="" textlink="">
          <xdr:nvSpPr>
            <xdr:cNvPr id="11268" name="GES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0</xdr:row>
          <xdr:rowOff>142875</xdr:rowOff>
        </xdr:from>
        <xdr:to>
          <xdr:col>18</xdr:col>
          <xdr:colOff>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level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2</xdr:row>
          <xdr:rowOff>142875</xdr:rowOff>
        </xdr:from>
        <xdr:to>
          <xdr:col>18</xdr:col>
          <xdr:colOff>0</xdr:colOff>
          <xdr:row>4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From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114300</xdr:colOff>
          <xdr:row>4</xdr:row>
          <xdr:rowOff>133350</xdr:rowOff>
        </xdr:from>
        <xdr:to>
          <xdr:col>18</xdr:col>
          <xdr:colOff>0</xdr:colOff>
          <xdr:row>6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Formula's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2</xdr:row>
          <xdr:rowOff>133350</xdr:rowOff>
        </xdr:from>
        <xdr:to>
          <xdr:col>18</xdr:col>
          <xdr:colOff>438150</xdr:colOff>
          <xdr:row>4</xdr:row>
          <xdr:rowOff>95250</xdr:rowOff>
        </xdr:to>
        <xdr:sp macro="" textlink="">
          <xdr:nvSpPr>
            <xdr:cNvPr id="2052" name="GE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104775</xdr:colOff>
          <xdr:row>7</xdr:row>
          <xdr:rowOff>66675</xdr:rowOff>
        </xdr:from>
        <xdr:to>
          <xdr:col>16</xdr:col>
          <xdr:colOff>47625</xdr:colOff>
          <xdr:row>9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VRS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9</xdr:row>
          <xdr:rowOff>123825</xdr:rowOff>
        </xdr:from>
        <xdr:to>
          <xdr:col>16</xdr:col>
          <xdr:colOff>28575</xdr:colOff>
          <xdr:row>11</xdr:row>
          <xdr:rowOff>85725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SLIP Updates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609600</xdr:colOff>
      <xdr:row>10</xdr:row>
      <xdr:rowOff>95250</xdr:rowOff>
    </xdr:from>
    <xdr:to>
      <xdr:col>10</xdr:col>
      <xdr:colOff>723900</xdr:colOff>
      <xdr:row>12</xdr:row>
      <xdr:rowOff>142875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/>
        </xdr:cNvSpPr>
      </xdr:nvSpPr>
      <xdr:spPr bwMode="auto">
        <a:xfrm>
          <a:off x="6705600" y="1714500"/>
          <a:ext cx="0" cy="371475"/>
        </a:xfrm>
        <a:prstGeom prst="rightBrace">
          <a:avLst>
            <a:gd name="adj1" fmla="val 31250"/>
            <a:gd name="adj2" fmla="val 83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93755-32C7-44E1-A351-BE91A806773A}">
  <sheetPr codeName="Sheet1">
    <pageSetUpPr fitToPage="1"/>
  </sheetPr>
  <dimension ref="B4:M16"/>
  <sheetViews>
    <sheetView workbookViewId="0">
      <selection activeCell="N31" sqref="N31"/>
    </sheetView>
  </sheetViews>
  <sheetFormatPr defaultColWidth="9.140625" defaultRowHeight="12.75"/>
  <cols>
    <col min="1" max="16384" width="9.140625" style="118"/>
  </cols>
  <sheetData>
    <row r="4" spans="2:13">
      <c r="M4"/>
    </row>
    <row r="16" spans="2:13">
      <c r="B16"/>
    </row>
  </sheetData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76B2-A062-40CF-9D1E-0629C5910D92}">
  <sheetPr codeName="Sheet17"/>
  <dimension ref="A1:Y38"/>
  <sheetViews>
    <sheetView tabSelected="1" zoomScaleNormal="100" workbookViewId="0">
      <selection activeCell="F55" sqref="F55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25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25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25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25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105</v>
      </c>
      <c r="N4" s="8"/>
      <c r="O4" s="5"/>
    </row>
    <row r="5" spans="1:25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25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25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25" s="25" customFormat="1" ht="15.6" customHeight="1">
      <c r="A8" s="204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  <c r="R8" s="6"/>
      <c r="S8" s="6"/>
      <c r="T8" s="6"/>
      <c r="U8" s="6"/>
      <c r="V8" s="6"/>
      <c r="W8" s="6"/>
      <c r="X8" s="6"/>
      <c r="Y8" s="6"/>
    </row>
    <row r="9" spans="1:25" s="43" customFormat="1" ht="15.6" customHeight="1">
      <c r="A9" s="205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207" t="s">
        <v>10</v>
      </c>
      <c r="O9" s="208"/>
      <c r="P9" s="208"/>
      <c r="Q9" s="42"/>
      <c r="R9" s="6"/>
      <c r="S9" s="6"/>
      <c r="T9" s="6"/>
      <c r="U9" s="6"/>
      <c r="V9" s="6"/>
      <c r="W9" s="6"/>
      <c r="X9" s="6"/>
      <c r="Y9" s="6"/>
    </row>
    <row r="10" spans="1:25" s="43" customFormat="1" ht="15.6" customHeight="1">
      <c r="A10" s="206"/>
      <c r="B10" s="158" t="s">
        <v>11</v>
      </c>
      <c r="C10" s="45"/>
      <c r="D10" s="46"/>
      <c r="E10" s="44" t="s">
        <v>13</v>
      </c>
      <c r="F10" s="150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158" t="s">
        <v>17</v>
      </c>
      <c r="M10" s="44" t="s">
        <v>18</v>
      </c>
      <c r="N10" s="49"/>
      <c r="P10" s="50"/>
      <c r="Q10" s="50"/>
      <c r="R10" s="6"/>
      <c r="S10" s="6"/>
      <c r="T10" s="6"/>
      <c r="U10" s="6"/>
      <c r="V10" s="6"/>
      <c r="W10" s="6"/>
      <c r="X10" s="6"/>
      <c r="Y10" s="6"/>
    </row>
    <row r="11" spans="1:25" ht="15.4" customHeight="1">
      <c r="A11" s="51"/>
      <c r="B11" s="60"/>
      <c r="C11" s="168"/>
      <c r="D11" s="141"/>
      <c r="E11" s="60"/>
      <c r="F11" s="55"/>
      <c r="G11" s="55"/>
      <c r="H11" s="55"/>
      <c r="I11" s="55"/>
      <c r="J11" s="55"/>
      <c r="K11" s="55"/>
      <c r="L11" s="155"/>
      <c r="M11" s="151"/>
      <c r="N11" s="156"/>
      <c r="O11" s="58"/>
      <c r="P11" s="59"/>
      <c r="Q11" s="59"/>
    </row>
    <row r="12" spans="1:25" ht="15.6" customHeight="1">
      <c r="A12" s="51"/>
      <c r="B12" s="60"/>
      <c r="C12" s="154"/>
      <c r="D12" s="153"/>
      <c r="E12" s="60"/>
      <c r="F12" s="55"/>
      <c r="G12" s="55"/>
      <c r="H12" s="55"/>
      <c r="I12" s="55"/>
      <c r="J12" s="55"/>
      <c r="K12" s="55"/>
      <c r="L12" s="155"/>
      <c r="M12" s="151"/>
      <c r="N12" s="156"/>
      <c r="O12" s="161"/>
      <c r="P12" s="59"/>
      <c r="Q12" s="59"/>
    </row>
    <row r="13" spans="1:25" ht="15.6" customHeight="1">
      <c r="A13" s="51"/>
      <c r="B13" s="60"/>
      <c r="C13" s="61"/>
      <c r="D13" s="62"/>
      <c r="E13" s="60"/>
      <c r="F13" s="55"/>
      <c r="G13" s="55"/>
      <c r="H13" s="55"/>
      <c r="I13" s="55"/>
      <c r="J13" s="55"/>
      <c r="K13" s="55"/>
      <c r="L13" s="55"/>
      <c r="M13" s="55"/>
      <c r="N13" s="57"/>
      <c r="O13" s="58"/>
      <c r="P13" s="59"/>
      <c r="Q13" s="59"/>
    </row>
    <row r="14" spans="1:25" ht="15.6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155"/>
      <c r="M14" s="151"/>
      <c r="N14" s="156"/>
      <c r="O14" s="58"/>
      <c r="P14" s="59"/>
      <c r="Q14" s="59"/>
    </row>
    <row r="15" spans="1:25" ht="15.6" customHeight="1">
      <c r="A15" s="51"/>
      <c r="B15" s="60"/>
      <c r="C15" s="154"/>
      <c r="D15" s="153"/>
      <c r="E15" s="60"/>
      <c r="F15" s="55"/>
      <c r="G15" s="55"/>
      <c r="H15" s="55"/>
      <c r="I15" s="55"/>
      <c r="J15" s="55"/>
      <c r="K15" s="55"/>
      <c r="L15" s="155"/>
      <c r="M15" s="151"/>
      <c r="N15" s="156"/>
      <c r="O15" s="161"/>
      <c r="P15" s="59"/>
      <c r="Q15" s="59"/>
    </row>
    <row r="16" spans="1:25" ht="15.6" customHeight="1">
      <c r="A16" s="51"/>
      <c r="B16" s="60"/>
      <c r="C16" s="61"/>
      <c r="D16" s="62"/>
      <c r="E16" s="60"/>
      <c r="F16" s="55"/>
      <c r="G16" s="55"/>
      <c r="H16" s="55"/>
      <c r="I16" s="55"/>
      <c r="J16" s="55"/>
      <c r="K16" s="55"/>
      <c r="L16" s="55"/>
      <c r="M16" s="55"/>
      <c r="N16" s="57"/>
      <c r="O16" s="58"/>
      <c r="P16" s="59"/>
      <c r="Q16" s="59"/>
    </row>
    <row r="17" spans="1:17" ht="15.6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155"/>
      <c r="M17" s="151"/>
      <c r="N17" s="156"/>
      <c r="O17" s="58"/>
      <c r="P17" s="59"/>
      <c r="Q17" s="59"/>
    </row>
    <row r="18" spans="1:17" ht="15.6" customHeight="1">
      <c r="A18" s="51"/>
      <c r="B18" s="60"/>
      <c r="C18" s="154"/>
      <c r="D18" s="153"/>
      <c r="E18" s="60"/>
      <c r="F18" s="55"/>
      <c r="G18" s="55"/>
      <c r="H18" s="55"/>
      <c r="I18" s="55"/>
      <c r="J18" s="55"/>
      <c r="K18" s="55"/>
      <c r="L18" s="155"/>
      <c r="M18" s="151"/>
      <c r="N18" s="156"/>
      <c r="O18" s="161"/>
      <c r="P18" s="59"/>
      <c r="Q18" s="59"/>
    </row>
    <row r="19" spans="1:17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55"/>
      <c r="L19" s="55"/>
      <c r="M19" s="55"/>
      <c r="N19" s="57"/>
      <c r="O19" s="58"/>
      <c r="P19" s="59"/>
      <c r="Q19" s="59"/>
    </row>
    <row r="20" spans="1:17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152"/>
      <c r="M20" s="55"/>
      <c r="N20" s="156"/>
      <c r="O20" s="58"/>
      <c r="P20" s="59"/>
      <c r="Q20" s="59"/>
    </row>
    <row r="21" spans="1:17" ht="15.6" customHeight="1">
      <c r="A21" s="51"/>
      <c r="B21" s="60"/>
      <c r="C21" s="154"/>
      <c r="D21" s="153"/>
      <c r="E21" s="60"/>
      <c r="F21" s="55"/>
      <c r="G21" s="55"/>
      <c r="H21" s="55"/>
      <c r="I21" s="55"/>
      <c r="J21" s="55"/>
      <c r="K21" s="55"/>
      <c r="L21" s="152"/>
      <c r="M21" s="55"/>
      <c r="N21" s="156"/>
      <c r="O21" s="157"/>
      <c r="P21" s="59"/>
      <c r="Q21" s="59"/>
    </row>
    <row r="22" spans="1:17" ht="15.6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6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152"/>
      <c r="M23" s="55"/>
      <c r="N23" s="156"/>
      <c r="O23" s="58"/>
      <c r="P23" s="59"/>
      <c r="Q23" s="59"/>
    </row>
    <row r="24" spans="1:17" ht="15.6" customHeight="1">
      <c r="A24" s="51"/>
      <c r="B24" s="60"/>
      <c r="C24" s="154"/>
      <c r="D24" s="153"/>
      <c r="E24" s="60"/>
      <c r="F24" s="55"/>
      <c r="G24" s="55"/>
      <c r="H24" s="55"/>
      <c r="I24" s="55"/>
      <c r="J24" s="55"/>
      <c r="K24" s="55"/>
      <c r="L24" s="152"/>
      <c r="M24" s="55"/>
      <c r="N24" s="156"/>
      <c r="O24" s="157"/>
      <c r="P24" s="59"/>
      <c r="Q24" s="59"/>
    </row>
    <row r="25" spans="1:17" ht="15.6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152"/>
      <c r="M26" s="55"/>
      <c r="N26" s="156"/>
      <c r="O26" s="58"/>
      <c r="P26" s="59"/>
      <c r="Q26" s="59"/>
    </row>
    <row r="27" spans="1:17" ht="15.6" customHeight="1">
      <c r="A27" s="51"/>
      <c r="B27" s="60"/>
      <c r="C27" s="154"/>
      <c r="D27" s="153"/>
      <c r="E27" s="60"/>
      <c r="F27" s="55"/>
      <c r="G27" s="55"/>
      <c r="H27" s="55"/>
      <c r="I27" s="55"/>
      <c r="J27" s="55"/>
      <c r="K27" s="55"/>
      <c r="L27" s="152"/>
      <c r="M27" s="55"/>
      <c r="N27" s="156"/>
      <c r="O27" s="157"/>
      <c r="P27" s="59"/>
      <c r="Q27" s="59"/>
    </row>
    <row r="28" spans="1:17" ht="15.6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6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152"/>
      <c r="M29" s="55"/>
      <c r="N29" s="156"/>
      <c r="O29" s="58"/>
      <c r="P29" s="59"/>
      <c r="Q29" s="59"/>
    </row>
    <row r="30" spans="1:17" ht="15.6" customHeight="1">
      <c r="A30" s="51"/>
      <c r="B30" s="60"/>
      <c r="C30" s="154"/>
      <c r="D30" s="153"/>
      <c r="E30" s="60"/>
      <c r="F30" s="55"/>
      <c r="G30" s="55"/>
      <c r="H30" s="55"/>
      <c r="I30" s="55"/>
      <c r="J30" s="55"/>
      <c r="K30" s="55"/>
      <c r="L30" s="152"/>
      <c r="M30" s="55"/>
      <c r="N30" s="156"/>
      <c r="O30" s="161"/>
      <c r="P30" s="59"/>
      <c r="Q30" s="59"/>
    </row>
    <row r="31" spans="1:17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6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152"/>
      <c r="M32" s="55"/>
      <c r="N32" s="156"/>
      <c r="O32" s="58"/>
      <c r="P32" s="59"/>
      <c r="Q32" s="59"/>
    </row>
    <row r="33" spans="1:17" ht="15.6" customHeight="1">
      <c r="A33" s="51"/>
      <c r="B33" s="60"/>
      <c r="C33" s="154"/>
      <c r="D33" s="153"/>
      <c r="E33" s="60"/>
      <c r="F33" s="55"/>
      <c r="G33" s="55"/>
      <c r="H33" s="55"/>
      <c r="I33" s="55"/>
      <c r="J33" s="55"/>
      <c r="K33" s="55"/>
      <c r="L33" s="152"/>
      <c r="M33" s="55"/>
      <c r="N33" s="156"/>
      <c r="O33" s="161"/>
      <c r="P33" s="59"/>
      <c r="Q33" s="59"/>
    </row>
    <row r="34" spans="1:17" ht="15.6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6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152"/>
      <c r="M35" s="55"/>
      <c r="N35" s="156"/>
      <c r="O35" s="58"/>
      <c r="P35" s="59"/>
      <c r="Q35" s="59"/>
    </row>
    <row r="36" spans="1:17" ht="15.6" customHeight="1">
      <c r="A36" s="65"/>
      <c r="B36" s="66"/>
      <c r="C36" s="164"/>
      <c r="D36" s="165"/>
      <c r="E36" s="166"/>
      <c r="F36" s="69"/>
      <c r="G36" s="69"/>
      <c r="H36" s="69"/>
      <c r="I36" s="69"/>
      <c r="J36" s="69"/>
      <c r="K36" s="69"/>
      <c r="L36" s="167"/>
      <c r="M36" s="69"/>
      <c r="N36" s="163"/>
      <c r="O36" s="162"/>
      <c r="P36" s="72"/>
      <c r="Q36" s="72"/>
    </row>
    <row r="38" spans="1:17">
      <c r="F38" s="6"/>
    </row>
  </sheetData>
  <mergeCells count="2">
    <mergeCell ref="A8:A10"/>
    <mergeCell ref="N9:P9"/>
  </mergeCells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mport_DNA_btn">
                <anchor moveWithCells="1" sizeWithCells="1">
                  <from>
                    <xdr:col>17</xdr:col>
                    <xdr:colOff>76200</xdr:colOff>
                    <xdr:row>0</xdr:row>
                    <xdr:rowOff>142875</xdr:rowOff>
                  </from>
                  <to>
                    <xdr:col>19</xdr:col>
                    <xdr:colOff>47625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_From_SLIP_btn">
                <anchor moveWithCells="1" sizeWithCells="1">
                  <from>
                    <xdr:col>17</xdr:col>
                    <xdr:colOff>66675</xdr:colOff>
                    <xdr:row>2</xdr:row>
                    <xdr:rowOff>133350</xdr:rowOff>
                  </from>
                  <to>
                    <xdr:col>19</xdr:col>
                    <xdr:colOff>38100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Update_Formulas_btn">
                <anchor moveWithCells="1" sizeWithCells="1">
                  <from>
                    <xdr:col>17</xdr:col>
                    <xdr:colOff>66675</xdr:colOff>
                    <xdr:row>4</xdr:row>
                    <xdr:rowOff>123825</xdr:rowOff>
                  </from>
                  <to>
                    <xdr:col>19</xdr:col>
                    <xdr:colOff>38100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GES">
              <controlPr defaultSize="0" print="0" autoFill="0" autoPict="0" macro="[0]!Update_From_GES_btn">
                <anchor moveWithCells="1" sizeWithCells="1">
                  <from>
                    <xdr:col>19</xdr:col>
                    <xdr:colOff>85725</xdr:colOff>
                    <xdr:row>2</xdr:row>
                    <xdr:rowOff>123825</xdr:rowOff>
                  </from>
                  <to>
                    <xdr:col>19</xdr:col>
                    <xdr:colOff>476250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A130"/>
  <sheetViews>
    <sheetView zoomScaleNormal="100" workbookViewId="0">
      <selection activeCell="J48" sqref="J48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69" customWidth="1"/>
    <col min="18" max="18" width="9.140625" style="170"/>
    <col min="19" max="19" width="9.140625" style="118"/>
    <col min="20" max="20" width="9.140625" style="170"/>
    <col min="21" max="21" width="9.140625" style="118"/>
    <col min="22" max="22" width="11.7109375" style="118" bestFit="1" customWidth="1"/>
    <col min="23" max="23" width="9.85546875" style="170" bestFit="1" customWidth="1"/>
    <col min="24" max="24" width="9.140625" style="130"/>
    <col min="25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161"/>
      <c r="R1" s="170"/>
      <c r="S1" s="118"/>
      <c r="T1" s="170"/>
      <c r="U1" s="118"/>
      <c r="V1" s="118"/>
      <c r="W1" s="170"/>
      <c r="X1" s="130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161"/>
      <c r="R2" s="170"/>
      <c r="S2" s="118"/>
      <c r="T2" s="170"/>
      <c r="U2" s="118"/>
      <c r="V2" s="118"/>
      <c r="W2" s="170"/>
      <c r="X2" s="130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161"/>
      <c r="R3" s="170"/>
      <c r="S3" s="118"/>
      <c r="T3" s="170"/>
      <c r="U3" s="118"/>
      <c r="V3" s="118"/>
      <c r="W3" s="170"/>
      <c r="X3" s="130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105</v>
      </c>
      <c r="N4" s="8"/>
      <c r="O4" s="5"/>
      <c r="Q4" s="161"/>
      <c r="R4" s="170"/>
      <c r="S4" s="118"/>
      <c r="T4" s="170"/>
      <c r="U4" s="118"/>
      <c r="V4" s="118"/>
      <c r="W4" s="170"/>
      <c r="X4" s="130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161"/>
      <c r="R5" s="170"/>
      <c r="S5" s="118"/>
      <c r="T5" s="170"/>
      <c r="U5" s="118"/>
      <c r="V5" s="118"/>
      <c r="W5" s="170"/>
      <c r="X5" s="130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161"/>
      <c r="R6" s="170"/>
      <c r="S6" s="118"/>
      <c r="T6" s="170"/>
      <c r="U6" s="118"/>
      <c r="V6" s="118"/>
      <c r="W6" s="170"/>
      <c r="X6" s="130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161"/>
      <c r="R7" s="170"/>
      <c r="S7" s="118"/>
      <c r="T7" s="170"/>
      <c r="U7" s="118"/>
      <c r="V7" s="118"/>
      <c r="W7" s="170"/>
      <c r="X7" s="130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  <c r="Q8" s="161"/>
      <c r="R8" s="170"/>
      <c r="S8" s="118"/>
      <c r="T8" s="170"/>
      <c r="U8" s="118"/>
      <c r="V8" s="118"/>
      <c r="W8" s="170"/>
      <c r="X8" s="130"/>
      <c r="Y8" s="6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  <c r="Q9" s="161"/>
      <c r="R9" s="170"/>
      <c r="S9" s="118"/>
      <c r="T9" s="170"/>
      <c r="U9" s="118"/>
      <c r="V9" s="118"/>
      <c r="W9" s="170"/>
      <c r="X9" s="130"/>
      <c r="Y9" s="6"/>
    </row>
    <row r="10" spans="1:27" s="107" customFormat="1" ht="15.6" customHeight="1">
      <c r="A10" s="108" t="s">
        <v>22</v>
      </c>
      <c r="B10" s="159" t="s">
        <v>11</v>
      </c>
      <c r="C10" s="109"/>
      <c r="D10" s="110"/>
      <c r="E10" s="111" t="s">
        <v>13</v>
      </c>
      <c r="F10" s="160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Q10" s="173" t="s">
        <v>106</v>
      </c>
      <c r="R10" s="171" t="s">
        <v>62</v>
      </c>
      <c r="S10" s="172" t="s">
        <v>63</v>
      </c>
      <c r="T10" s="171" t="s">
        <v>64</v>
      </c>
      <c r="U10" s="172" t="s">
        <v>65</v>
      </c>
      <c r="V10" s="172" t="s">
        <v>66</v>
      </c>
      <c r="W10" s="171" t="s">
        <v>67</v>
      </c>
      <c r="X10" s="171" t="s">
        <v>68</v>
      </c>
      <c r="Y10" s="209" t="s">
        <v>69</v>
      </c>
      <c r="Z10" s="209"/>
      <c r="AA10" s="209"/>
    </row>
    <row r="11" spans="1:27" ht="15.6" customHeight="1">
      <c r="A11" s="51"/>
      <c r="B11" s="60"/>
      <c r="C11" s="61"/>
      <c r="D11" s="62"/>
      <c r="E11" s="60"/>
      <c r="F11" s="55"/>
      <c r="G11" s="55"/>
      <c r="H11" s="55"/>
      <c r="I11" s="55"/>
      <c r="J11" s="55"/>
      <c r="K11" s="151"/>
      <c r="L11" s="55"/>
      <c r="M11" s="115"/>
      <c r="N11" s="57"/>
      <c r="O11" s="51"/>
      <c r="P11" s="60"/>
      <c r="Q11" s="161"/>
    </row>
    <row r="12" spans="1:27" ht="15.6" customHeight="1">
      <c r="A12" s="51"/>
      <c r="B12" s="60"/>
      <c r="C12" s="61"/>
      <c r="D12" s="62"/>
      <c r="E12" s="60"/>
      <c r="F12" s="55"/>
      <c r="G12" s="55"/>
      <c r="H12" s="55"/>
      <c r="I12" s="55"/>
      <c r="J12" s="55"/>
      <c r="K12" s="151"/>
      <c r="L12" s="152" t="s">
        <v>190</v>
      </c>
      <c r="M12" s="115"/>
      <c r="N12" s="57"/>
      <c r="O12" s="51"/>
      <c r="P12" s="60"/>
      <c r="Q12" s="161">
        <v>45316</v>
      </c>
    </row>
    <row r="13" spans="1:27" ht="15.6" customHeight="1">
      <c r="A13" s="51"/>
      <c r="B13" s="60"/>
      <c r="C13" s="61" t="str">
        <f>L12</f>
        <v>COO 40</v>
      </c>
      <c r="D13" s="62" t="str">
        <f t="shared" ref="D13:D18" si="0">L13</f>
        <v>RO.</v>
      </c>
      <c r="E13" s="60"/>
      <c r="F13" s="55">
        <v>-8.3520570000000003</v>
      </c>
      <c r="G13" s="55"/>
      <c r="H13" s="55"/>
      <c r="I13" s="55"/>
      <c r="J13" s="55"/>
      <c r="K13" s="151"/>
      <c r="L13" s="152" t="s">
        <v>107</v>
      </c>
      <c r="M13" s="115"/>
      <c r="N13" s="57"/>
      <c r="O13" s="51"/>
      <c r="P13" s="60"/>
      <c r="Q13" s="161"/>
      <c r="R13" s="170">
        <v>81.420590000000004</v>
      </c>
      <c r="V13" s="118" t="s">
        <v>108</v>
      </c>
    </row>
    <row r="14" spans="1:27" ht="15.6" customHeight="1">
      <c r="A14" s="51"/>
      <c r="B14" s="60"/>
      <c r="C14" s="61"/>
      <c r="D14" s="62" t="str">
        <f t="shared" si="0"/>
        <v>RO</v>
      </c>
      <c r="E14" s="60"/>
      <c r="F14" s="55">
        <v>-8.3493700000000004</v>
      </c>
      <c r="G14" s="55"/>
      <c r="H14" s="55"/>
      <c r="I14" s="55"/>
      <c r="J14" s="55"/>
      <c r="K14" s="151"/>
      <c r="L14" s="152" t="s">
        <v>75</v>
      </c>
      <c r="M14" s="115"/>
      <c r="N14" s="57"/>
      <c r="O14" s="51"/>
      <c r="P14" s="60"/>
      <c r="Q14" s="161"/>
      <c r="R14" s="170">
        <v>81.402404000000004</v>
      </c>
      <c r="V14" s="118" t="s">
        <v>109</v>
      </c>
    </row>
    <row r="15" spans="1:27" ht="15.6" customHeight="1">
      <c r="A15" s="51"/>
      <c r="B15" s="60"/>
      <c r="C15" s="61"/>
      <c r="D15" s="62" t="str">
        <f t="shared" si="0"/>
        <v>RM 1</v>
      </c>
      <c r="E15" s="60"/>
      <c r="F15" s="55">
        <v>-0.366031</v>
      </c>
      <c r="G15" s="55"/>
      <c r="H15" s="55"/>
      <c r="I15" s="55"/>
      <c r="J15" s="55"/>
      <c r="K15" s="151">
        <v>-0.36499999999999999</v>
      </c>
      <c r="L15" s="152" t="s">
        <v>49</v>
      </c>
      <c r="M15" s="115"/>
      <c r="N15" s="57"/>
      <c r="O15" s="51"/>
      <c r="P15" s="60"/>
      <c r="Q15" s="161"/>
      <c r="R15" s="170">
        <v>8.1405980000000007</v>
      </c>
      <c r="V15" s="118" t="s">
        <v>110</v>
      </c>
    </row>
    <row r="16" spans="1:27" ht="15.6" customHeight="1">
      <c r="A16" s="51"/>
      <c r="B16" s="60"/>
      <c r="C16" s="61"/>
      <c r="D16" s="62" t="str">
        <f t="shared" si="0"/>
        <v>RM 3</v>
      </c>
      <c r="E16" s="60"/>
      <c r="F16" s="55">
        <v>0.48218</v>
      </c>
      <c r="G16" s="55"/>
      <c r="H16" s="55"/>
      <c r="I16" s="55"/>
      <c r="J16" s="55"/>
      <c r="K16" s="151">
        <v>0.48099999999999998</v>
      </c>
      <c r="L16" s="152" t="s">
        <v>51</v>
      </c>
      <c r="M16" s="115"/>
      <c r="N16" s="57"/>
      <c r="O16" s="51"/>
      <c r="P16" s="60"/>
      <c r="Q16" s="161"/>
      <c r="R16" s="170">
        <v>8.2057260000000003</v>
      </c>
      <c r="V16" s="118" t="s">
        <v>112</v>
      </c>
    </row>
    <row r="17" spans="1:22" ht="15.6" customHeight="1">
      <c r="A17" s="51"/>
      <c r="B17" s="60"/>
      <c r="C17" s="61"/>
      <c r="D17" s="62" t="str">
        <f t="shared" si="0"/>
        <v>RM 4</v>
      </c>
      <c r="E17" s="60"/>
      <c r="F17" s="55">
        <v>0.28842000000000001</v>
      </c>
      <c r="G17" s="55"/>
      <c r="H17" s="55"/>
      <c r="I17" s="55"/>
      <c r="J17" s="55"/>
      <c r="K17" s="151">
        <v>0.28899999999999998</v>
      </c>
      <c r="L17" s="152" t="s">
        <v>191</v>
      </c>
      <c r="M17" s="115"/>
      <c r="N17" s="57"/>
      <c r="O17" s="51"/>
      <c r="P17" s="60"/>
      <c r="Q17" s="161"/>
      <c r="R17" s="170">
        <v>4.8898429999999999</v>
      </c>
      <c r="V17" s="118" t="s">
        <v>113</v>
      </c>
    </row>
    <row r="18" spans="1:22" ht="15.6" customHeight="1">
      <c r="A18" s="51"/>
      <c r="B18" s="60"/>
      <c r="C18" s="61"/>
      <c r="D18" s="62" t="str">
        <f t="shared" si="0"/>
        <v>RM 5</v>
      </c>
      <c r="E18" s="60"/>
      <c r="F18" s="55">
        <v>0.205178</v>
      </c>
      <c r="G18" s="55"/>
      <c r="H18" s="55"/>
      <c r="I18" s="55"/>
      <c r="J18" s="55"/>
      <c r="K18" s="151">
        <v>0.20499999999999999</v>
      </c>
      <c r="L18" s="152" t="s">
        <v>45</v>
      </c>
      <c r="M18" s="115"/>
      <c r="N18" s="57"/>
      <c r="O18" s="51"/>
      <c r="P18" s="60"/>
      <c r="Q18" s="161"/>
      <c r="R18" s="170">
        <v>6.7356730000000002</v>
      </c>
      <c r="V18" s="118" t="s">
        <v>114</v>
      </c>
    </row>
    <row r="19" spans="1:22" ht="15.6" customHeight="1">
      <c r="A19" s="51"/>
      <c r="B19" s="60"/>
      <c r="C19" s="61"/>
      <c r="D19" s="62"/>
      <c r="E19" s="60"/>
      <c r="F19" s="55"/>
      <c r="G19" s="55"/>
      <c r="H19" s="55"/>
      <c r="I19" s="55"/>
      <c r="J19" s="55"/>
      <c r="K19" s="151"/>
      <c r="L19" s="55"/>
      <c r="M19" s="115"/>
      <c r="N19" s="57"/>
      <c r="O19" s="51"/>
      <c r="P19" s="60"/>
      <c r="Q19" s="161"/>
    </row>
    <row r="20" spans="1:22" ht="15.6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151"/>
      <c r="L20" s="152" t="s">
        <v>192</v>
      </c>
      <c r="M20" s="115"/>
      <c r="N20" s="57"/>
      <c r="O20" s="51"/>
      <c r="P20" s="60"/>
      <c r="Q20" s="161">
        <v>45316</v>
      </c>
    </row>
    <row r="21" spans="1:22" ht="15.6" customHeight="1">
      <c r="A21" s="51"/>
      <c r="B21" s="60"/>
      <c r="C21" s="61" t="str">
        <f>L20</f>
        <v>COO 40.</v>
      </c>
      <c r="D21" s="62" t="str">
        <f>L21</f>
        <v>RO</v>
      </c>
      <c r="E21" s="60"/>
      <c r="F21" s="55">
        <v>-8.3559669999999997</v>
      </c>
      <c r="G21" s="55"/>
      <c r="H21" s="55"/>
      <c r="I21" s="55"/>
      <c r="J21" s="55"/>
      <c r="K21" s="151"/>
      <c r="L21" s="152" t="s">
        <v>75</v>
      </c>
      <c r="M21" s="115"/>
      <c r="N21" s="57"/>
      <c r="O21" s="51"/>
      <c r="P21" s="60"/>
      <c r="Q21" s="161"/>
      <c r="R21" s="170">
        <v>81.421429000000003</v>
      </c>
      <c r="V21" s="118" t="s">
        <v>115</v>
      </c>
    </row>
    <row r="22" spans="1:22" ht="15.6" customHeight="1">
      <c r="A22" s="51"/>
      <c r="B22" s="60"/>
      <c r="C22" s="61"/>
      <c r="D22" s="62" t="str">
        <f>L22</f>
        <v>RM 1</v>
      </c>
      <c r="E22" s="60"/>
      <c r="F22" s="55">
        <v>-0.36677900000000002</v>
      </c>
      <c r="G22" s="55"/>
      <c r="H22" s="55"/>
      <c r="I22" s="55"/>
      <c r="J22" s="55"/>
      <c r="K22" s="151"/>
      <c r="L22" s="152" t="s">
        <v>49</v>
      </c>
      <c r="M22" s="115"/>
      <c r="N22" s="57"/>
      <c r="O22" s="51"/>
      <c r="P22" s="60"/>
      <c r="Q22" s="161"/>
      <c r="R22" s="170">
        <v>8.1420399999999997</v>
      </c>
      <c r="V22" s="118" t="s">
        <v>116</v>
      </c>
    </row>
    <row r="23" spans="1:22" ht="15.6" customHeight="1">
      <c r="A23" s="51"/>
      <c r="B23" s="60"/>
      <c r="C23" s="61"/>
      <c r="D23" s="62" t="str">
        <f>L23</f>
        <v>RM 3</v>
      </c>
      <c r="E23" s="60"/>
      <c r="F23" s="55">
        <v>0.48277500000000001</v>
      </c>
      <c r="G23" s="55"/>
      <c r="H23" s="55"/>
      <c r="I23" s="55"/>
      <c r="J23" s="55"/>
      <c r="K23" s="151"/>
      <c r="L23" s="152" t="s">
        <v>51</v>
      </c>
      <c r="M23" s="115"/>
      <c r="N23" s="57"/>
      <c r="O23" s="51"/>
      <c r="P23" s="60"/>
      <c r="Q23" s="161"/>
      <c r="R23" s="170">
        <v>8.2015589999999996</v>
      </c>
      <c r="V23" s="118" t="s">
        <v>117</v>
      </c>
    </row>
    <row r="24" spans="1:22" ht="15.6" customHeight="1">
      <c r="A24" s="51"/>
      <c r="B24" s="60"/>
      <c r="C24" s="61"/>
      <c r="D24" s="62" t="str">
        <f>L24</f>
        <v>RM 4</v>
      </c>
      <c r="E24" s="60"/>
      <c r="F24" s="55">
        <v>0.28785500000000003</v>
      </c>
      <c r="G24" s="55"/>
      <c r="H24" s="55"/>
      <c r="I24" s="55"/>
      <c r="J24" s="55"/>
      <c r="K24" s="151"/>
      <c r="L24" s="152" t="s">
        <v>191</v>
      </c>
      <c r="M24" s="115"/>
      <c r="N24" s="57"/>
      <c r="O24" s="51"/>
      <c r="P24" s="60"/>
      <c r="Q24" s="161"/>
      <c r="R24" s="170">
        <v>4.8879729999999997</v>
      </c>
      <c r="V24" s="118" t="s">
        <v>118</v>
      </c>
    </row>
    <row r="25" spans="1:22" ht="15.6" customHeight="1">
      <c r="A25" s="51"/>
      <c r="B25" s="60"/>
      <c r="C25" s="61"/>
      <c r="D25" s="62" t="str">
        <f>L25</f>
        <v>RM 5</v>
      </c>
      <c r="E25" s="60"/>
      <c r="F25" s="55">
        <v>0.20482300000000001</v>
      </c>
      <c r="G25" s="55"/>
      <c r="H25" s="55"/>
      <c r="I25" s="55"/>
      <c r="J25" s="55"/>
      <c r="K25" s="151"/>
      <c r="L25" s="152" t="s">
        <v>45</v>
      </c>
      <c r="M25" s="115"/>
      <c r="N25" s="57"/>
      <c r="O25" s="51"/>
      <c r="P25" s="60"/>
      <c r="Q25" s="161"/>
      <c r="R25" s="170">
        <v>6.7371600000000003</v>
      </c>
      <c r="V25" s="118" t="s">
        <v>119</v>
      </c>
    </row>
    <row r="26" spans="1:22" ht="15.6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151"/>
      <c r="L26" s="55"/>
      <c r="M26" s="115"/>
      <c r="N26" s="57"/>
      <c r="O26" s="51"/>
      <c r="P26" s="60"/>
      <c r="Q26" s="161"/>
    </row>
    <row r="27" spans="1:22" ht="15.6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151"/>
      <c r="L27" s="152" t="s">
        <v>193</v>
      </c>
      <c r="M27" s="115"/>
      <c r="N27" s="57"/>
      <c r="O27" s="51"/>
      <c r="P27" s="60"/>
      <c r="Q27" s="161">
        <v>45328</v>
      </c>
    </row>
    <row r="28" spans="1:22" ht="15.6" customHeight="1">
      <c r="A28" s="51"/>
      <c r="B28" s="60"/>
      <c r="C28" s="61" t="str">
        <f>L27</f>
        <v>JAN 109</v>
      </c>
      <c r="D28" s="62" t="str">
        <f>L28</f>
        <v>JAN 108</v>
      </c>
      <c r="E28" s="60"/>
      <c r="F28" s="55">
        <v>3.441195</v>
      </c>
      <c r="G28" s="55"/>
      <c r="H28" s="55"/>
      <c r="I28" s="55"/>
      <c r="J28" s="55"/>
      <c r="K28" s="151"/>
      <c r="L28" s="152" t="s">
        <v>194</v>
      </c>
      <c r="M28" s="115"/>
      <c r="N28" s="57"/>
      <c r="O28" s="51"/>
      <c r="P28" s="60"/>
      <c r="Q28" s="161"/>
      <c r="R28" s="170">
        <v>112.156323</v>
      </c>
      <c r="V28" s="118" t="s">
        <v>120</v>
      </c>
    </row>
    <row r="29" spans="1:22" ht="15.6" customHeight="1">
      <c r="A29" s="51"/>
      <c r="B29" s="60"/>
      <c r="C29" s="61"/>
      <c r="D29" s="62" t="str">
        <f>L29</f>
        <v>JAN 110.</v>
      </c>
      <c r="E29" s="60"/>
      <c r="F29" s="55">
        <v>3.241126</v>
      </c>
      <c r="G29" s="55"/>
      <c r="H29" s="55"/>
      <c r="I29" s="55"/>
      <c r="J29" s="55"/>
      <c r="K29" s="151"/>
      <c r="L29" s="152" t="s">
        <v>195</v>
      </c>
      <c r="M29" s="115"/>
      <c r="N29" s="57"/>
      <c r="O29" s="51"/>
      <c r="P29" s="60"/>
      <c r="Q29" s="161"/>
      <c r="R29" s="170">
        <v>110.250558</v>
      </c>
      <c r="V29" s="118" t="s">
        <v>121</v>
      </c>
    </row>
    <row r="30" spans="1:22" ht="15.6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151"/>
      <c r="L30" s="55"/>
      <c r="M30" s="115"/>
      <c r="N30" s="57"/>
      <c r="O30" s="51"/>
      <c r="P30" s="60"/>
      <c r="Q30" s="161"/>
    </row>
    <row r="31" spans="1:22" ht="15.6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151"/>
      <c r="L31" s="152" t="s">
        <v>196</v>
      </c>
      <c r="M31" s="115"/>
      <c r="N31" s="57"/>
      <c r="O31" s="51"/>
      <c r="P31" s="60"/>
      <c r="Q31" s="161">
        <v>45314</v>
      </c>
    </row>
    <row r="32" spans="1:22" ht="15.6" customHeight="1">
      <c r="A32" s="51"/>
      <c r="B32" s="60"/>
      <c r="C32" s="61" t="str">
        <f>L31</f>
        <v>JAN 110</v>
      </c>
      <c r="D32" s="62" t="str">
        <f>L32</f>
        <v>.RO</v>
      </c>
      <c r="E32" s="60"/>
      <c r="F32" s="55">
        <v>-0.26311899999999999</v>
      </c>
      <c r="G32" s="55"/>
      <c r="H32" s="55"/>
      <c r="I32" s="55"/>
      <c r="J32" s="55"/>
      <c r="K32" s="151"/>
      <c r="L32" s="152" t="s">
        <v>122</v>
      </c>
      <c r="M32" s="115"/>
      <c r="N32" s="57"/>
      <c r="O32" s="51"/>
      <c r="P32" s="60"/>
      <c r="Q32" s="161"/>
      <c r="R32" s="170">
        <v>78.600590999999994</v>
      </c>
      <c r="V32" s="118" t="s">
        <v>123</v>
      </c>
    </row>
    <row r="33" spans="1:22" ht="15.6" customHeight="1">
      <c r="A33" s="51"/>
      <c r="B33" s="60"/>
      <c r="C33" s="61"/>
      <c r="D33" s="62" t="str">
        <f>L33</f>
        <v>.RM 1</v>
      </c>
      <c r="E33" s="60"/>
      <c r="F33" s="55">
        <v>-0.24965300000000001</v>
      </c>
      <c r="G33" s="55"/>
      <c r="H33" s="55"/>
      <c r="I33" s="55"/>
      <c r="J33" s="55"/>
      <c r="K33" s="151"/>
      <c r="L33" s="152" t="s">
        <v>197</v>
      </c>
      <c r="M33" s="115"/>
      <c r="N33" s="57"/>
      <c r="O33" s="51"/>
      <c r="P33" s="60"/>
      <c r="Q33" s="161"/>
      <c r="R33" s="170">
        <v>3.6903060000000001</v>
      </c>
      <c r="V33" s="118" t="s">
        <v>124</v>
      </c>
    </row>
    <row r="34" spans="1:22" ht="15.6" customHeight="1">
      <c r="A34" s="51"/>
      <c r="B34" s="60"/>
      <c r="C34" s="61"/>
      <c r="D34" s="62" t="str">
        <f>L34</f>
        <v>.RM 3</v>
      </c>
      <c r="E34" s="60"/>
      <c r="F34" s="55">
        <v>-1.3988E-2</v>
      </c>
      <c r="G34" s="55"/>
      <c r="H34" s="55"/>
      <c r="I34" s="55"/>
      <c r="J34" s="55"/>
      <c r="K34" s="151"/>
      <c r="L34" s="152" t="s">
        <v>198</v>
      </c>
      <c r="M34" s="115"/>
      <c r="N34" s="57"/>
      <c r="O34" s="51"/>
      <c r="P34" s="60"/>
      <c r="Q34" s="161"/>
      <c r="R34" s="170">
        <v>2.9743390000000001</v>
      </c>
      <c r="V34" s="118" t="s">
        <v>125</v>
      </c>
    </row>
    <row r="35" spans="1:22" ht="15.6" customHeight="1">
      <c r="A35" s="51"/>
      <c r="B35" s="60"/>
      <c r="C35" s="61"/>
      <c r="D35" s="62" t="str">
        <f>L35</f>
        <v>.RM 4</v>
      </c>
      <c r="E35" s="60"/>
      <c r="F35" s="55">
        <v>0.18862000000000001</v>
      </c>
      <c r="G35" s="55"/>
      <c r="H35" s="55"/>
      <c r="I35" s="55"/>
      <c r="J35" s="55"/>
      <c r="K35" s="151"/>
      <c r="L35" s="152" t="s">
        <v>199</v>
      </c>
      <c r="M35" s="115"/>
      <c r="N35" s="57"/>
      <c r="O35" s="51"/>
      <c r="P35" s="60"/>
      <c r="Q35" s="161"/>
      <c r="R35" s="170">
        <v>3.934682</v>
      </c>
      <c r="V35" s="118" t="s">
        <v>126</v>
      </c>
    </row>
    <row r="36" spans="1:22" ht="15.6" customHeight="1">
      <c r="A36" s="51"/>
      <c r="B36" s="60"/>
      <c r="C36" s="61"/>
      <c r="D36" s="62"/>
      <c r="E36" s="60"/>
      <c r="F36" s="55"/>
      <c r="G36" s="55"/>
      <c r="H36" s="55"/>
      <c r="I36" s="55"/>
      <c r="J36" s="55"/>
      <c r="K36" s="151"/>
      <c r="L36" s="55"/>
      <c r="M36" s="115"/>
      <c r="N36" s="57"/>
      <c r="O36" s="51"/>
      <c r="P36" s="60"/>
      <c r="Q36" s="161"/>
    </row>
    <row r="37" spans="1:22" ht="15.6" customHeight="1">
      <c r="A37" s="51"/>
      <c r="B37" s="60"/>
      <c r="C37" s="61"/>
      <c r="D37" s="62"/>
      <c r="E37" s="60"/>
      <c r="F37" s="55"/>
      <c r="G37" s="55"/>
      <c r="H37" s="55"/>
      <c r="I37" s="55"/>
      <c r="J37" s="55"/>
      <c r="K37" s="151"/>
      <c r="L37" s="152" t="s">
        <v>200</v>
      </c>
      <c r="M37" s="115"/>
      <c r="N37" s="57"/>
      <c r="O37" s="51"/>
      <c r="P37" s="60"/>
      <c r="Q37" s="161">
        <v>45314</v>
      </c>
    </row>
    <row r="38" spans="1:22" ht="15.6" customHeight="1">
      <c r="A38" s="51"/>
      <c r="B38" s="60"/>
      <c r="C38" s="61" t="str">
        <f>L37</f>
        <v>JAN 110..</v>
      </c>
      <c r="D38" s="62" t="str">
        <f>L38</f>
        <v>RO</v>
      </c>
      <c r="E38" s="60"/>
      <c r="F38" s="55">
        <v>-0.71369099999999996</v>
      </c>
      <c r="G38" s="55"/>
      <c r="H38" s="55"/>
      <c r="I38" s="55"/>
      <c r="J38" s="55"/>
      <c r="K38" s="151"/>
      <c r="L38" s="152" t="s">
        <v>75</v>
      </c>
      <c r="M38" s="115"/>
      <c r="N38" s="57"/>
      <c r="O38" s="51"/>
      <c r="P38" s="60"/>
      <c r="Q38" s="161"/>
      <c r="R38" s="170">
        <v>78.599806999999998</v>
      </c>
      <c r="V38" s="118" t="s">
        <v>127</v>
      </c>
    </row>
    <row r="39" spans="1:22" ht="15.6" customHeight="1">
      <c r="A39" s="51"/>
      <c r="B39" s="60"/>
      <c r="C39" s="61"/>
      <c r="D39" s="62" t="str">
        <f>L39</f>
        <v>RM 4</v>
      </c>
      <c r="E39" s="60"/>
      <c r="F39" s="55">
        <v>0.18859899999999999</v>
      </c>
      <c r="G39" s="55"/>
      <c r="H39" s="55"/>
      <c r="I39" s="55"/>
      <c r="J39" s="55"/>
      <c r="K39" s="151"/>
      <c r="L39" s="152" t="s">
        <v>191</v>
      </c>
      <c r="M39" s="115"/>
      <c r="N39" s="57"/>
      <c r="O39" s="51"/>
      <c r="P39" s="60"/>
      <c r="Q39" s="161"/>
      <c r="R39" s="170">
        <v>3.9346899999999998</v>
      </c>
      <c r="V39" s="118" t="s">
        <v>128</v>
      </c>
    </row>
    <row r="40" spans="1:22" ht="15.6" customHeight="1">
      <c r="A40" s="51"/>
      <c r="B40" s="60"/>
      <c r="C40" s="61"/>
      <c r="D40" s="62" t="str">
        <f>L40</f>
        <v>RM 3</v>
      </c>
      <c r="E40" s="60"/>
      <c r="F40" s="55">
        <v>-1.4118E-2</v>
      </c>
      <c r="G40" s="55"/>
      <c r="H40" s="55"/>
      <c r="I40" s="55"/>
      <c r="J40" s="55"/>
      <c r="K40" s="151"/>
      <c r="L40" s="152" t="s">
        <v>51</v>
      </c>
      <c r="M40" s="115"/>
      <c r="N40" s="57"/>
      <c r="O40" s="51"/>
      <c r="P40" s="60"/>
      <c r="Q40" s="161"/>
      <c r="R40" s="170">
        <v>2.9751249999999998</v>
      </c>
      <c r="V40" s="118" t="s">
        <v>129</v>
      </c>
    </row>
    <row r="41" spans="1:22" ht="15.6" customHeight="1">
      <c r="A41" s="51"/>
      <c r="B41" s="60"/>
      <c r="C41" s="61"/>
      <c r="D41" s="62" t="str">
        <f>L41</f>
        <v>RM 1</v>
      </c>
      <c r="E41" s="60"/>
      <c r="F41" s="55">
        <v>-0.24981700000000001</v>
      </c>
      <c r="G41" s="55"/>
      <c r="H41" s="55"/>
      <c r="I41" s="55"/>
      <c r="J41" s="55"/>
      <c r="K41" s="151"/>
      <c r="L41" s="152" t="s">
        <v>49</v>
      </c>
      <c r="M41" s="115"/>
      <c r="N41" s="57"/>
      <c r="O41" s="51"/>
      <c r="P41" s="60"/>
      <c r="Q41" s="161"/>
      <c r="R41" s="170">
        <v>3.6924800000000002</v>
      </c>
      <c r="V41" s="118" t="s">
        <v>130</v>
      </c>
    </row>
    <row r="42" spans="1:22" ht="15.6" customHeight="1">
      <c r="A42" s="51"/>
      <c r="B42" s="60"/>
      <c r="C42" s="61"/>
      <c r="D42" s="62"/>
      <c r="E42" s="60"/>
      <c r="F42" s="55"/>
      <c r="G42" s="55"/>
      <c r="H42" s="55"/>
      <c r="I42" s="55"/>
      <c r="J42" s="55"/>
      <c r="K42" s="151"/>
      <c r="L42" s="55"/>
      <c r="M42" s="115"/>
      <c r="N42" s="57"/>
      <c r="O42" s="51"/>
      <c r="P42" s="60"/>
      <c r="Q42" s="161"/>
    </row>
    <row r="43" spans="1:22" ht="15.6" customHeight="1">
      <c r="A43" s="51"/>
      <c r="B43" s="60"/>
      <c r="C43" s="61"/>
      <c r="D43" s="62"/>
      <c r="E43" s="60"/>
      <c r="F43" s="55"/>
      <c r="G43" s="55"/>
      <c r="H43" s="55"/>
      <c r="I43" s="55"/>
      <c r="J43" s="55"/>
      <c r="K43" s="151"/>
      <c r="L43" s="152" t="s">
        <v>131</v>
      </c>
      <c r="M43" s="115"/>
      <c r="N43" s="57"/>
      <c r="O43" s="51"/>
      <c r="P43" s="60"/>
      <c r="Q43" s="161">
        <v>45314</v>
      </c>
    </row>
    <row r="44" spans="1:22" ht="15.6" customHeight="1">
      <c r="A44" s="51"/>
      <c r="B44" s="60"/>
      <c r="C44" s="61" t="str">
        <f>L43</f>
        <v>ROBBS</v>
      </c>
      <c r="D44" s="62" t="str">
        <f t="shared" ref="D44:D49" si="1">L44</f>
        <v>ROBSS A.RM 1</v>
      </c>
      <c r="E44" s="60"/>
      <c r="F44" s="55">
        <v>-0.89427000000000001</v>
      </c>
      <c r="G44" s="55"/>
      <c r="H44" s="55"/>
      <c r="I44" s="55"/>
      <c r="J44" s="55"/>
      <c r="K44" s="151"/>
      <c r="L44" s="152" t="s">
        <v>201</v>
      </c>
      <c r="M44" s="115"/>
      <c r="N44" s="57"/>
      <c r="O44" s="51"/>
      <c r="P44" s="60"/>
      <c r="Q44" s="161"/>
      <c r="R44" s="170">
        <v>3.7048480000000001</v>
      </c>
      <c r="V44" s="118" t="s">
        <v>132</v>
      </c>
    </row>
    <row r="45" spans="1:22" ht="15.6" customHeight="1">
      <c r="A45" s="51"/>
      <c r="B45" s="60"/>
      <c r="C45" s="61"/>
      <c r="D45" s="62" t="str">
        <f t="shared" si="1"/>
        <v>ROBSS A.RM 2</v>
      </c>
      <c r="E45" s="60"/>
      <c r="F45" s="55">
        <v>-0.46608899999999998</v>
      </c>
      <c r="G45" s="55"/>
      <c r="H45" s="55"/>
      <c r="I45" s="55"/>
      <c r="J45" s="55"/>
      <c r="K45" s="151"/>
      <c r="L45" s="152" t="s">
        <v>202</v>
      </c>
      <c r="M45" s="115"/>
      <c r="N45" s="57"/>
      <c r="O45" s="51"/>
      <c r="P45" s="60"/>
      <c r="Q45" s="161"/>
      <c r="R45" s="170">
        <v>3.6946629999999998</v>
      </c>
      <c r="V45" s="118" t="s">
        <v>133</v>
      </c>
    </row>
    <row r="46" spans="1:22" ht="15.6" customHeight="1">
      <c r="A46" s="51"/>
      <c r="B46" s="60"/>
      <c r="C46" s="61"/>
      <c r="D46" s="62" t="str">
        <f t="shared" si="1"/>
        <v>ROBSS A.RM 3</v>
      </c>
      <c r="E46" s="60"/>
      <c r="F46" s="55">
        <v>-0.757656</v>
      </c>
      <c r="G46" s="55"/>
      <c r="H46" s="55"/>
      <c r="I46" s="55"/>
      <c r="J46" s="55"/>
      <c r="K46" s="151"/>
      <c r="L46" s="152" t="s">
        <v>203</v>
      </c>
      <c r="M46" s="115"/>
      <c r="N46" s="57"/>
      <c r="O46" s="51"/>
      <c r="P46" s="60"/>
      <c r="Q46" s="161"/>
      <c r="R46" s="170">
        <v>3.9375019999999998</v>
      </c>
      <c r="V46" s="118" t="s">
        <v>134</v>
      </c>
    </row>
    <row r="47" spans="1:22" ht="15.6" customHeight="1">
      <c r="A47" s="51"/>
      <c r="B47" s="60"/>
      <c r="C47" s="61"/>
      <c r="D47" s="62" t="str">
        <f t="shared" si="1"/>
        <v>ROBSS A..RM 1</v>
      </c>
      <c r="E47" s="60"/>
      <c r="F47" s="55">
        <v>-0.894146</v>
      </c>
      <c r="G47" s="55"/>
      <c r="H47" s="55"/>
      <c r="I47" s="55"/>
      <c r="J47" s="55"/>
      <c r="K47" s="151"/>
      <c r="L47" s="152" t="s">
        <v>204</v>
      </c>
      <c r="M47" s="115"/>
      <c r="N47" s="57"/>
      <c r="O47" s="51"/>
      <c r="P47" s="60"/>
      <c r="Q47" s="161"/>
      <c r="R47" s="170">
        <v>3.7068680000000001</v>
      </c>
      <c r="V47" s="118" t="s">
        <v>135</v>
      </c>
    </row>
    <row r="48" spans="1:22" ht="15.6" customHeight="1">
      <c r="A48" s="51"/>
      <c r="B48" s="60"/>
      <c r="C48" s="61"/>
      <c r="D48" s="62" t="str">
        <f t="shared" si="1"/>
        <v>ROBSS A..RM 2</v>
      </c>
      <c r="E48" s="60"/>
      <c r="F48" s="55">
        <v>-0.46595999999999999</v>
      </c>
      <c r="G48" s="55"/>
      <c r="H48" s="55"/>
      <c r="I48" s="55"/>
      <c r="J48" s="55"/>
      <c r="K48" s="151"/>
      <c r="L48" s="152" t="s">
        <v>205</v>
      </c>
      <c r="M48" s="115"/>
      <c r="N48" s="57"/>
      <c r="O48" s="51"/>
      <c r="P48" s="60"/>
      <c r="Q48" s="161"/>
      <c r="R48" s="170">
        <v>3.6947040000000002</v>
      </c>
      <c r="V48" s="118" t="s">
        <v>136</v>
      </c>
    </row>
    <row r="49" spans="1:22" ht="15.6" customHeight="1">
      <c r="A49" s="51"/>
      <c r="B49" s="60"/>
      <c r="C49" s="61"/>
      <c r="D49" s="62" t="str">
        <f t="shared" si="1"/>
        <v>ROBSS A..RM 3</v>
      </c>
      <c r="E49" s="60"/>
      <c r="F49" s="55">
        <v>-0.75763499999999995</v>
      </c>
      <c r="G49" s="55"/>
      <c r="H49" s="55"/>
      <c r="I49" s="55"/>
      <c r="J49" s="55"/>
      <c r="K49" s="151"/>
      <c r="L49" s="152" t="s">
        <v>206</v>
      </c>
      <c r="M49" s="115"/>
      <c r="N49" s="57"/>
      <c r="O49" s="51"/>
      <c r="P49" s="60"/>
      <c r="Q49" s="161"/>
      <c r="R49" s="170">
        <v>3.937189</v>
      </c>
      <c r="V49" s="118" t="s">
        <v>137</v>
      </c>
    </row>
    <row r="50" spans="1:22" ht="15.6" customHeight="1">
      <c r="A50" s="51"/>
      <c r="B50" s="60"/>
      <c r="C50" s="61"/>
      <c r="D50" s="62"/>
      <c r="E50" s="60"/>
      <c r="F50" s="55"/>
      <c r="G50" s="55"/>
      <c r="H50" s="55"/>
      <c r="I50" s="55"/>
      <c r="J50" s="55"/>
      <c r="K50" s="151"/>
      <c r="L50" s="55"/>
      <c r="M50" s="115"/>
      <c r="N50" s="57"/>
      <c r="O50" s="51"/>
      <c r="P50" s="60"/>
      <c r="Q50" s="161"/>
    </row>
    <row r="51" spans="1:22" ht="15.6" customHeight="1">
      <c r="A51" s="51"/>
      <c r="B51" s="60"/>
      <c r="C51" s="61"/>
      <c r="D51" s="62"/>
      <c r="E51" s="60"/>
      <c r="F51" s="55"/>
      <c r="G51" s="55"/>
      <c r="H51" s="55"/>
      <c r="I51" s="55"/>
      <c r="J51" s="55"/>
      <c r="K51" s="151"/>
      <c r="L51" s="152" t="s">
        <v>207</v>
      </c>
      <c r="M51" s="115"/>
      <c r="N51" s="57"/>
      <c r="O51" s="51"/>
      <c r="P51" s="60"/>
      <c r="Q51" s="161">
        <v>45328</v>
      </c>
    </row>
    <row r="52" spans="1:22" ht="15.6" customHeight="1">
      <c r="A52" s="51"/>
      <c r="B52" s="60"/>
      <c r="C52" s="61" t="str">
        <f>L51</f>
        <v>ROSS 252.</v>
      </c>
      <c r="D52" s="62" t="str">
        <f>L52</f>
        <v>RM 2</v>
      </c>
      <c r="E52" s="60"/>
      <c r="F52" s="55">
        <v>-3.9043000000000001E-2</v>
      </c>
      <c r="G52" s="55"/>
      <c r="H52" s="55"/>
      <c r="I52" s="55"/>
      <c r="J52" s="55"/>
      <c r="K52" s="151"/>
      <c r="L52" s="152" t="s">
        <v>50</v>
      </c>
      <c r="M52" s="115"/>
      <c r="N52" s="57"/>
      <c r="O52" s="51"/>
      <c r="P52" s="60"/>
      <c r="Q52" s="161"/>
      <c r="R52" s="170">
        <v>4.8474430000000002</v>
      </c>
      <c r="V52" s="118" t="s">
        <v>138</v>
      </c>
    </row>
    <row r="53" spans="1:22" ht="15.6" customHeight="1">
      <c r="A53" s="51"/>
      <c r="B53" s="60"/>
      <c r="C53" s="61"/>
      <c r="D53" s="62" t="str">
        <f>L53</f>
        <v>RM 3</v>
      </c>
      <c r="E53" s="60"/>
      <c r="F53" s="55">
        <v>-0.137157</v>
      </c>
      <c r="G53" s="55"/>
      <c r="H53" s="55"/>
      <c r="I53" s="55"/>
      <c r="J53" s="55"/>
      <c r="K53" s="151"/>
      <c r="L53" s="152" t="s">
        <v>51</v>
      </c>
      <c r="M53" s="115"/>
      <c r="N53" s="57"/>
      <c r="O53" s="51"/>
      <c r="P53" s="60"/>
      <c r="Q53" s="161"/>
      <c r="R53" s="170">
        <v>4.757612</v>
      </c>
      <c r="V53" s="118" t="s">
        <v>139</v>
      </c>
    </row>
    <row r="54" spans="1:22" ht="15.6" customHeight="1">
      <c r="A54" s="51"/>
      <c r="B54" s="60"/>
      <c r="C54" s="61"/>
      <c r="D54" s="62" t="str">
        <f>L54</f>
        <v>RM 4</v>
      </c>
      <c r="E54" s="60"/>
      <c r="F54" s="55">
        <v>0.26554</v>
      </c>
      <c r="G54" s="55"/>
      <c r="H54" s="55"/>
      <c r="I54" s="55"/>
      <c r="J54" s="55"/>
      <c r="K54" s="151"/>
      <c r="L54" s="152" t="s">
        <v>191</v>
      </c>
      <c r="M54" s="115"/>
      <c r="N54" s="57"/>
      <c r="O54" s="51"/>
      <c r="P54" s="60"/>
      <c r="Q54" s="161"/>
      <c r="R54" s="170">
        <v>5.7671109999999999</v>
      </c>
      <c r="V54" s="118" t="s">
        <v>140</v>
      </c>
    </row>
    <row r="55" spans="1:22" ht="15.6" customHeight="1">
      <c r="A55" s="51"/>
      <c r="B55" s="60"/>
      <c r="C55" s="61"/>
      <c r="D55" s="62"/>
      <c r="E55" s="60"/>
      <c r="F55" s="55"/>
      <c r="G55" s="55"/>
      <c r="H55" s="55"/>
      <c r="I55" s="55"/>
      <c r="J55" s="55"/>
      <c r="K55" s="151"/>
      <c r="L55" s="55"/>
      <c r="M55" s="115"/>
      <c r="N55" s="57"/>
      <c r="O55" s="51"/>
      <c r="P55" s="60"/>
      <c r="Q55" s="161"/>
    </row>
    <row r="56" spans="1:22" ht="15.6" customHeight="1">
      <c r="A56" s="51"/>
      <c r="B56" s="60"/>
      <c r="C56" s="61"/>
      <c r="D56" s="62"/>
      <c r="E56" s="60"/>
      <c r="F56" s="55"/>
      <c r="G56" s="55"/>
      <c r="H56" s="55"/>
      <c r="I56" s="55"/>
      <c r="J56" s="55"/>
      <c r="K56" s="151"/>
      <c r="L56" s="152" t="s">
        <v>208</v>
      </c>
      <c r="M56" s="115"/>
      <c r="N56" s="57"/>
      <c r="O56" s="51"/>
      <c r="P56" s="60"/>
      <c r="Q56" s="161">
        <v>45328</v>
      </c>
    </row>
    <row r="57" spans="1:22" ht="15.6" customHeight="1">
      <c r="A57" s="51"/>
      <c r="B57" s="60"/>
      <c r="C57" s="61" t="str">
        <f>L56</f>
        <v>ROSS 252..</v>
      </c>
      <c r="D57" s="62" t="str">
        <f>L57</f>
        <v>RM 2</v>
      </c>
      <c r="E57" s="60"/>
      <c r="F57" s="55">
        <v>-3.9904000000000002E-2</v>
      </c>
      <c r="G57" s="55"/>
      <c r="H57" s="55"/>
      <c r="I57" s="55"/>
      <c r="J57" s="55"/>
      <c r="K57" s="151"/>
      <c r="L57" s="152" t="s">
        <v>50</v>
      </c>
      <c r="M57" s="115"/>
      <c r="N57" s="57"/>
      <c r="O57" s="51"/>
      <c r="P57" s="60"/>
      <c r="Q57" s="161"/>
      <c r="R57" s="170">
        <v>4.8478159999999999</v>
      </c>
      <c r="V57" s="118" t="s">
        <v>141</v>
      </c>
    </row>
    <row r="58" spans="1:22" ht="15.6" customHeight="1">
      <c r="A58" s="51"/>
      <c r="B58" s="60"/>
      <c r="C58" s="61"/>
      <c r="D58" s="62" t="str">
        <f>L58</f>
        <v>RM 3</v>
      </c>
      <c r="E58" s="60"/>
      <c r="F58" s="55">
        <v>-0.13795299999999999</v>
      </c>
      <c r="G58" s="55"/>
      <c r="H58" s="55"/>
      <c r="I58" s="55"/>
      <c r="J58" s="55"/>
      <c r="K58" s="151"/>
      <c r="L58" s="152" t="s">
        <v>51</v>
      </c>
      <c r="M58" s="115"/>
      <c r="N58" s="57"/>
      <c r="O58" s="51"/>
      <c r="P58" s="60"/>
      <c r="Q58" s="161"/>
      <c r="R58" s="170">
        <v>4.7608759999999997</v>
      </c>
      <c r="V58" s="118" t="s">
        <v>142</v>
      </c>
    </row>
    <row r="59" spans="1:22" ht="15.6" customHeight="1">
      <c r="A59" s="51"/>
      <c r="B59" s="60"/>
      <c r="C59" s="61"/>
      <c r="D59" s="62" t="str">
        <f>L59</f>
        <v>RM 4</v>
      </c>
      <c r="E59" s="60"/>
      <c r="F59" s="55">
        <v>0.265268</v>
      </c>
      <c r="G59" s="55"/>
      <c r="H59" s="55"/>
      <c r="I59" s="55"/>
      <c r="J59" s="55"/>
      <c r="K59" s="151"/>
      <c r="L59" s="152" t="s">
        <v>191</v>
      </c>
      <c r="M59" s="115"/>
      <c r="N59" s="57"/>
      <c r="O59" s="51"/>
      <c r="P59" s="60"/>
      <c r="Q59" s="161"/>
      <c r="R59" s="170">
        <v>5.7676949999999998</v>
      </c>
      <c r="V59" s="118" t="s">
        <v>143</v>
      </c>
    </row>
    <row r="60" spans="1:22" ht="15.6" customHeight="1">
      <c r="A60" s="51"/>
      <c r="B60" s="60"/>
      <c r="C60" s="61"/>
      <c r="D60" s="62"/>
      <c r="E60" s="60"/>
      <c r="F60" s="55"/>
      <c r="G60" s="55"/>
      <c r="H60" s="55"/>
      <c r="I60" s="55"/>
      <c r="J60" s="55"/>
      <c r="K60" s="151"/>
      <c r="L60" s="55"/>
      <c r="M60" s="115"/>
      <c r="N60" s="57"/>
      <c r="O60" s="51"/>
      <c r="P60" s="60"/>
      <c r="Q60" s="161"/>
    </row>
    <row r="61" spans="1:22" ht="15.6" customHeight="1">
      <c r="A61" s="51"/>
      <c r="B61" s="60"/>
      <c r="C61" s="61"/>
      <c r="D61" s="62"/>
      <c r="E61" s="60"/>
      <c r="F61" s="55"/>
      <c r="G61" s="55"/>
      <c r="H61" s="55"/>
      <c r="I61" s="55"/>
      <c r="J61" s="55"/>
      <c r="K61" s="151"/>
      <c r="L61" s="152" t="s">
        <v>209</v>
      </c>
      <c r="M61" s="115"/>
      <c r="N61" s="57"/>
      <c r="O61" s="51"/>
      <c r="P61" s="60"/>
      <c r="Q61" s="161">
        <v>45314</v>
      </c>
    </row>
    <row r="62" spans="1:22" ht="15.6" customHeight="1">
      <c r="A62" s="51"/>
      <c r="B62" s="60"/>
      <c r="C62" s="61" t="str">
        <f>L61</f>
        <v>ROSS 97B</v>
      </c>
      <c r="D62" s="62" t="str">
        <f>L62</f>
        <v>.RM 8</v>
      </c>
      <c r="E62" s="60"/>
      <c r="F62" s="55">
        <v>0.15085399999999999</v>
      </c>
      <c r="G62" s="55"/>
      <c r="H62" s="55"/>
      <c r="I62" s="55"/>
      <c r="J62" s="55"/>
      <c r="K62" s="151"/>
      <c r="L62" s="152" t="s">
        <v>210</v>
      </c>
      <c r="M62" s="115"/>
      <c r="N62" s="57"/>
      <c r="O62" s="51"/>
      <c r="P62" s="60"/>
      <c r="Q62" s="161"/>
      <c r="R62" s="170">
        <v>3.4272800000000001</v>
      </c>
      <c r="V62" s="118" t="s">
        <v>144</v>
      </c>
    </row>
    <row r="63" spans="1:22" ht="15.6" customHeight="1">
      <c r="A63" s="51"/>
      <c r="B63" s="60"/>
      <c r="C63" s="61"/>
      <c r="D63" s="62" t="str">
        <f>L63</f>
        <v>.RM 9</v>
      </c>
      <c r="E63" s="60"/>
      <c r="F63" s="55">
        <v>0.122083</v>
      </c>
      <c r="G63" s="55"/>
      <c r="H63" s="55"/>
      <c r="I63" s="55"/>
      <c r="J63" s="55"/>
      <c r="K63" s="151"/>
      <c r="L63" s="152" t="s">
        <v>211</v>
      </c>
      <c r="M63" s="115"/>
      <c r="N63" s="57"/>
      <c r="O63" s="51"/>
      <c r="P63" s="60"/>
      <c r="Q63" s="161"/>
      <c r="R63" s="170">
        <v>4.4502680000000003</v>
      </c>
      <c r="V63" s="118" t="s">
        <v>145</v>
      </c>
    </row>
    <row r="64" spans="1:22" ht="15.6" customHeight="1">
      <c r="A64" s="51"/>
      <c r="B64" s="60"/>
      <c r="C64" s="61"/>
      <c r="D64" s="62" t="str">
        <f>L64</f>
        <v>.RM 5</v>
      </c>
      <c r="E64" s="60"/>
      <c r="F64" s="55">
        <v>0.201844</v>
      </c>
      <c r="G64" s="55"/>
      <c r="H64" s="55"/>
      <c r="I64" s="55"/>
      <c r="J64" s="55"/>
      <c r="K64" s="151"/>
      <c r="L64" s="152" t="s">
        <v>212</v>
      </c>
      <c r="M64" s="115"/>
      <c r="N64" s="57"/>
      <c r="O64" s="51"/>
      <c r="P64" s="60"/>
      <c r="Q64" s="161"/>
      <c r="R64" s="170">
        <v>1.2005239999999999</v>
      </c>
      <c r="V64" s="118" t="s">
        <v>146</v>
      </c>
    </row>
    <row r="65" spans="1:22" ht="15.6" customHeight="1">
      <c r="A65" s="51"/>
      <c r="B65" s="60"/>
      <c r="C65" s="61"/>
      <c r="D65" s="62" t="str">
        <f>L65</f>
        <v>RM 10</v>
      </c>
      <c r="E65" s="60"/>
      <c r="F65" s="55">
        <v>-0.46380500000000002</v>
      </c>
      <c r="G65" s="55"/>
      <c r="H65" s="55"/>
      <c r="I65" s="55"/>
      <c r="J65" s="55"/>
      <c r="K65" s="151">
        <v>-0.46300000000000002</v>
      </c>
      <c r="L65" s="152" t="s">
        <v>213</v>
      </c>
      <c r="M65" s="115"/>
      <c r="N65" s="57"/>
      <c r="O65" s="51"/>
      <c r="P65" s="60"/>
      <c r="Q65" s="161"/>
      <c r="R65" s="170">
        <v>12.099902999999999</v>
      </c>
      <c r="V65" s="118" t="s">
        <v>147</v>
      </c>
    </row>
    <row r="66" spans="1:22" ht="15.6" customHeight="1">
      <c r="A66" s="51"/>
      <c r="B66" s="60"/>
      <c r="C66" s="61"/>
      <c r="D66" s="62" t="str">
        <f>L66</f>
        <v>RO</v>
      </c>
      <c r="E66" s="60"/>
      <c r="F66" s="55">
        <v>-0.43404999999999999</v>
      </c>
      <c r="G66" s="55"/>
      <c r="H66" s="55"/>
      <c r="I66" s="55"/>
      <c r="J66" s="55"/>
      <c r="K66" s="151"/>
      <c r="L66" s="152" t="s">
        <v>75</v>
      </c>
      <c r="M66" s="115"/>
      <c r="N66" s="57"/>
      <c r="O66" s="51"/>
      <c r="P66" s="60"/>
      <c r="Q66" s="161"/>
      <c r="R66" s="170">
        <v>90.061648000000005</v>
      </c>
      <c r="V66" s="118" t="s">
        <v>148</v>
      </c>
    </row>
    <row r="67" spans="1:22" ht="15.6" customHeight="1">
      <c r="A67" s="51"/>
      <c r="B67" s="60"/>
      <c r="C67" s="61"/>
      <c r="D67" s="62"/>
      <c r="E67" s="60"/>
      <c r="F67" s="55"/>
      <c r="G67" s="55"/>
      <c r="H67" s="55"/>
      <c r="I67" s="55"/>
      <c r="J67" s="55"/>
      <c r="K67" s="151"/>
      <c r="L67" s="55"/>
      <c r="M67" s="115"/>
      <c r="N67" s="57"/>
      <c r="O67" s="51"/>
      <c r="P67" s="60"/>
      <c r="Q67" s="161"/>
    </row>
    <row r="68" spans="1:22" ht="15.6" customHeight="1">
      <c r="A68" s="51"/>
      <c r="B68" s="60"/>
      <c r="C68" s="61"/>
      <c r="D68" s="62"/>
      <c r="E68" s="60"/>
      <c r="F68" s="55"/>
      <c r="G68" s="55"/>
      <c r="H68" s="55"/>
      <c r="I68" s="55"/>
      <c r="J68" s="55"/>
      <c r="K68" s="151"/>
      <c r="L68" s="152" t="s">
        <v>214</v>
      </c>
      <c r="M68" s="115"/>
      <c r="N68" s="57"/>
      <c r="O68" s="51"/>
      <c r="P68" s="60"/>
      <c r="Q68" s="161">
        <v>45314</v>
      </c>
    </row>
    <row r="69" spans="1:22" ht="15.6" customHeight="1">
      <c r="A69" s="51"/>
      <c r="B69" s="60"/>
      <c r="C69" s="61" t="str">
        <f>L68</f>
        <v>ROSS 97B..</v>
      </c>
      <c r="D69" s="62" t="str">
        <f>L69</f>
        <v>ROSS 97B.RM 8.</v>
      </c>
      <c r="E69" s="60"/>
      <c r="F69" s="55">
        <v>0.15096100000000001</v>
      </c>
      <c r="G69" s="55"/>
      <c r="H69" s="55"/>
      <c r="I69" s="55"/>
      <c r="J69" s="55"/>
      <c r="K69" s="151"/>
      <c r="L69" s="152" t="s">
        <v>215</v>
      </c>
      <c r="M69" s="115"/>
      <c r="N69" s="57"/>
      <c r="O69" s="51"/>
      <c r="P69" s="60"/>
      <c r="Q69" s="161"/>
      <c r="R69" s="170">
        <v>3.4273820000000002</v>
      </c>
      <c r="V69" s="118" t="s">
        <v>149</v>
      </c>
    </row>
    <row r="70" spans="1:22" ht="15.6" customHeight="1">
      <c r="A70" s="51"/>
      <c r="B70" s="60"/>
      <c r="C70" s="61"/>
      <c r="D70" s="62" t="str">
        <f>L70</f>
        <v>ROSS 97B.RM 9.</v>
      </c>
      <c r="E70" s="60"/>
      <c r="F70" s="55">
        <v>0.122223</v>
      </c>
      <c r="G70" s="55"/>
      <c r="H70" s="55"/>
      <c r="I70" s="55"/>
      <c r="J70" s="55"/>
      <c r="K70" s="151"/>
      <c r="L70" s="152" t="s">
        <v>216</v>
      </c>
      <c r="M70" s="115"/>
      <c r="N70" s="57"/>
      <c r="O70" s="51"/>
      <c r="P70" s="60"/>
      <c r="Q70" s="161"/>
      <c r="R70" s="170">
        <v>4.4498600000000001</v>
      </c>
      <c r="V70" s="118" t="s">
        <v>150</v>
      </c>
    </row>
    <row r="71" spans="1:22" ht="15.6" customHeight="1">
      <c r="A71" s="51"/>
      <c r="B71" s="60"/>
      <c r="C71" s="61"/>
      <c r="D71" s="62" t="str">
        <f>L71</f>
        <v>ROSS 97B.RM 10.</v>
      </c>
      <c r="E71" s="60"/>
      <c r="F71" s="55">
        <v>-0.463474</v>
      </c>
      <c r="G71" s="55"/>
      <c r="H71" s="55"/>
      <c r="I71" s="55"/>
      <c r="J71" s="55"/>
      <c r="K71" s="151"/>
      <c r="L71" s="152" t="s">
        <v>217</v>
      </c>
      <c r="M71" s="115"/>
      <c r="N71" s="57"/>
      <c r="O71" s="51"/>
      <c r="P71" s="60"/>
      <c r="Q71" s="161"/>
      <c r="R71" s="170">
        <v>12.097815000000001</v>
      </c>
      <c r="V71" s="118" t="s">
        <v>151</v>
      </c>
    </row>
    <row r="72" spans="1:22" ht="15.6" customHeight="1">
      <c r="A72" s="51"/>
      <c r="B72" s="60"/>
      <c r="C72" s="61"/>
      <c r="D72" s="62" t="str">
        <f>L72</f>
        <v>ROSS 97B.RM 5.</v>
      </c>
      <c r="E72" s="60"/>
      <c r="F72" s="55">
        <v>0.20162099999999999</v>
      </c>
      <c r="G72" s="55"/>
      <c r="H72" s="55"/>
      <c r="I72" s="55"/>
      <c r="J72" s="55"/>
      <c r="K72" s="151"/>
      <c r="L72" s="152" t="s">
        <v>218</v>
      </c>
      <c r="M72" s="115"/>
      <c r="N72" s="57"/>
      <c r="O72" s="51"/>
      <c r="P72" s="60"/>
      <c r="Q72" s="161"/>
      <c r="R72" s="170">
        <v>1.202688</v>
      </c>
      <c r="V72" s="118" t="s">
        <v>152</v>
      </c>
    </row>
    <row r="73" spans="1:22" ht="15.6" customHeight="1">
      <c r="A73" s="51"/>
      <c r="B73" s="60"/>
      <c r="C73" s="61"/>
      <c r="D73" s="62" t="str">
        <f>L73</f>
        <v>RO</v>
      </c>
      <c r="E73" s="60"/>
      <c r="F73" s="55">
        <v>-0.88287599999999999</v>
      </c>
      <c r="G73" s="55"/>
      <c r="H73" s="55"/>
      <c r="I73" s="55"/>
      <c r="J73" s="55"/>
      <c r="K73" s="151"/>
      <c r="L73" s="152" t="s">
        <v>75</v>
      </c>
      <c r="M73" s="115"/>
      <c r="N73" s="57"/>
      <c r="O73" s="51"/>
      <c r="P73" s="60"/>
      <c r="Q73" s="161"/>
      <c r="R73" s="170">
        <v>90.060890000000001</v>
      </c>
      <c r="V73" s="118" t="s">
        <v>153</v>
      </c>
    </row>
    <row r="74" spans="1:22" ht="15.6" customHeight="1">
      <c r="A74" s="51"/>
      <c r="B74" s="60"/>
      <c r="C74" s="61"/>
      <c r="D74" s="62"/>
      <c r="E74" s="60"/>
      <c r="F74" s="55"/>
      <c r="G74" s="55"/>
      <c r="H74" s="55"/>
      <c r="I74" s="55"/>
      <c r="J74" s="55"/>
      <c r="K74" s="151"/>
      <c r="L74" s="55"/>
      <c r="M74" s="115"/>
      <c r="N74" s="57"/>
      <c r="O74" s="51"/>
      <c r="P74" s="60"/>
      <c r="Q74" s="161"/>
    </row>
    <row r="75" spans="1:22" ht="15.6" customHeight="1">
      <c r="A75" s="51"/>
      <c r="B75" s="60"/>
      <c r="C75" s="61"/>
      <c r="D75" s="62"/>
      <c r="E75" s="60"/>
      <c r="F75" s="55"/>
      <c r="G75" s="55"/>
      <c r="H75" s="55"/>
      <c r="I75" s="55"/>
      <c r="J75" s="55"/>
      <c r="K75" s="151"/>
      <c r="L75" s="152" t="s">
        <v>219</v>
      </c>
      <c r="M75" s="115"/>
      <c r="N75" s="57"/>
      <c r="O75" s="51"/>
      <c r="P75" s="60"/>
      <c r="Q75" s="161">
        <v>45314</v>
      </c>
    </row>
    <row r="76" spans="1:22" ht="15.6" customHeight="1">
      <c r="A76" s="51"/>
      <c r="B76" s="60"/>
      <c r="C76" s="61" t="str">
        <f>L75</f>
        <v>SPW 11</v>
      </c>
      <c r="D76" s="62" t="str">
        <f>L76</f>
        <v>.RM 1</v>
      </c>
      <c r="E76" s="60"/>
      <c r="F76" s="55">
        <v>-1.295126</v>
      </c>
      <c r="G76" s="55"/>
      <c r="H76" s="55"/>
      <c r="I76" s="55"/>
      <c r="J76" s="55"/>
      <c r="K76" s="151"/>
      <c r="L76" s="152" t="s">
        <v>197</v>
      </c>
      <c r="M76" s="115"/>
      <c r="N76" s="57"/>
      <c r="O76" s="51"/>
      <c r="P76" s="60"/>
      <c r="Q76" s="161"/>
      <c r="R76" s="170">
        <v>8.0387269999999997</v>
      </c>
      <c r="V76" s="118" t="s">
        <v>154</v>
      </c>
    </row>
    <row r="77" spans="1:22" ht="15.6" customHeight="1">
      <c r="A77" s="51"/>
      <c r="B77" s="60"/>
      <c r="C77" s="61"/>
      <c r="D77" s="62" t="str">
        <f>L77</f>
        <v>.RM 2</v>
      </c>
      <c r="E77" s="60"/>
      <c r="F77" s="55">
        <v>0.16137899999999999</v>
      </c>
      <c r="G77" s="55"/>
      <c r="H77" s="55"/>
      <c r="I77" s="55"/>
      <c r="J77" s="55"/>
      <c r="K77" s="151"/>
      <c r="L77" s="152" t="s">
        <v>220</v>
      </c>
      <c r="M77" s="115"/>
      <c r="N77" s="57"/>
      <c r="O77" s="51"/>
      <c r="P77" s="60"/>
      <c r="Q77" s="161"/>
      <c r="R77" s="170">
        <v>7.8986020000000003</v>
      </c>
      <c r="V77" s="118" t="s">
        <v>155</v>
      </c>
    </row>
    <row r="78" spans="1:22" ht="15.6" customHeight="1">
      <c r="A78" s="51"/>
      <c r="B78" s="60"/>
      <c r="C78" s="61"/>
      <c r="D78" s="62" t="str">
        <f>L78</f>
        <v>.RM 3</v>
      </c>
      <c r="E78" s="60"/>
      <c r="F78" s="55">
        <v>0.21478900000000001</v>
      </c>
      <c r="G78" s="55"/>
      <c r="H78" s="55"/>
      <c r="I78" s="55"/>
      <c r="J78" s="55"/>
      <c r="K78" s="151"/>
      <c r="L78" s="152" t="s">
        <v>198</v>
      </c>
      <c r="M78" s="115"/>
      <c r="N78" s="57"/>
      <c r="O78" s="51"/>
      <c r="P78" s="60"/>
      <c r="Q78" s="161"/>
      <c r="R78" s="170">
        <v>8.0385349999999995</v>
      </c>
      <c r="V78" s="118" t="s">
        <v>156</v>
      </c>
    </row>
    <row r="79" spans="1:22" ht="15.6" customHeight="1">
      <c r="A79" s="51"/>
      <c r="B79" s="60"/>
      <c r="C79" s="61"/>
      <c r="D79" s="62"/>
      <c r="E79" s="60"/>
      <c r="F79" s="55"/>
      <c r="G79" s="55"/>
      <c r="H79" s="55"/>
      <c r="I79" s="55"/>
      <c r="J79" s="55"/>
      <c r="K79" s="151"/>
      <c r="L79" s="55"/>
      <c r="M79" s="115"/>
      <c r="N79" s="57"/>
      <c r="O79" s="51"/>
      <c r="P79" s="60"/>
      <c r="Q79" s="161"/>
    </row>
    <row r="80" spans="1:22" ht="15.6" customHeight="1">
      <c r="A80" s="51"/>
      <c r="B80" s="60"/>
      <c r="C80" s="61"/>
      <c r="D80" s="62"/>
      <c r="E80" s="60"/>
      <c r="F80" s="55"/>
      <c r="G80" s="55"/>
      <c r="H80" s="55"/>
      <c r="I80" s="55"/>
      <c r="J80" s="55"/>
      <c r="K80" s="151"/>
      <c r="L80" s="152" t="s">
        <v>221</v>
      </c>
      <c r="M80" s="115"/>
      <c r="N80" s="57"/>
      <c r="O80" s="51"/>
      <c r="P80" s="60"/>
      <c r="Q80" s="161">
        <v>45314</v>
      </c>
    </row>
    <row r="81" spans="1:22" ht="15.6" customHeight="1">
      <c r="A81" s="51"/>
      <c r="B81" s="60"/>
      <c r="C81" s="61" t="str">
        <f>L80</f>
        <v>SPW 11..</v>
      </c>
      <c r="D81" s="62" t="str">
        <f>L81</f>
        <v>RM 1</v>
      </c>
      <c r="E81" s="60"/>
      <c r="F81" s="55">
        <v>-1.2951280000000001</v>
      </c>
      <c r="G81" s="55"/>
      <c r="H81" s="55"/>
      <c r="I81" s="55"/>
      <c r="J81" s="55"/>
      <c r="K81" s="151"/>
      <c r="L81" s="152" t="s">
        <v>49</v>
      </c>
      <c r="M81" s="115"/>
      <c r="N81" s="57"/>
      <c r="O81" s="51"/>
      <c r="P81" s="60"/>
      <c r="Q81" s="161"/>
      <c r="R81" s="170">
        <v>8.0388300000000008</v>
      </c>
      <c r="V81" s="118" t="s">
        <v>157</v>
      </c>
    </row>
    <row r="82" spans="1:22" ht="15.6" customHeight="1">
      <c r="A82" s="51"/>
      <c r="B82" s="60"/>
      <c r="C82" s="61"/>
      <c r="D82" s="62" t="str">
        <f>L82</f>
        <v>RM 2</v>
      </c>
      <c r="E82" s="60"/>
      <c r="F82" s="55">
        <v>0.16131300000000001</v>
      </c>
      <c r="G82" s="55"/>
      <c r="H82" s="55"/>
      <c r="I82" s="55"/>
      <c r="J82" s="55"/>
      <c r="K82" s="151"/>
      <c r="L82" s="152" t="s">
        <v>50</v>
      </c>
      <c r="M82" s="115"/>
      <c r="N82" s="57"/>
      <c r="O82" s="51"/>
      <c r="P82" s="60"/>
      <c r="Q82" s="161"/>
      <c r="R82" s="170">
        <v>7.898536</v>
      </c>
      <c r="V82" s="118" t="s">
        <v>158</v>
      </c>
    </row>
    <row r="83" spans="1:22" ht="15.6" customHeight="1">
      <c r="A83" s="51"/>
      <c r="B83" s="60"/>
      <c r="C83" s="61"/>
      <c r="D83" s="62" t="str">
        <f>L83</f>
        <v>RM 3</v>
      </c>
      <c r="E83" s="60"/>
      <c r="F83" s="55">
        <v>0.21454100000000001</v>
      </c>
      <c r="G83" s="55"/>
      <c r="H83" s="55"/>
      <c r="I83" s="55"/>
      <c r="J83" s="55"/>
      <c r="K83" s="151"/>
      <c r="L83" s="152" t="s">
        <v>51</v>
      </c>
      <c r="M83" s="115"/>
      <c r="N83" s="57"/>
      <c r="O83" s="51"/>
      <c r="P83" s="60"/>
      <c r="Q83" s="161"/>
      <c r="R83" s="170">
        <v>8.0423530000000003</v>
      </c>
      <c r="V83" s="118" t="s">
        <v>159</v>
      </c>
    </row>
    <row r="84" spans="1:22" ht="15.6" customHeight="1">
      <c r="A84" s="51"/>
      <c r="B84" s="60"/>
      <c r="C84" s="61"/>
      <c r="D84" s="62"/>
      <c r="E84" s="60"/>
      <c r="F84" s="55"/>
      <c r="G84" s="55"/>
      <c r="H84" s="55"/>
      <c r="I84" s="55"/>
      <c r="J84" s="55"/>
      <c r="K84" s="151"/>
      <c r="L84" s="55"/>
      <c r="M84" s="115"/>
      <c r="N84" s="57"/>
      <c r="O84" s="51"/>
      <c r="P84" s="60"/>
      <c r="Q84" s="161"/>
    </row>
    <row r="85" spans="1:22" ht="15.6" customHeight="1">
      <c r="A85" s="51"/>
      <c r="B85" s="60"/>
      <c r="C85" s="61"/>
      <c r="D85" s="62"/>
      <c r="E85" s="60"/>
      <c r="F85" s="55"/>
      <c r="G85" s="55"/>
      <c r="H85" s="55"/>
      <c r="I85" s="55"/>
      <c r="J85" s="55"/>
      <c r="K85" s="151"/>
      <c r="L85" s="152" t="s">
        <v>222</v>
      </c>
      <c r="M85" s="115"/>
      <c r="N85" s="57"/>
      <c r="O85" s="51"/>
      <c r="P85" s="60"/>
      <c r="Q85" s="161">
        <v>45314</v>
      </c>
    </row>
    <row r="86" spans="1:22" ht="15.6" customHeight="1">
      <c r="A86" s="51"/>
      <c r="B86" s="60"/>
      <c r="C86" s="61" t="str">
        <f>L85</f>
        <v>SPW 13.</v>
      </c>
      <c r="D86" s="62" t="str">
        <f>L86</f>
        <v>RO</v>
      </c>
      <c r="E86" s="60"/>
      <c r="F86" s="55">
        <v>-3.3534220000000001</v>
      </c>
      <c r="G86" s="55"/>
      <c r="H86" s="55"/>
      <c r="I86" s="55"/>
      <c r="J86" s="55"/>
      <c r="K86" s="151"/>
      <c r="L86" s="152" t="s">
        <v>75</v>
      </c>
      <c r="M86" s="115"/>
      <c r="N86" s="57"/>
      <c r="O86" s="51"/>
      <c r="P86" s="60"/>
      <c r="Q86" s="161"/>
      <c r="R86" s="170">
        <v>74.423053999999993</v>
      </c>
      <c r="V86" s="118" t="s">
        <v>160</v>
      </c>
    </row>
    <row r="87" spans="1:22" ht="15.6" customHeight="1">
      <c r="A87" s="51"/>
      <c r="B87" s="60"/>
      <c r="C87" s="61"/>
      <c r="D87" s="62" t="str">
        <f>L87</f>
        <v>RM 1</v>
      </c>
      <c r="E87" s="60"/>
      <c r="F87" s="55">
        <v>0.19663600000000001</v>
      </c>
      <c r="G87" s="55"/>
      <c r="H87" s="55"/>
      <c r="I87" s="55"/>
      <c r="J87" s="55"/>
      <c r="K87" s="151"/>
      <c r="L87" s="152" t="s">
        <v>49</v>
      </c>
      <c r="M87" s="115"/>
      <c r="N87" s="57"/>
      <c r="O87" s="51"/>
      <c r="P87" s="60"/>
      <c r="Q87" s="161"/>
      <c r="R87" s="170">
        <v>6.4138330000000003</v>
      </c>
      <c r="V87" s="118" t="s">
        <v>161</v>
      </c>
    </row>
    <row r="88" spans="1:22" ht="15.6" customHeight="1">
      <c r="A88" s="51"/>
      <c r="B88" s="60"/>
      <c r="C88" s="61"/>
      <c r="D88" s="62" t="str">
        <f>L88</f>
        <v>RM 3</v>
      </c>
      <c r="E88" s="60"/>
      <c r="F88" s="55">
        <v>-0.23295199999999999</v>
      </c>
      <c r="G88" s="55"/>
      <c r="H88" s="55"/>
      <c r="I88" s="55"/>
      <c r="J88" s="55"/>
      <c r="K88" s="151"/>
      <c r="L88" s="152" t="s">
        <v>51</v>
      </c>
      <c r="M88" s="115"/>
      <c r="N88" s="57"/>
      <c r="O88" s="51"/>
      <c r="P88" s="60"/>
      <c r="Q88" s="161"/>
      <c r="R88" s="170">
        <v>5.9612910000000001</v>
      </c>
      <c r="V88" s="118" t="s">
        <v>162</v>
      </c>
    </row>
    <row r="89" spans="1:22" ht="15.6" customHeight="1">
      <c r="A89" s="51"/>
      <c r="B89" s="60"/>
      <c r="C89" s="61"/>
      <c r="D89" s="62" t="str">
        <f>L89</f>
        <v>RM 5</v>
      </c>
      <c r="E89" s="60"/>
      <c r="F89" s="55">
        <v>-0.30520000000000003</v>
      </c>
      <c r="G89" s="55"/>
      <c r="H89" s="55"/>
      <c r="I89" s="55"/>
      <c r="J89" s="55"/>
      <c r="K89" s="151"/>
      <c r="L89" s="152" t="s">
        <v>45</v>
      </c>
      <c r="M89" s="115"/>
      <c r="N89" s="57"/>
      <c r="O89" s="51"/>
      <c r="P89" s="60"/>
      <c r="Q89" s="161"/>
      <c r="R89" s="170">
        <v>7.7268420000000004</v>
      </c>
      <c r="V89" s="118" t="s">
        <v>163</v>
      </c>
    </row>
    <row r="90" spans="1:22" ht="15.6" customHeight="1">
      <c r="A90" s="51"/>
      <c r="B90" s="60"/>
      <c r="C90" s="61"/>
      <c r="D90" s="62"/>
      <c r="E90" s="60"/>
      <c r="F90" s="55"/>
      <c r="G90" s="55"/>
      <c r="H90" s="55"/>
      <c r="I90" s="55"/>
      <c r="J90" s="55"/>
      <c r="K90" s="151"/>
      <c r="L90" s="55"/>
      <c r="M90" s="115"/>
      <c r="N90" s="57"/>
      <c r="O90" s="51"/>
      <c r="P90" s="60"/>
      <c r="Q90" s="161"/>
    </row>
    <row r="91" spans="1:22" ht="15.6" customHeight="1">
      <c r="A91" s="51"/>
      <c r="B91" s="60"/>
      <c r="C91" s="61"/>
      <c r="D91" s="62"/>
      <c r="E91" s="60"/>
      <c r="F91" s="55"/>
      <c r="G91" s="55"/>
      <c r="H91" s="55"/>
      <c r="I91" s="55"/>
      <c r="J91" s="55"/>
      <c r="K91" s="151"/>
      <c r="L91" s="152" t="s">
        <v>223</v>
      </c>
      <c r="M91" s="115"/>
      <c r="N91" s="57"/>
      <c r="O91" s="51"/>
      <c r="P91" s="60"/>
      <c r="Q91" s="161">
        <v>45314</v>
      </c>
    </row>
    <row r="92" spans="1:22" ht="15.6" customHeight="1">
      <c r="A92" s="51"/>
      <c r="B92" s="60"/>
      <c r="C92" s="61" t="str">
        <f>L91</f>
        <v>SPW 13..</v>
      </c>
      <c r="D92" s="62" t="str">
        <f>L92</f>
        <v>RO</v>
      </c>
      <c r="E92" s="60"/>
      <c r="F92" s="55">
        <v>-3.3541349999999999</v>
      </c>
      <c r="G92" s="55"/>
      <c r="H92" s="55"/>
      <c r="I92" s="55"/>
      <c r="J92" s="55"/>
      <c r="K92" s="151"/>
      <c r="L92" s="152" t="s">
        <v>75</v>
      </c>
      <c r="M92" s="115"/>
      <c r="N92" s="57"/>
      <c r="O92" s="51"/>
      <c r="P92" s="60"/>
      <c r="Q92" s="161"/>
      <c r="R92" s="170">
        <v>74.422227000000007</v>
      </c>
      <c r="V92" s="118" t="s">
        <v>164</v>
      </c>
    </row>
    <row r="93" spans="1:22" ht="15.6" customHeight="1">
      <c r="A93" s="51"/>
      <c r="B93" s="60"/>
      <c r="C93" s="61"/>
      <c r="D93" s="62" t="str">
        <f>L93</f>
        <v>RM 1</v>
      </c>
      <c r="E93" s="60"/>
      <c r="F93" s="55">
        <v>0.19684099999999999</v>
      </c>
      <c r="G93" s="55"/>
      <c r="H93" s="55"/>
      <c r="I93" s="55"/>
      <c r="J93" s="55"/>
      <c r="K93" s="151"/>
      <c r="L93" s="152" t="s">
        <v>49</v>
      </c>
      <c r="M93" s="115"/>
      <c r="N93" s="57"/>
      <c r="O93" s="51"/>
      <c r="P93" s="60"/>
      <c r="Q93" s="161"/>
      <c r="R93" s="170">
        <v>6.4121059999999996</v>
      </c>
      <c r="V93" s="118" t="s">
        <v>165</v>
      </c>
    </row>
    <row r="94" spans="1:22" ht="15.6" customHeight="1">
      <c r="A94" s="51"/>
      <c r="B94" s="60"/>
      <c r="C94" s="61"/>
      <c r="D94" s="62" t="str">
        <f>L94</f>
        <v>RM 3</v>
      </c>
      <c r="E94" s="60"/>
      <c r="F94" s="55">
        <v>-0.23275499999999999</v>
      </c>
      <c r="G94" s="55"/>
      <c r="H94" s="55"/>
      <c r="I94" s="55"/>
      <c r="J94" s="55"/>
      <c r="K94" s="151"/>
      <c r="L94" s="152" t="s">
        <v>51</v>
      </c>
      <c r="M94" s="115"/>
      <c r="N94" s="57"/>
      <c r="O94" s="51"/>
      <c r="P94" s="60"/>
      <c r="Q94" s="161"/>
      <c r="R94" s="170">
        <v>5.9600999999999997</v>
      </c>
      <c r="V94" s="118" t="s">
        <v>166</v>
      </c>
    </row>
    <row r="95" spans="1:22" ht="15.6" customHeight="1">
      <c r="A95" s="51"/>
      <c r="B95" s="60"/>
      <c r="C95" s="61"/>
      <c r="D95" s="62" t="str">
        <f>L95</f>
        <v>RM 5</v>
      </c>
      <c r="E95" s="60"/>
      <c r="F95" s="55">
        <v>-0.30546099999999998</v>
      </c>
      <c r="G95" s="55"/>
      <c r="H95" s="55"/>
      <c r="I95" s="55"/>
      <c r="J95" s="55"/>
      <c r="K95" s="151"/>
      <c r="L95" s="152" t="s">
        <v>45</v>
      </c>
      <c r="M95" s="115"/>
      <c r="N95" s="57"/>
      <c r="O95" s="51"/>
      <c r="P95" s="60"/>
      <c r="Q95" s="161"/>
      <c r="R95" s="170">
        <v>7.7293760000000002</v>
      </c>
      <c r="V95" s="118" t="s">
        <v>167</v>
      </c>
    </row>
    <row r="96" spans="1:22" ht="15.6" customHeight="1">
      <c r="A96" s="51"/>
      <c r="B96" s="60"/>
      <c r="C96" s="61"/>
      <c r="D96" s="62"/>
      <c r="E96" s="60"/>
      <c r="F96" s="55"/>
      <c r="G96" s="55"/>
      <c r="H96" s="55"/>
      <c r="I96" s="55"/>
      <c r="J96" s="55"/>
      <c r="K96" s="151"/>
      <c r="L96" s="55"/>
      <c r="M96" s="115"/>
      <c r="N96" s="57"/>
      <c r="O96" s="51"/>
      <c r="P96" s="60"/>
      <c r="Q96" s="161"/>
    </row>
    <row r="97" spans="1:22" ht="15.6" customHeight="1">
      <c r="A97" s="51"/>
      <c r="B97" s="60"/>
      <c r="C97" s="61"/>
      <c r="D97" s="62"/>
      <c r="E97" s="60"/>
      <c r="F97" s="55"/>
      <c r="G97" s="55"/>
      <c r="H97" s="55"/>
      <c r="I97" s="55"/>
      <c r="J97" s="55"/>
      <c r="K97" s="151"/>
      <c r="L97" s="152" t="s">
        <v>224</v>
      </c>
      <c r="M97" s="115"/>
      <c r="N97" s="57"/>
      <c r="O97" s="51"/>
      <c r="P97" s="60"/>
      <c r="Q97" s="161">
        <v>45314</v>
      </c>
    </row>
    <row r="98" spans="1:22" ht="15.6" customHeight="1">
      <c r="A98" s="51"/>
      <c r="B98" s="60"/>
      <c r="C98" s="61" t="str">
        <f>L97</f>
        <v>SPW 20A</v>
      </c>
      <c r="D98" s="62" t="str">
        <f>L98</f>
        <v>.RO</v>
      </c>
      <c r="E98" s="60"/>
      <c r="F98" s="55">
        <v>1.3779170000000001</v>
      </c>
      <c r="G98" s="55"/>
      <c r="H98" s="55"/>
      <c r="I98" s="55"/>
      <c r="J98" s="55"/>
      <c r="K98" s="151"/>
      <c r="L98" s="152" t="s">
        <v>122</v>
      </c>
      <c r="M98" s="115"/>
      <c r="N98" s="57"/>
      <c r="O98" s="51"/>
      <c r="P98" s="60"/>
      <c r="Q98" s="161"/>
      <c r="R98" s="170">
        <v>67.735015000000004</v>
      </c>
      <c r="V98" s="118" t="s">
        <v>168</v>
      </c>
    </row>
    <row r="99" spans="1:22" ht="15.6" customHeight="1">
      <c r="A99" s="51"/>
      <c r="B99" s="60"/>
      <c r="C99" s="61"/>
      <c r="D99" s="62" t="str">
        <f>L99</f>
        <v>.RM 5</v>
      </c>
      <c r="E99" s="60"/>
      <c r="F99" s="55">
        <v>-0.27138400000000001</v>
      </c>
      <c r="G99" s="55"/>
      <c r="H99" s="55"/>
      <c r="I99" s="55"/>
      <c r="J99" s="55"/>
      <c r="K99" s="151"/>
      <c r="L99" s="152" t="s">
        <v>212</v>
      </c>
      <c r="M99" s="115"/>
      <c r="N99" s="57"/>
      <c r="O99" s="51"/>
      <c r="P99" s="60"/>
      <c r="Q99" s="161"/>
      <c r="R99" s="170">
        <v>0.93225599999999997</v>
      </c>
      <c r="V99" s="118" t="s">
        <v>169</v>
      </c>
    </row>
    <row r="100" spans="1:22" ht="15.6" customHeight="1">
      <c r="A100" s="51"/>
      <c r="B100" s="60"/>
      <c r="C100" s="61"/>
      <c r="D100" s="62" t="str">
        <f>L100</f>
        <v>.RM 10</v>
      </c>
      <c r="E100" s="60"/>
      <c r="F100" s="55">
        <v>-0.220135</v>
      </c>
      <c r="G100" s="55"/>
      <c r="H100" s="55"/>
      <c r="I100" s="55"/>
      <c r="J100" s="55"/>
      <c r="K100" s="151"/>
      <c r="L100" s="152" t="s">
        <v>225</v>
      </c>
      <c r="M100" s="115"/>
      <c r="N100" s="57"/>
      <c r="O100" s="51"/>
      <c r="P100" s="60"/>
      <c r="Q100" s="161"/>
      <c r="R100" s="170">
        <v>3.4745189999999999</v>
      </c>
      <c r="V100" s="118" t="s">
        <v>170</v>
      </c>
    </row>
    <row r="101" spans="1:22" ht="15.6" customHeight="1">
      <c r="A101" s="51"/>
      <c r="B101" s="60"/>
      <c r="C101" s="61"/>
      <c r="D101" s="62" t="str">
        <f>L101</f>
        <v>.RM 7</v>
      </c>
      <c r="E101" s="60"/>
      <c r="F101" s="55">
        <v>-0.50234100000000004</v>
      </c>
      <c r="G101" s="55"/>
      <c r="H101" s="55"/>
      <c r="I101" s="55"/>
      <c r="J101" s="55"/>
      <c r="K101" s="151"/>
      <c r="L101" s="152" t="s">
        <v>226</v>
      </c>
      <c r="M101" s="115"/>
      <c r="N101" s="57"/>
      <c r="O101" s="51"/>
      <c r="P101" s="60"/>
      <c r="Q101" s="161"/>
      <c r="R101" s="170">
        <v>3.1906819999999998</v>
      </c>
      <c r="V101" s="118" t="s">
        <v>171</v>
      </c>
    </row>
    <row r="102" spans="1:22" ht="15.6" customHeight="1">
      <c r="A102" s="51"/>
      <c r="B102" s="60"/>
      <c r="C102" s="61"/>
      <c r="D102" s="62" t="str">
        <f>L102</f>
        <v>.RM 8</v>
      </c>
      <c r="E102" s="60"/>
      <c r="F102" s="55">
        <v>-5.6105000000000002E-2</v>
      </c>
      <c r="G102" s="55"/>
      <c r="H102" s="55"/>
      <c r="I102" s="55"/>
      <c r="J102" s="55"/>
      <c r="K102" s="151"/>
      <c r="L102" s="152" t="s">
        <v>210</v>
      </c>
      <c r="M102" s="115"/>
      <c r="N102" s="57"/>
      <c r="O102" s="51"/>
      <c r="P102" s="60"/>
      <c r="Q102" s="161"/>
      <c r="R102" s="170">
        <v>2.8954909999999998</v>
      </c>
      <c r="V102" s="118" t="s">
        <v>172</v>
      </c>
    </row>
    <row r="103" spans="1:22" ht="15.6" customHeight="1">
      <c r="A103" s="51"/>
      <c r="B103" s="60"/>
      <c r="C103" s="61"/>
      <c r="D103" s="62"/>
      <c r="E103" s="60"/>
      <c r="F103" s="55"/>
      <c r="G103" s="55"/>
      <c r="H103" s="55"/>
      <c r="I103" s="55"/>
      <c r="J103" s="55"/>
      <c r="K103" s="151"/>
      <c r="L103" s="55"/>
      <c r="M103" s="115"/>
      <c r="N103" s="57"/>
      <c r="O103" s="51"/>
      <c r="P103" s="60"/>
      <c r="Q103" s="161"/>
    </row>
    <row r="104" spans="1:22" ht="15.6" customHeight="1">
      <c r="A104" s="51"/>
      <c r="B104" s="60"/>
      <c r="C104" s="61"/>
      <c r="D104" s="62"/>
      <c r="E104" s="60"/>
      <c r="F104" s="55"/>
      <c r="G104" s="55"/>
      <c r="H104" s="55"/>
      <c r="I104" s="55"/>
      <c r="J104" s="55"/>
      <c r="K104" s="151"/>
      <c r="L104" s="152" t="s">
        <v>227</v>
      </c>
      <c r="M104" s="115"/>
      <c r="N104" s="57"/>
      <c r="O104" s="51"/>
      <c r="P104" s="60"/>
      <c r="Q104" s="161">
        <v>45314</v>
      </c>
    </row>
    <row r="105" spans="1:22" ht="15.6" customHeight="1">
      <c r="A105" s="51"/>
      <c r="B105" s="60"/>
      <c r="C105" s="61" t="str">
        <f>L104</f>
        <v>SPW 20A..</v>
      </c>
      <c r="D105" s="62" t="str">
        <f>L105</f>
        <v>RO</v>
      </c>
      <c r="E105" s="60"/>
      <c r="F105" s="55">
        <v>0.926651</v>
      </c>
      <c r="G105" s="55"/>
      <c r="H105" s="55"/>
      <c r="I105" s="55"/>
      <c r="J105" s="55"/>
      <c r="K105" s="151"/>
      <c r="L105" s="152" t="s">
        <v>75</v>
      </c>
      <c r="M105" s="115"/>
      <c r="N105" s="57"/>
      <c r="O105" s="51"/>
      <c r="P105" s="60"/>
      <c r="Q105" s="161"/>
      <c r="R105" s="170">
        <v>67.734443999999996</v>
      </c>
      <c r="V105" s="118" t="s">
        <v>173</v>
      </c>
    </row>
    <row r="106" spans="1:22" ht="15.6" customHeight="1">
      <c r="A106" s="51"/>
      <c r="B106" s="60"/>
      <c r="C106" s="61"/>
      <c r="D106" s="62" t="str">
        <f>L106</f>
        <v>RM 5</v>
      </c>
      <c r="E106" s="60"/>
      <c r="F106" s="55">
        <v>-0.27137299999999998</v>
      </c>
      <c r="G106" s="55"/>
      <c r="H106" s="55"/>
      <c r="I106" s="55"/>
      <c r="J106" s="55"/>
      <c r="K106" s="151"/>
      <c r="L106" s="152" t="s">
        <v>45</v>
      </c>
      <c r="M106" s="115"/>
      <c r="N106" s="57"/>
      <c r="O106" s="51"/>
      <c r="P106" s="60"/>
      <c r="Q106" s="161"/>
      <c r="R106" s="170">
        <v>0.92963099999999999</v>
      </c>
      <c r="V106" s="118" t="s">
        <v>174</v>
      </c>
    </row>
    <row r="107" spans="1:22" ht="15.6" customHeight="1">
      <c r="A107" s="51"/>
      <c r="B107" s="60"/>
      <c r="C107" s="61"/>
      <c r="D107" s="62" t="str">
        <f>L107</f>
        <v>RM 10</v>
      </c>
      <c r="E107" s="60"/>
      <c r="F107" s="55">
        <v>-0.22032499999999999</v>
      </c>
      <c r="G107" s="55"/>
      <c r="H107" s="55"/>
      <c r="I107" s="55"/>
      <c r="J107" s="55"/>
      <c r="K107" s="151"/>
      <c r="L107" s="152" t="s">
        <v>213</v>
      </c>
      <c r="M107" s="115"/>
      <c r="N107" s="57"/>
      <c r="O107" s="51"/>
      <c r="P107" s="60"/>
      <c r="Q107" s="161"/>
      <c r="R107" s="170">
        <v>3.4699789999999999</v>
      </c>
      <c r="V107" s="118" t="s">
        <v>175</v>
      </c>
    </row>
    <row r="108" spans="1:22" ht="15.6" customHeight="1">
      <c r="A108" s="51"/>
      <c r="B108" s="60"/>
      <c r="C108" s="61"/>
      <c r="D108" s="62" t="str">
        <f>L108</f>
        <v>RM 7</v>
      </c>
      <c r="E108" s="60"/>
      <c r="F108" s="55">
        <v>-0.50235799999999997</v>
      </c>
      <c r="G108" s="55"/>
      <c r="H108" s="55"/>
      <c r="I108" s="55"/>
      <c r="J108" s="55"/>
      <c r="K108" s="151"/>
      <c r="L108" s="152" t="s">
        <v>43</v>
      </c>
      <c r="M108" s="115"/>
      <c r="N108" s="57"/>
      <c r="O108" s="51"/>
      <c r="P108" s="60"/>
      <c r="Q108" s="161"/>
      <c r="R108" s="170">
        <v>3.1892130000000001</v>
      </c>
      <c r="V108" s="118" t="s">
        <v>176</v>
      </c>
    </row>
    <row r="109" spans="1:22" ht="15.6" customHeight="1">
      <c r="A109" s="51"/>
      <c r="B109" s="60"/>
      <c r="C109" s="61"/>
      <c r="D109" s="62" t="str">
        <f>L109</f>
        <v>RM 8</v>
      </c>
      <c r="E109" s="60"/>
      <c r="F109" s="55">
        <v>-5.6390999999999997E-2</v>
      </c>
      <c r="G109" s="55"/>
      <c r="H109" s="55"/>
      <c r="I109" s="55"/>
      <c r="J109" s="55"/>
      <c r="K109" s="151"/>
      <c r="L109" s="152" t="s">
        <v>228</v>
      </c>
      <c r="M109" s="115"/>
      <c r="N109" s="57"/>
      <c r="O109" s="51"/>
      <c r="P109" s="60"/>
      <c r="Q109" s="161"/>
      <c r="R109" s="170">
        <v>2.8950930000000001</v>
      </c>
      <c r="V109" s="118" t="s">
        <v>177</v>
      </c>
    </row>
    <row r="110" spans="1:22" ht="15.6" customHeight="1">
      <c r="A110" s="51"/>
      <c r="B110" s="60"/>
      <c r="C110" s="61"/>
      <c r="D110" s="62"/>
      <c r="E110" s="60"/>
      <c r="F110" s="55"/>
      <c r="G110" s="55"/>
      <c r="H110" s="55"/>
      <c r="I110" s="55"/>
      <c r="J110" s="55"/>
      <c r="K110" s="151"/>
      <c r="L110" s="55"/>
      <c r="M110" s="115"/>
      <c r="N110" s="57"/>
      <c r="O110" s="51"/>
      <c r="P110" s="60"/>
      <c r="Q110" s="161"/>
    </row>
    <row r="111" spans="1:22" ht="15.6" customHeight="1">
      <c r="A111" s="51"/>
      <c r="B111" s="60"/>
      <c r="C111" s="61"/>
      <c r="D111" s="62"/>
      <c r="E111" s="60"/>
      <c r="F111" s="55"/>
      <c r="G111" s="55"/>
      <c r="H111" s="55"/>
      <c r="I111" s="55"/>
      <c r="J111" s="55"/>
      <c r="K111" s="151"/>
      <c r="L111" s="152" t="s">
        <v>229</v>
      </c>
      <c r="M111" s="115"/>
      <c r="N111" s="57"/>
      <c r="O111" s="51"/>
      <c r="P111" s="60"/>
      <c r="Q111" s="161">
        <v>45314</v>
      </c>
    </row>
    <row r="112" spans="1:22" ht="15.6" customHeight="1">
      <c r="A112" s="51"/>
      <c r="B112" s="60"/>
      <c r="C112" s="61" t="str">
        <f>L111</f>
        <v>SPW 9.</v>
      </c>
      <c r="D112" s="62" t="str">
        <f>L112</f>
        <v>RO</v>
      </c>
      <c r="E112" s="60"/>
      <c r="F112" s="55">
        <v>-0.81059000000000003</v>
      </c>
      <c r="G112" s="55"/>
      <c r="H112" s="55"/>
      <c r="I112" s="55"/>
      <c r="J112" s="55"/>
      <c r="K112" s="151"/>
      <c r="L112" s="152" t="s">
        <v>75</v>
      </c>
      <c r="M112" s="115"/>
      <c r="N112" s="57"/>
      <c r="O112" s="51"/>
      <c r="P112" s="60"/>
      <c r="Q112" s="161"/>
      <c r="R112" s="170">
        <v>87.883080000000007</v>
      </c>
      <c r="V112" s="118" t="s">
        <v>178</v>
      </c>
    </row>
    <row r="113" spans="1:22" ht="15.6" customHeight="1">
      <c r="A113" s="51"/>
      <c r="B113" s="60"/>
      <c r="C113" s="61"/>
      <c r="D113" s="62" t="str">
        <f>L113</f>
        <v>RO</v>
      </c>
      <c r="E113" s="60"/>
      <c r="F113" s="55">
        <v>-0.81059000000000003</v>
      </c>
      <c r="G113" s="55"/>
      <c r="H113" s="55"/>
      <c r="I113" s="55"/>
      <c r="J113" s="55"/>
      <c r="K113" s="151"/>
      <c r="L113" s="152" t="s">
        <v>75</v>
      </c>
      <c r="M113" s="115"/>
      <c r="N113" s="57"/>
      <c r="O113" s="51"/>
      <c r="P113" s="60"/>
      <c r="Q113" s="161"/>
      <c r="R113" s="170">
        <v>87.883080000000007</v>
      </c>
      <c r="V113" s="118" t="s">
        <v>178</v>
      </c>
    </row>
    <row r="114" spans="1:22" ht="15.6" customHeight="1">
      <c r="A114" s="51"/>
      <c r="B114" s="60"/>
      <c r="C114" s="61"/>
      <c r="D114" s="62" t="str">
        <f>L114</f>
        <v>RM 1</v>
      </c>
      <c r="E114" s="60"/>
      <c r="F114" s="55">
        <v>-0.190882</v>
      </c>
      <c r="G114" s="55"/>
      <c r="H114" s="55"/>
      <c r="I114" s="55"/>
      <c r="J114" s="55"/>
      <c r="K114" s="151"/>
      <c r="L114" s="152" t="s">
        <v>49</v>
      </c>
      <c r="M114" s="115"/>
      <c r="N114" s="57"/>
      <c r="O114" s="51"/>
      <c r="P114" s="60"/>
      <c r="Q114" s="161"/>
      <c r="R114" s="170">
        <v>5.4015240000000002</v>
      </c>
      <c r="V114" s="118" t="s">
        <v>179</v>
      </c>
    </row>
    <row r="115" spans="1:22" ht="15.6" customHeight="1">
      <c r="A115" s="51"/>
      <c r="B115" s="60"/>
      <c r="C115" s="61"/>
      <c r="D115" s="62" t="str">
        <f>L115</f>
        <v>RM 3</v>
      </c>
      <c r="E115" s="60"/>
      <c r="F115" s="55">
        <v>-0.32603399999999999</v>
      </c>
      <c r="G115" s="55"/>
      <c r="H115" s="55"/>
      <c r="I115" s="55"/>
      <c r="J115" s="55"/>
      <c r="K115" s="151"/>
      <c r="L115" s="152" t="s">
        <v>51</v>
      </c>
      <c r="M115" s="115"/>
      <c r="N115" s="57"/>
      <c r="O115" s="51"/>
      <c r="P115" s="60"/>
      <c r="Q115" s="161"/>
      <c r="R115" s="170">
        <v>5.9915719999999997</v>
      </c>
      <c r="V115" s="118" t="s">
        <v>180</v>
      </c>
    </row>
    <row r="116" spans="1:22" ht="15.6" customHeight="1">
      <c r="A116" s="51"/>
      <c r="B116" s="60"/>
      <c r="C116" s="61"/>
      <c r="D116" s="62" t="str">
        <f>L116</f>
        <v>RM 4</v>
      </c>
      <c r="E116" s="60"/>
      <c r="F116" s="55">
        <v>0.29730899999999999</v>
      </c>
      <c r="G116" s="55"/>
      <c r="H116" s="55"/>
      <c r="I116" s="55"/>
      <c r="J116" s="55"/>
      <c r="K116" s="151"/>
      <c r="L116" s="152" t="s">
        <v>191</v>
      </c>
      <c r="M116" s="115"/>
      <c r="N116" s="57"/>
      <c r="O116" s="51"/>
      <c r="P116" s="60"/>
      <c r="Q116" s="161"/>
      <c r="R116" s="170">
        <v>8.2972599999999996</v>
      </c>
      <c r="V116" s="118" t="s">
        <v>181</v>
      </c>
    </row>
    <row r="117" spans="1:22" ht="15.6" customHeight="1">
      <c r="A117" s="51"/>
      <c r="B117" s="60"/>
      <c r="C117" s="61"/>
      <c r="D117" s="62"/>
      <c r="E117" s="60"/>
      <c r="F117" s="55"/>
      <c r="G117" s="55"/>
      <c r="H117" s="55"/>
      <c r="I117" s="55"/>
      <c r="J117" s="55"/>
      <c r="K117" s="151"/>
      <c r="L117" s="55"/>
      <c r="M117" s="115"/>
      <c r="N117" s="57"/>
      <c r="O117" s="51"/>
      <c r="P117" s="60"/>
      <c r="Q117" s="161"/>
    </row>
    <row r="118" spans="1:22" ht="15.6" customHeight="1">
      <c r="A118" s="51"/>
      <c r="B118" s="60"/>
      <c r="C118" s="61"/>
      <c r="D118" s="62"/>
      <c r="E118" s="60"/>
      <c r="F118" s="55"/>
      <c r="G118" s="55"/>
      <c r="H118" s="55"/>
      <c r="I118" s="55"/>
      <c r="J118" s="55"/>
      <c r="K118" s="151"/>
      <c r="L118" s="152" t="s">
        <v>230</v>
      </c>
      <c r="M118" s="115"/>
      <c r="N118" s="57"/>
      <c r="O118" s="51"/>
      <c r="P118" s="60"/>
      <c r="Q118" s="161">
        <v>45314</v>
      </c>
    </row>
    <row r="119" spans="1:22" ht="15.6" customHeight="1">
      <c r="A119" s="51"/>
      <c r="B119" s="60"/>
      <c r="C119" s="61" t="str">
        <f>L118</f>
        <v>SPW 9..</v>
      </c>
      <c r="D119" s="62" t="str">
        <f>L119</f>
        <v>RO</v>
      </c>
      <c r="E119" s="60"/>
      <c r="F119" s="55">
        <v>-1.3117160000000001</v>
      </c>
      <c r="G119" s="55"/>
      <c r="H119" s="55"/>
      <c r="I119" s="55"/>
      <c r="J119" s="55"/>
      <c r="K119" s="151"/>
      <c r="L119" s="152" t="s">
        <v>75</v>
      </c>
      <c r="M119" s="115"/>
      <c r="N119" s="57"/>
      <c r="O119" s="51"/>
      <c r="P119" s="60"/>
      <c r="Q119" s="161"/>
      <c r="R119" s="170">
        <v>87.882124000000005</v>
      </c>
      <c r="V119" s="118" t="s">
        <v>182</v>
      </c>
    </row>
    <row r="120" spans="1:22" ht="15.6" customHeight="1">
      <c r="A120" s="51"/>
      <c r="B120" s="60"/>
      <c r="C120" s="61"/>
      <c r="D120" s="62" t="str">
        <f>L120</f>
        <v>RM 1</v>
      </c>
      <c r="E120" s="60"/>
      <c r="F120" s="55">
        <v>-0.19142100000000001</v>
      </c>
      <c r="G120" s="55"/>
      <c r="H120" s="55"/>
      <c r="I120" s="55"/>
      <c r="J120" s="55"/>
      <c r="K120" s="151"/>
      <c r="L120" s="152" t="s">
        <v>49</v>
      </c>
      <c r="M120" s="115"/>
      <c r="N120" s="57"/>
      <c r="O120" s="51"/>
      <c r="P120" s="60"/>
      <c r="Q120" s="161"/>
      <c r="R120" s="170">
        <v>5.4034360000000001</v>
      </c>
      <c r="V120" s="118" t="s">
        <v>183</v>
      </c>
    </row>
    <row r="121" spans="1:22" ht="15.6" customHeight="1">
      <c r="A121" s="51"/>
      <c r="B121" s="60"/>
      <c r="C121" s="61"/>
      <c r="D121" s="62" t="str">
        <f>L121</f>
        <v>RM 3</v>
      </c>
      <c r="E121" s="60"/>
      <c r="F121" s="55">
        <v>-0.325963</v>
      </c>
      <c r="G121" s="55"/>
      <c r="H121" s="55"/>
      <c r="I121" s="55"/>
      <c r="J121" s="55"/>
      <c r="K121" s="151"/>
      <c r="L121" s="152" t="s">
        <v>51</v>
      </c>
      <c r="M121" s="115"/>
      <c r="N121" s="57"/>
      <c r="O121" s="51"/>
      <c r="P121" s="60"/>
      <c r="Q121" s="161"/>
      <c r="R121" s="170">
        <v>5.9875870000000004</v>
      </c>
      <c r="V121" s="118" t="s">
        <v>184</v>
      </c>
    </row>
    <row r="122" spans="1:22" ht="15.6" customHeight="1">
      <c r="A122" s="51"/>
      <c r="B122" s="60"/>
      <c r="C122" s="61"/>
      <c r="D122" s="62" t="str">
        <f>L122</f>
        <v>RM 4</v>
      </c>
      <c r="E122" s="60"/>
      <c r="F122" s="55">
        <v>0.29736099999999999</v>
      </c>
      <c r="G122" s="55"/>
      <c r="H122" s="55"/>
      <c r="I122" s="55"/>
      <c r="J122" s="55"/>
      <c r="K122" s="151"/>
      <c r="L122" s="152" t="s">
        <v>191</v>
      </c>
      <c r="M122" s="115"/>
      <c r="N122" s="57"/>
      <c r="O122" s="51"/>
      <c r="P122" s="60"/>
      <c r="Q122" s="161"/>
      <c r="R122" s="170">
        <v>8.2972940000000008</v>
      </c>
      <c r="V122" s="118" t="s">
        <v>185</v>
      </c>
    </row>
    <row r="123" spans="1:22" ht="15.6" customHeight="1">
      <c r="A123" s="51"/>
      <c r="B123" s="60"/>
      <c r="C123" s="61"/>
      <c r="D123" s="62"/>
      <c r="E123" s="60"/>
      <c r="F123" s="55"/>
      <c r="G123" s="55"/>
      <c r="H123" s="55"/>
      <c r="I123" s="55"/>
      <c r="J123" s="55"/>
      <c r="K123" s="151"/>
      <c r="L123" s="55"/>
      <c r="M123" s="115"/>
      <c r="N123" s="57"/>
      <c r="O123" s="51"/>
      <c r="P123" s="60"/>
      <c r="Q123" s="161"/>
    </row>
    <row r="124" spans="1:22" ht="15.6" customHeight="1">
      <c r="A124" s="51"/>
      <c r="B124" s="60"/>
      <c r="C124" s="61"/>
      <c r="D124" s="62"/>
      <c r="E124" s="60"/>
      <c r="F124" s="55"/>
      <c r="G124" s="55"/>
      <c r="H124" s="55"/>
      <c r="I124" s="55"/>
      <c r="J124" s="55"/>
      <c r="K124" s="151"/>
      <c r="L124" s="152" t="s">
        <v>231</v>
      </c>
      <c r="M124" s="115"/>
      <c r="N124" s="57"/>
      <c r="O124" s="51"/>
      <c r="P124" s="60"/>
      <c r="Q124" s="161">
        <v>45328</v>
      </c>
    </row>
    <row r="125" spans="1:22" ht="15.6" customHeight="1">
      <c r="A125" s="51"/>
      <c r="B125" s="60"/>
      <c r="C125" s="61" t="str">
        <f>L124</f>
        <v>SPW 91A</v>
      </c>
      <c r="D125" s="62" t="str">
        <f>L125</f>
        <v>RM 1</v>
      </c>
      <c r="E125" s="60"/>
      <c r="F125" s="55">
        <v>-1.5772170000000001</v>
      </c>
      <c r="G125" s="55"/>
      <c r="H125" s="55"/>
      <c r="I125" s="55"/>
      <c r="J125" s="55"/>
      <c r="K125" s="151">
        <v>-0.113</v>
      </c>
      <c r="L125" s="152" t="s">
        <v>49</v>
      </c>
      <c r="M125" s="115"/>
      <c r="N125" s="57"/>
      <c r="O125" s="51"/>
      <c r="P125" s="60"/>
      <c r="Q125" s="161"/>
      <c r="R125" s="170">
        <v>8.4021980000000003</v>
      </c>
      <c r="V125" s="118" t="s">
        <v>186</v>
      </c>
    </row>
    <row r="126" spans="1:22" ht="15.6" customHeight="1">
      <c r="A126" s="51"/>
      <c r="B126" s="60"/>
      <c r="C126" s="61"/>
      <c r="D126" s="62" t="str">
        <f>L126</f>
        <v>RM 3</v>
      </c>
      <c r="E126" s="60"/>
      <c r="F126" s="55">
        <v>-1.5070859999999999</v>
      </c>
      <c r="G126" s="55"/>
      <c r="H126" s="55"/>
      <c r="I126" s="55"/>
      <c r="J126" s="55"/>
      <c r="K126" s="151">
        <v>-0.17699999999999999</v>
      </c>
      <c r="L126" s="152" t="s">
        <v>51</v>
      </c>
      <c r="M126" s="115"/>
      <c r="N126" s="57"/>
      <c r="O126" s="51"/>
      <c r="P126" s="60"/>
      <c r="Q126" s="161"/>
      <c r="R126" s="170">
        <v>5.4240159999999999</v>
      </c>
      <c r="V126" s="118" t="s">
        <v>187</v>
      </c>
    </row>
    <row r="127" spans="1:22" ht="15.6" customHeight="1">
      <c r="A127" s="51"/>
      <c r="B127" s="60"/>
      <c r="C127" s="61"/>
      <c r="D127" s="62"/>
      <c r="E127" s="60"/>
      <c r="F127" s="55"/>
      <c r="G127" s="55"/>
      <c r="H127" s="55"/>
      <c r="I127" s="55"/>
      <c r="J127" s="55"/>
      <c r="K127" s="151"/>
      <c r="L127" s="55"/>
      <c r="M127" s="115"/>
      <c r="N127" s="57"/>
      <c r="O127" s="51"/>
      <c r="P127" s="60"/>
      <c r="Q127" s="161"/>
    </row>
    <row r="128" spans="1:22" ht="15.6" customHeight="1">
      <c r="A128" s="51"/>
      <c r="B128" s="60"/>
      <c r="C128" s="61"/>
      <c r="D128" s="62"/>
      <c r="E128" s="60"/>
      <c r="F128" s="55"/>
      <c r="G128" s="55"/>
      <c r="H128" s="55"/>
      <c r="I128" s="55"/>
      <c r="J128" s="55"/>
      <c r="K128" s="151"/>
      <c r="L128" s="152" t="s">
        <v>232</v>
      </c>
      <c r="M128" s="115"/>
      <c r="N128" s="57"/>
      <c r="O128" s="51"/>
      <c r="P128" s="60"/>
      <c r="Q128" s="161">
        <v>45328</v>
      </c>
    </row>
    <row r="129" spans="1:22" ht="15.6" customHeight="1">
      <c r="A129" s="51"/>
      <c r="B129" s="60"/>
      <c r="C129" s="61" t="str">
        <f>L128</f>
        <v>SPW 91A.</v>
      </c>
      <c r="D129" s="62" t="str">
        <f>L129</f>
        <v>RM 1</v>
      </c>
      <c r="E129" s="60"/>
      <c r="F129" s="55">
        <v>-0.24709100000000001</v>
      </c>
      <c r="G129" s="55"/>
      <c r="H129" s="55"/>
      <c r="I129" s="55"/>
      <c r="J129" s="55"/>
      <c r="K129" s="151"/>
      <c r="L129" s="152" t="s">
        <v>49</v>
      </c>
      <c r="M129" s="115"/>
      <c r="N129" s="57"/>
      <c r="O129" s="51"/>
      <c r="P129" s="60"/>
      <c r="Q129" s="161"/>
      <c r="R129" s="170">
        <v>3.1170520000000002</v>
      </c>
      <c r="V129" s="118" t="s">
        <v>188</v>
      </c>
    </row>
    <row r="130" spans="1:22" ht="15.6" customHeight="1">
      <c r="A130" s="182"/>
      <c r="B130" s="183"/>
      <c r="C130" s="184"/>
      <c r="D130" s="185" t="str">
        <f>L130</f>
        <v>RM3</v>
      </c>
      <c r="E130" s="183"/>
      <c r="F130" s="186">
        <v>-0.17746200000000001</v>
      </c>
      <c r="G130" s="186"/>
      <c r="H130" s="186"/>
      <c r="I130" s="186"/>
      <c r="J130" s="186"/>
      <c r="K130" s="187"/>
      <c r="L130" s="186" t="s">
        <v>111</v>
      </c>
      <c r="M130" s="188"/>
      <c r="N130" s="189"/>
      <c r="O130" s="182"/>
      <c r="P130" s="183"/>
      <c r="Q130" s="190"/>
      <c r="R130" s="170">
        <v>3.0970930000000001</v>
      </c>
      <c r="V130" s="118" t="s">
        <v>189</v>
      </c>
    </row>
  </sheetData>
  <mergeCells count="1">
    <mergeCell ref="Y10:AA10"/>
  </mergeCells>
  <phoneticPr fontId="0" type="noConversion"/>
  <conditionalFormatting sqref="J1:J1048576">
    <cfRule type="expression" dxfId="13" priority="1">
      <formula>ABS(J1)&gt;0.01</formula>
    </cfRule>
  </conditionalFormatting>
  <conditionalFormatting sqref="W1:W1048576">
    <cfRule type="expression" dxfId="12" priority="2">
      <formula>ABS(W1)&gt;0.01</formula>
    </cfRule>
  </conditionalFormatting>
  <conditionalFormatting sqref="X1:X1048576">
    <cfRule type="expression" dxfId="11" priority="3">
      <formula>ABS(X1)&gt;0.01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_DNA_btn">
                <anchor moveWithCells="1" sizeWithCells="1">
                  <from>
                    <xdr:col>16</xdr:col>
                    <xdr:colOff>114300</xdr:colOff>
                    <xdr:row>0</xdr:row>
                    <xdr:rowOff>142875</xdr:rowOff>
                  </from>
                  <to>
                    <xdr:col>18</xdr:col>
                    <xdr:colOff>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Update_From_SLIP_btn">
                <anchor moveWithCells="1" sizeWithCells="1">
                  <from>
                    <xdr:col>16</xdr:col>
                    <xdr:colOff>114300</xdr:colOff>
                    <xdr:row>2</xdr:row>
                    <xdr:rowOff>142875</xdr:rowOff>
                  </from>
                  <to>
                    <xdr:col>18</xdr:col>
                    <xdr:colOff>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Update_Formulas_btn">
                <anchor moveWithCells="1" sizeWithCells="1">
                  <from>
                    <xdr:col>16</xdr:col>
                    <xdr:colOff>114300</xdr:colOff>
                    <xdr:row>4</xdr:row>
                    <xdr:rowOff>133350</xdr:rowOff>
                  </from>
                  <to>
                    <xdr:col>18</xdr:col>
                    <xdr:colOff>0</xdr:colOff>
                    <xdr:row>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GES">
              <controlPr defaultSize="0" print="0" autoFill="0" autoPict="0" macro="[0]!Update_From_GES_btn">
                <anchor moveWithCells="1" sizeWithCells="1">
                  <from>
                    <xdr:col>18</xdr:col>
                    <xdr:colOff>47625</xdr:colOff>
                    <xdr:row>2</xdr:row>
                    <xdr:rowOff>133350</xdr:rowOff>
                  </from>
                  <to>
                    <xdr:col>18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A09C4-ACB3-431A-82C1-7A7ECA858D41}">
  <sheetPr codeName="Sheet5"/>
  <dimension ref="A1:N285"/>
  <sheetViews>
    <sheetView zoomScaleNormal="100" workbookViewId="0">
      <selection activeCell="K7" sqref="K7"/>
    </sheetView>
  </sheetViews>
  <sheetFormatPr defaultColWidth="9.140625" defaultRowHeight="12.75"/>
  <cols>
    <col min="1" max="1" width="21.7109375" style="192" customWidth="1"/>
    <col min="2" max="2" width="19.28515625" style="192" bestFit="1" customWidth="1"/>
    <col min="3" max="3" width="21.85546875" style="192" customWidth="1"/>
    <col min="4" max="4" width="15.42578125" style="192" customWidth="1"/>
    <col min="5" max="5" width="16.85546875" style="192" customWidth="1"/>
    <col min="6" max="6" width="11.5703125" style="192" customWidth="1"/>
    <col min="7" max="7" width="7" style="192" bestFit="1" customWidth="1"/>
    <col min="8" max="9" width="9.5703125" style="192" bestFit="1" customWidth="1"/>
    <col min="10" max="10" width="20" style="192" bestFit="1" customWidth="1"/>
    <col min="11" max="11" width="18.140625" style="192" bestFit="1" customWidth="1"/>
    <col min="12" max="16384" width="9.140625" style="192"/>
  </cols>
  <sheetData>
    <row r="1" spans="1:14">
      <c r="A1" s="2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</row>
    <row r="2" spans="1:14">
      <c r="A2" s="8" t="s">
        <v>30</v>
      </c>
      <c r="B2" s="5"/>
      <c r="C2" s="8" t="s">
        <v>234</v>
      </c>
      <c r="D2" s="12"/>
      <c r="E2" s="5"/>
      <c r="F2" s="196" t="s">
        <v>233</v>
      </c>
      <c r="G2" s="5"/>
      <c r="H2" s="5"/>
      <c r="I2" s="5"/>
      <c r="J2" s="5"/>
      <c r="K2" s="5"/>
      <c r="L2" s="6"/>
      <c r="M2" s="8" t="s">
        <v>31</v>
      </c>
      <c r="N2" s="5"/>
    </row>
    <row r="3" spans="1:14">
      <c r="A3" s="5"/>
      <c r="B3" s="5"/>
      <c r="C3" s="13" t="s">
        <v>235</v>
      </c>
      <c r="D3" s="12" t="s">
        <v>238</v>
      </c>
      <c r="E3" s="5"/>
      <c r="F3" s="11"/>
      <c r="G3" s="5"/>
      <c r="H3" s="5"/>
      <c r="I3" s="5"/>
      <c r="J3" s="5"/>
      <c r="K3" s="5"/>
      <c r="L3" s="5"/>
      <c r="M3" s="5"/>
      <c r="N3" s="5"/>
    </row>
    <row r="4" spans="1:14">
      <c r="A4" s="5"/>
      <c r="B4" s="5"/>
      <c r="C4" s="13" t="s">
        <v>236</v>
      </c>
      <c r="D4" s="12" t="s">
        <v>239</v>
      </c>
      <c r="E4" s="5"/>
      <c r="F4" s="196" t="s">
        <v>33</v>
      </c>
      <c r="G4" s="5"/>
      <c r="H4" s="5"/>
      <c r="I4" s="5"/>
      <c r="J4" s="5"/>
      <c r="K4" s="5"/>
      <c r="L4" s="6"/>
      <c r="M4" s="8" t="s">
        <v>105</v>
      </c>
      <c r="N4" s="5"/>
    </row>
    <row r="5" spans="1:14">
      <c r="A5" s="5"/>
      <c r="B5" s="5"/>
      <c r="C5" s="13" t="s">
        <v>237</v>
      </c>
      <c r="D5" s="12" t="s">
        <v>240</v>
      </c>
      <c r="E5" s="5"/>
      <c r="F5" s="11"/>
      <c r="G5" s="5"/>
      <c r="H5" s="5"/>
      <c r="I5" s="5"/>
      <c r="J5" s="5"/>
      <c r="K5" s="5"/>
      <c r="L5" s="5"/>
      <c r="M5" s="5"/>
      <c r="N5" s="5"/>
    </row>
    <row r="6" spans="1:14">
      <c r="A6" s="5"/>
      <c r="B6" s="5"/>
      <c r="C6" s="5"/>
      <c r="D6" s="12"/>
      <c r="E6" s="5"/>
      <c r="F6" s="11"/>
      <c r="G6" s="5"/>
      <c r="H6" s="197"/>
      <c r="I6" s="198"/>
      <c r="J6" s="6"/>
      <c r="K6" s="128"/>
      <c r="L6" s="5"/>
      <c r="M6" s="8" t="s">
        <v>38</v>
      </c>
      <c r="N6" s="5"/>
    </row>
    <row r="7" spans="1:14">
      <c r="A7" s="16"/>
      <c r="B7" s="16"/>
      <c r="C7" s="16"/>
      <c r="D7" s="17"/>
      <c r="E7" s="16"/>
      <c r="F7" s="18"/>
      <c r="G7" s="18"/>
      <c r="H7" s="199"/>
      <c r="I7" s="200"/>
      <c r="J7" s="16"/>
      <c r="K7" s="201"/>
      <c r="L7" s="16"/>
      <c r="M7" s="16"/>
      <c r="N7" s="16"/>
    </row>
    <row r="8" spans="1:14" s="181" customFormat="1">
      <c r="A8" s="181" t="s">
        <v>89</v>
      </c>
      <c r="B8" s="181" t="s">
        <v>90</v>
      </c>
      <c r="C8" s="181" t="s">
        <v>91</v>
      </c>
      <c r="D8" s="181" t="s">
        <v>92</v>
      </c>
      <c r="E8" s="181" t="s">
        <v>93</v>
      </c>
    </row>
    <row r="9" spans="1:14">
      <c r="A9" s="192" t="s">
        <v>94</v>
      </c>
      <c r="B9" s="192" t="s">
        <v>95</v>
      </c>
      <c r="C9" s="192" t="s">
        <v>96</v>
      </c>
      <c r="D9" s="192">
        <v>2102</v>
      </c>
      <c r="E9" s="192" t="s">
        <v>97</v>
      </c>
    </row>
    <row r="10" spans="1:14">
      <c r="K10" s="210" t="s">
        <v>245</v>
      </c>
      <c r="L10" s="210"/>
      <c r="M10" s="210"/>
    </row>
    <row r="11" spans="1:14" s="181" customFormat="1">
      <c r="A11" s="181" t="s">
        <v>235</v>
      </c>
      <c r="B11" s="181" t="s">
        <v>98</v>
      </c>
      <c r="C11" s="181" t="s">
        <v>88</v>
      </c>
      <c r="D11" s="181" t="s">
        <v>99</v>
      </c>
      <c r="E11" s="181" t="s">
        <v>100</v>
      </c>
      <c r="F11" s="181" t="s">
        <v>101</v>
      </c>
      <c r="G11" s="181" t="s">
        <v>102</v>
      </c>
      <c r="H11" s="181" t="s">
        <v>103</v>
      </c>
      <c r="I11" s="181" t="s">
        <v>104</v>
      </c>
      <c r="J11" s="181" t="s">
        <v>241</v>
      </c>
      <c r="K11" s="181" t="s">
        <v>242</v>
      </c>
      <c r="L11" s="181" t="s">
        <v>243</v>
      </c>
      <c r="M11" s="181" t="s">
        <v>244</v>
      </c>
    </row>
    <row r="12" spans="1:14">
      <c r="A12" s="194"/>
      <c r="B12" s="194"/>
      <c r="C12" s="194"/>
      <c r="D12" s="202"/>
      <c r="E12" s="202"/>
      <c r="F12" s="193"/>
      <c r="G12" s="193"/>
      <c r="H12" s="193"/>
      <c r="I12" s="193"/>
      <c r="J12" s="193"/>
      <c r="K12" s="203"/>
    </row>
    <row r="13" spans="1:14">
      <c r="B13" s="194"/>
      <c r="C13" s="194"/>
      <c r="F13" s="193"/>
      <c r="G13" s="193"/>
      <c r="H13" s="193"/>
      <c r="I13" s="193"/>
      <c r="K13" s="194"/>
    </row>
    <row r="14" spans="1:14">
      <c r="B14" s="194"/>
      <c r="F14" s="193"/>
      <c r="G14" s="193"/>
      <c r="H14" s="193"/>
      <c r="I14" s="193"/>
      <c r="K14" s="194"/>
    </row>
    <row r="15" spans="1:14">
      <c r="B15" s="194"/>
      <c r="C15" s="194"/>
      <c r="F15" s="193"/>
      <c r="G15" s="193"/>
      <c r="H15" s="193"/>
      <c r="I15" s="193"/>
      <c r="K15" s="194"/>
    </row>
    <row r="16" spans="1:14">
      <c r="B16" s="194"/>
      <c r="C16" s="194"/>
      <c r="F16" s="193"/>
      <c r="G16" s="193"/>
      <c r="H16" s="193"/>
      <c r="I16" s="193"/>
      <c r="K16" s="194"/>
    </row>
    <row r="17" spans="2:11">
      <c r="B17" s="194"/>
      <c r="F17" s="193"/>
      <c r="G17" s="193"/>
      <c r="H17" s="193"/>
      <c r="I17" s="193"/>
      <c r="K17" s="194"/>
    </row>
    <row r="18" spans="2:11">
      <c r="B18" s="194"/>
      <c r="F18" s="193"/>
      <c r="G18" s="193"/>
      <c r="H18" s="193"/>
      <c r="I18" s="193"/>
      <c r="K18" s="194"/>
    </row>
    <row r="19" spans="2:11">
      <c r="B19" s="194"/>
      <c r="C19" s="194"/>
      <c r="F19" s="193"/>
      <c r="G19" s="193"/>
      <c r="H19" s="193"/>
      <c r="I19" s="193"/>
      <c r="K19" s="194"/>
    </row>
    <row r="20" spans="2:11">
      <c r="B20" s="194"/>
      <c r="C20" s="194"/>
      <c r="F20" s="193"/>
      <c r="G20" s="193"/>
      <c r="H20" s="193"/>
      <c r="I20" s="193"/>
      <c r="K20" s="194"/>
    </row>
    <row r="21" spans="2:11">
      <c r="B21" s="194"/>
      <c r="C21" s="194"/>
      <c r="F21" s="193"/>
      <c r="G21" s="193"/>
      <c r="H21" s="193"/>
      <c r="I21" s="193"/>
      <c r="K21" s="194"/>
    </row>
    <row r="22" spans="2:11">
      <c r="B22" s="194"/>
      <c r="C22" s="194"/>
      <c r="F22" s="193"/>
      <c r="G22" s="193"/>
      <c r="H22" s="193"/>
      <c r="I22" s="193"/>
      <c r="K22" s="194"/>
    </row>
    <row r="23" spans="2:11">
      <c r="B23" s="194"/>
      <c r="C23" s="194"/>
      <c r="F23" s="193"/>
      <c r="G23" s="193"/>
      <c r="H23" s="193"/>
      <c r="I23" s="193"/>
      <c r="K23" s="194"/>
    </row>
    <row r="24" spans="2:11">
      <c r="B24" s="194"/>
      <c r="C24" s="194"/>
      <c r="F24" s="193"/>
      <c r="G24" s="193"/>
      <c r="H24" s="193"/>
      <c r="I24" s="193"/>
      <c r="K24" s="194"/>
    </row>
    <row r="25" spans="2:11">
      <c r="B25" s="194"/>
      <c r="C25" s="194"/>
      <c r="F25" s="193"/>
      <c r="G25" s="193"/>
      <c r="H25" s="193"/>
      <c r="I25" s="193"/>
      <c r="K25" s="194"/>
    </row>
    <row r="26" spans="2:11">
      <c r="B26" s="194"/>
      <c r="C26" s="194"/>
      <c r="F26" s="193"/>
      <c r="G26" s="193"/>
      <c r="H26" s="193"/>
      <c r="I26" s="193"/>
      <c r="K26" s="194"/>
    </row>
    <row r="27" spans="2:11">
      <c r="B27" s="194"/>
      <c r="C27" s="194"/>
      <c r="F27" s="193"/>
      <c r="G27" s="193"/>
      <c r="H27" s="193"/>
      <c r="I27" s="193"/>
      <c r="K27" s="194"/>
    </row>
    <row r="28" spans="2:11">
      <c r="B28" s="194"/>
      <c r="C28" s="194"/>
      <c r="F28" s="193"/>
      <c r="G28" s="193"/>
      <c r="H28" s="193"/>
      <c r="I28" s="193"/>
      <c r="K28" s="194"/>
    </row>
    <row r="29" spans="2:11">
      <c r="B29" s="194"/>
      <c r="C29" s="194"/>
      <c r="F29" s="193"/>
      <c r="G29" s="193"/>
      <c r="H29" s="193"/>
      <c r="I29" s="193"/>
      <c r="K29" s="194"/>
    </row>
    <row r="30" spans="2:11">
      <c r="B30" s="194"/>
      <c r="C30" s="194"/>
      <c r="F30" s="193"/>
      <c r="G30" s="193"/>
      <c r="H30" s="193"/>
      <c r="I30" s="193"/>
      <c r="K30" s="194"/>
    </row>
    <row r="31" spans="2:11">
      <c r="B31" s="194"/>
      <c r="C31" s="194"/>
      <c r="F31" s="193"/>
      <c r="G31" s="193"/>
      <c r="H31" s="193"/>
      <c r="I31" s="193"/>
      <c r="K31" s="194"/>
    </row>
    <row r="32" spans="2:11">
      <c r="B32" s="194"/>
      <c r="C32" s="194"/>
      <c r="F32" s="193"/>
      <c r="G32" s="193"/>
      <c r="H32" s="193"/>
      <c r="I32" s="193"/>
      <c r="K32" s="194"/>
    </row>
    <row r="33" spans="2:11">
      <c r="B33" s="194"/>
      <c r="C33" s="194"/>
      <c r="F33" s="193"/>
      <c r="G33" s="193"/>
      <c r="H33" s="193"/>
      <c r="I33" s="193"/>
      <c r="K33" s="194"/>
    </row>
    <row r="34" spans="2:11">
      <c r="B34" s="194"/>
      <c r="C34" s="194"/>
      <c r="F34" s="193"/>
      <c r="G34" s="193"/>
      <c r="H34" s="193"/>
      <c r="I34" s="193"/>
      <c r="K34" s="194"/>
    </row>
    <row r="35" spans="2:11">
      <c r="B35" s="194"/>
      <c r="C35" s="194"/>
      <c r="F35" s="193"/>
      <c r="G35" s="193"/>
      <c r="H35" s="193"/>
      <c r="I35" s="193"/>
      <c r="K35" s="194"/>
    </row>
    <row r="36" spans="2:11">
      <c r="B36" s="194"/>
      <c r="C36" s="194"/>
      <c r="F36" s="193"/>
      <c r="G36" s="193"/>
      <c r="H36" s="193"/>
      <c r="I36" s="193"/>
      <c r="K36" s="194"/>
    </row>
    <row r="37" spans="2:11">
      <c r="B37" s="194"/>
      <c r="C37" s="194"/>
      <c r="F37" s="193"/>
      <c r="G37" s="193"/>
      <c r="H37" s="193"/>
      <c r="I37" s="193"/>
      <c r="K37" s="194"/>
    </row>
    <row r="38" spans="2:11">
      <c r="B38" s="194"/>
      <c r="C38" s="194"/>
      <c r="F38" s="193"/>
      <c r="G38" s="193"/>
      <c r="H38" s="193"/>
      <c r="I38" s="193"/>
      <c r="K38" s="194"/>
    </row>
    <row r="39" spans="2:11">
      <c r="B39" s="194"/>
      <c r="C39" s="194"/>
      <c r="F39" s="193"/>
      <c r="G39" s="193"/>
      <c r="H39" s="193"/>
      <c r="I39" s="193"/>
      <c r="K39" s="194"/>
    </row>
    <row r="40" spans="2:11">
      <c r="B40" s="194"/>
      <c r="C40" s="194"/>
      <c r="F40" s="193"/>
      <c r="G40" s="193"/>
      <c r="H40" s="193"/>
      <c r="I40" s="193"/>
      <c r="K40" s="194"/>
    </row>
    <row r="41" spans="2:11">
      <c r="B41" s="194"/>
      <c r="C41" s="194"/>
      <c r="F41" s="193"/>
      <c r="G41" s="193"/>
      <c r="H41" s="193"/>
      <c r="I41" s="193"/>
      <c r="K41" s="194"/>
    </row>
    <row r="42" spans="2:11">
      <c r="B42" s="194"/>
      <c r="C42" s="194"/>
      <c r="F42" s="193"/>
      <c r="G42" s="193"/>
      <c r="H42" s="193"/>
      <c r="I42" s="193"/>
      <c r="K42" s="194"/>
    </row>
    <row r="43" spans="2:11">
      <c r="B43" s="194"/>
      <c r="C43" s="194"/>
      <c r="F43" s="193"/>
      <c r="G43" s="193"/>
      <c r="H43" s="193"/>
      <c r="I43" s="193"/>
      <c r="K43" s="194"/>
    </row>
    <row r="44" spans="2:11">
      <c r="B44" s="194"/>
      <c r="C44" s="194"/>
      <c r="F44" s="193"/>
      <c r="G44" s="193"/>
      <c r="H44" s="193"/>
      <c r="I44" s="193"/>
      <c r="K44" s="194"/>
    </row>
    <row r="45" spans="2:11">
      <c r="B45" s="194"/>
      <c r="C45" s="194"/>
      <c r="F45" s="193"/>
      <c r="G45" s="193"/>
      <c r="H45" s="193"/>
      <c r="I45" s="193"/>
      <c r="K45" s="194"/>
    </row>
    <row r="46" spans="2:11">
      <c r="B46" s="194"/>
      <c r="C46" s="194"/>
      <c r="F46" s="193"/>
      <c r="G46" s="193"/>
      <c r="H46" s="193"/>
      <c r="I46" s="193"/>
      <c r="K46" s="194"/>
    </row>
    <row r="47" spans="2:11">
      <c r="B47" s="194"/>
      <c r="C47" s="194"/>
      <c r="F47" s="193"/>
      <c r="G47" s="193"/>
      <c r="H47" s="193"/>
      <c r="I47" s="193"/>
      <c r="K47" s="194"/>
    </row>
    <row r="48" spans="2:11">
      <c r="B48" s="194"/>
      <c r="C48" s="194"/>
      <c r="F48" s="193"/>
      <c r="G48" s="193"/>
      <c r="H48" s="193"/>
      <c r="I48" s="193"/>
      <c r="K48" s="194"/>
    </row>
    <row r="49" spans="2:11">
      <c r="B49" s="194"/>
      <c r="C49" s="194"/>
      <c r="F49" s="193"/>
      <c r="G49" s="193"/>
      <c r="H49" s="193"/>
      <c r="I49" s="193"/>
      <c r="K49" s="194"/>
    </row>
    <row r="50" spans="2:11">
      <c r="B50" s="194"/>
      <c r="C50" s="194"/>
      <c r="F50" s="193"/>
      <c r="G50" s="193"/>
      <c r="H50" s="193"/>
      <c r="I50" s="193"/>
      <c r="K50" s="194"/>
    </row>
    <row r="51" spans="2:11">
      <c r="B51" s="194"/>
      <c r="C51" s="194"/>
      <c r="F51" s="193"/>
      <c r="G51" s="193"/>
      <c r="H51" s="193"/>
      <c r="I51" s="193"/>
      <c r="K51" s="194"/>
    </row>
    <row r="52" spans="2:11">
      <c r="B52" s="194"/>
      <c r="C52" s="194"/>
      <c r="F52" s="193"/>
      <c r="G52" s="193"/>
      <c r="H52" s="193"/>
      <c r="I52" s="193"/>
      <c r="K52" s="194"/>
    </row>
    <row r="53" spans="2:11">
      <c r="B53" s="194"/>
      <c r="C53" s="194"/>
      <c r="F53" s="193"/>
      <c r="G53" s="193"/>
      <c r="H53" s="193"/>
      <c r="I53" s="193"/>
      <c r="K53" s="194"/>
    </row>
    <row r="54" spans="2:11">
      <c r="B54" s="194"/>
      <c r="C54" s="194"/>
      <c r="F54" s="193"/>
      <c r="G54" s="193"/>
      <c r="H54" s="193"/>
      <c r="I54" s="193"/>
      <c r="K54" s="194"/>
    </row>
    <row r="55" spans="2:11">
      <c r="B55" s="194"/>
      <c r="C55" s="194"/>
      <c r="F55" s="193"/>
      <c r="G55" s="193"/>
      <c r="H55" s="193"/>
      <c r="I55" s="193"/>
      <c r="K55" s="194"/>
    </row>
    <row r="56" spans="2:11">
      <c r="B56" s="194"/>
      <c r="C56" s="194"/>
      <c r="F56" s="193"/>
      <c r="G56" s="193"/>
      <c r="H56" s="193"/>
      <c r="I56" s="193"/>
      <c r="K56" s="194"/>
    </row>
    <row r="57" spans="2:11">
      <c r="B57" s="194"/>
      <c r="C57" s="194"/>
      <c r="F57" s="193"/>
      <c r="G57" s="193"/>
      <c r="H57" s="193"/>
      <c r="I57" s="193"/>
      <c r="K57" s="194"/>
    </row>
    <row r="58" spans="2:11">
      <c r="B58" s="194"/>
      <c r="C58" s="194"/>
      <c r="F58" s="193"/>
      <c r="G58" s="193"/>
      <c r="H58" s="193"/>
      <c r="I58" s="193"/>
      <c r="K58" s="194"/>
    </row>
    <row r="59" spans="2:11">
      <c r="B59" s="194"/>
      <c r="C59" s="194"/>
      <c r="F59" s="193"/>
      <c r="G59" s="193"/>
      <c r="H59" s="193"/>
      <c r="I59" s="193"/>
      <c r="K59" s="194"/>
    </row>
    <row r="60" spans="2:11">
      <c r="B60" s="194"/>
      <c r="C60" s="194"/>
      <c r="F60" s="193"/>
      <c r="G60" s="193"/>
      <c r="H60" s="193"/>
      <c r="I60" s="193"/>
      <c r="K60" s="194"/>
    </row>
    <row r="61" spans="2:11">
      <c r="B61" s="194"/>
      <c r="C61" s="194"/>
      <c r="F61" s="193"/>
      <c r="G61" s="193"/>
      <c r="H61" s="193"/>
      <c r="I61" s="193"/>
      <c r="K61" s="194"/>
    </row>
    <row r="62" spans="2:11">
      <c r="B62" s="194"/>
      <c r="C62" s="194"/>
      <c r="F62" s="193"/>
      <c r="G62" s="193"/>
      <c r="H62" s="193"/>
      <c r="I62" s="193"/>
      <c r="K62" s="194"/>
    </row>
    <row r="63" spans="2:11">
      <c r="B63" s="194"/>
      <c r="C63" s="194"/>
      <c r="F63" s="193"/>
      <c r="G63" s="193"/>
      <c r="H63" s="193"/>
      <c r="I63" s="193"/>
      <c r="K63" s="194"/>
    </row>
    <row r="64" spans="2:11">
      <c r="B64" s="194"/>
      <c r="C64" s="194"/>
      <c r="F64" s="193"/>
      <c r="G64" s="193"/>
      <c r="H64" s="193"/>
      <c r="I64" s="193"/>
      <c r="K64" s="194"/>
    </row>
    <row r="65" spans="2:11">
      <c r="B65" s="194"/>
      <c r="C65" s="194"/>
      <c r="F65" s="193"/>
      <c r="G65" s="193"/>
      <c r="H65" s="193"/>
      <c r="I65" s="193"/>
      <c r="K65" s="194"/>
    </row>
    <row r="66" spans="2:11">
      <c r="B66" s="194"/>
      <c r="C66" s="194"/>
      <c r="F66" s="193"/>
      <c r="G66" s="193"/>
      <c r="H66" s="193"/>
      <c r="I66" s="193"/>
      <c r="K66" s="194"/>
    </row>
    <row r="67" spans="2:11">
      <c r="B67" s="194"/>
      <c r="C67" s="194"/>
      <c r="F67" s="193"/>
      <c r="G67" s="193"/>
      <c r="H67" s="193"/>
      <c r="I67" s="193"/>
      <c r="K67" s="194"/>
    </row>
    <row r="68" spans="2:11">
      <c r="B68" s="194"/>
      <c r="C68" s="194"/>
      <c r="F68" s="193"/>
      <c r="G68" s="193"/>
      <c r="H68" s="193"/>
      <c r="I68" s="193"/>
      <c r="K68" s="194"/>
    </row>
    <row r="69" spans="2:11">
      <c r="B69" s="194"/>
      <c r="C69" s="194"/>
      <c r="F69" s="193"/>
      <c r="G69" s="193"/>
      <c r="H69" s="193"/>
      <c r="I69" s="193"/>
      <c r="K69" s="194"/>
    </row>
    <row r="70" spans="2:11">
      <c r="B70" s="194"/>
      <c r="C70" s="194"/>
      <c r="F70" s="193"/>
      <c r="G70" s="193"/>
      <c r="H70" s="193"/>
      <c r="I70" s="193"/>
      <c r="K70" s="195"/>
    </row>
    <row r="71" spans="2:11">
      <c r="B71" s="194"/>
      <c r="C71" s="194"/>
      <c r="F71" s="193"/>
      <c r="G71" s="193"/>
      <c r="H71" s="193"/>
      <c r="I71" s="193"/>
      <c r="K71" s="194"/>
    </row>
    <row r="72" spans="2:11">
      <c r="B72" s="194"/>
      <c r="C72" s="194"/>
      <c r="F72" s="193"/>
      <c r="G72" s="193"/>
      <c r="H72" s="193"/>
      <c r="I72" s="193"/>
      <c r="K72" s="195"/>
    </row>
    <row r="73" spans="2:11">
      <c r="B73" s="194"/>
      <c r="C73" s="194"/>
      <c r="F73" s="193"/>
      <c r="G73" s="193"/>
      <c r="H73" s="193"/>
      <c r="I73" s="193"/>
      <c r="K73" s="194"/>
    </row>
    <row r="74" spans="2:11">
      <c r="B74" s="194"/>
      <c r="C74" s="194"/>
      <c r="F74" s="193"/>
      <c r="G74" s="193"/>
      <c r="H74" s="193"/>
      <c r="I74" s="193"/>
      <c r="K74" s="194"/>
    </row>
    <row r="75" spans="2:11">
      <c r="B75" s="194"/>
      <c r="C75" s="194"/>
      <c r="F75" s="193"/>
      <c r="G75" s="193"/>
      <c r="H75" s="193"/>
      <c r="I75" s="193"/>
      <c r="K75" s="194"/>
    </row>
    <row r="76" spans="2:11">
      <c r="B76" s="194"/>
      <c r="C76" s="194"/>
      <c r="F76" s="193"/>
      <c r="G76" s="193"/>
      <c r="H76" s="193"/>
      <c r="I76" s="193"/>
      <c r="K76" s="194"/>
    </row>
    <row r="77" spans="2:11">
      <c r="B77" s="194"/>
      <c r="C77" s="194"/>
      <c r="F77" s="193"/>
      <c r="G77" s="193"/>
      <c r="H77" s="193"/>
      <c r="I77" s="193"/>
      <c r="K77" s="194"/>
    </row>
    <row r="78" spans="2:11">
      <c r="B78" s="194"/>
      <c r="C78" s="194"/>
      <c r="F78" s="193"/>
      <c r="G78" s="193"/>
      <c r="H78" s="193"/>
      <c r="I78" s="193"/>
      <c r="K78" s="194"/>
    </row>
    <row r="79" spans="2:11">
      <c r="B79" s="194"/>
      <c r="C79" s="194"/>
      <c r="F79" s="193"/>
      <c r="G79" s="193"/>
      <c r="H79" s="193"/>
      <c r="I79" s="193"/>
      <c r="K79" s="194"/>
    </row>
    <row r="80" spans="2:11">
      <c r="B80" s="194"/>
      <c r="C80" s="194"/>
      <c r="F80" s="193"/>
      <c r="G80" s="193"/>
      <c r="H80" s="193"/>
      <c r="I80" s="193"/>
      <c r="K80" s="194"/>
    </row>
    <row r="81" spans="2:11">
      <c r="B81" s="194"/>
      <c r="C81" s="194"/>
      <c r="F81" s="193"/>
      <c r="G81" s="193"/>
      <c r="H81" s="193"/>
      <c r="I81" s="193"/>
      <c r="K81" s="194"/>
    </row>
    <row r="82" spans="2:11">
      <c r="B82" s="194"/>
      <c r="C82" s="194"/>
      <c r="F82" s="193"/>
      <c r="G82" s="193"/>
      <c r="H82" s="193"/>
      <c r="I82" s="193"/>
      <c r="K82" s="194"/>
    </row>
    <row r="83" spans="2:11">
      <c r="B83" s="194"/>
      <c r="C83" s="194"/>
      <c r="F83" s="193"/>
      <c r="G83" s="193"/>
      <c r="H83" s="193"/>
      <c r="I83" s="193"/>
      <c r="K83" s="194"/>
    </row>
    <row r="84" spans="2:11">
      <c r="B84" s="194"/>
      <c r="C84" s="194"/>
      <c r="F84" s="193"/>
      <c r="G84" s="193"/>
      <c r="H84" s="193"/>
      <c r="I84" s="193"/>
      <c r="K84" s="194"/>
    </row>
    <row r="85" spans="2:11">
      <c r="B85" s="194"/>
      <c r="C85" s="194"/>
      <c r="F85" s="193"/>
      <c r="G85" s="193"/>
      <c r="H85" s="193"/>
      <c r="I85" s="193"/>
      <c r="K85" s="194"/>
    </row>
    <row r="86" spans="2:11">
      <c r="B86" s="194"/>
      <c r="C86" s="194"/>
      <c r="F86" s="193"/>
      <c r="G86" s="193"/>
      <c r="H86" s="193"/>
      <c r="I86" s="193"/>
      <c r="K86" s="194"/>
    </row>
    <row r="87" spans="2:11">
      <c r="B87" s="194"/>
      <c r="C87" s="194"/>
      <c r="F87" s="193"/>
      <c r="G87" s="193"/>
      <c r="H87" s="193"/>
      <c r="I87" s="193"/>
      <c r="K87" s="194"/>
    </row>
    <row r="88" spans="2:11">
      <c r="B88" s="194"/>
      <c r="C88" s="194"/>
      <c r="F88" s="193"/>
      <c r="G88" s="193"/>
      <c r="H88" s="193"/>
      <c r="I88" s="193"/>
      <c r="K88" s="194"/>
    </row>
    <row r="89" spans="2:11">
      <c r="B89" s="194"/>
      <c r="C89" s="194"/>
      <c r="F89" s="193"/>
      <c r="G89" s="193"/>
      <c r="H89" s="193"/>
      <c r="I89" s="193"/>
      <c r="K89" s="194"/>
    </row>
    <row r="90" spans="2:11">
      <c r="B90" s="194"/>
      <c r="C90" s="194"/>
      <c r="F90" s="193"/>
      <c r="G90" s="193"/>
      <c r="H90" s="193"/>
      <c r="I90" s="193"/>
      <c r="K90" s="194"/>
    </row>
    <row r="91" spans="2:11">
      <c r="B91" s="194"/>
      <c r="C91" s="194"/>
      <c r="F91" s="193"/>
      <c r="G91" s="193"/>
      <c r="H91" s="193"/>
      <c r="I91" s="193"/>
      <c r="K91" s="194"/>
    </row>
    <row r="92" spans="2:11">
      <c r="B92" s="194"/>
      <c r="C92" s="194"/>
      <c r="F92" s="193"/>
      <c r="G92" s="193"/>
      <c r="H92" s="193"/>
      <c r="I92" s="193"/>
      <c r="K92" s="194"/>
    </row>
    <row r="93" spans="2:11">
      <c r="B93" s="194"/>
      <c r="C93" s="194"/>
      <c r="F93" s="193"/>
      <c r="G93" s="193"/>
      <c r="H93" s="193"/>
      <c r="I93" s="193"/>
      <c r="K93" s="194"/>
    </row>
    <row r="94" spans="2:11">
      <c r="B94" s="194"/>
      <c r="C94" s="194"/>
      <c r="F94" s="193"/>
      <c r="G94" s="193"/>
      <c r="H94" s="193"/>
      <c r="I94" s="193"/>
      <c r="K94" s="194"/>
    </row>
    <row r="95" spans="2:11">
      <c r="B95" s="194"/>
      <c r="C95" s="194"/>
      <c r="F95" s="193"/>
      <c r="G95" s="193"/>
      <c r="H95" s="193"/>
      <c r="I95" s="193"/>
      <c r="K95" s="194"/>
    </row>
    <row r="96" spans="2:11">
      <c r="B96" s="194"/>
      <c r="C96" s="194"/>
      <c r="F96" s="193"/>
      <c r="G96" s="193"/>
      <c r="H96" s="193"/>
      <c r="I96" s="193"/>
      <c r="K96" s="194"/>
    </row>
    <row r="97" spans="2:11">
      <c r="B97" s="194"/>
      <c r="C97" s="194"/>
      <c r="F97" s="193"/>
      <c r="G97" s="193"/>
      <c r="H97" s="193"/>
      <c r="I97" s="193"/>
      <c r="K97" s="194"/>
    </row>
    <row r="98" spans="2:11">
      <c r="B98" s="194"/>
      <c r="C98" s="194"/>
      <c r="F98" s="193"/>
      <c r="G98" s="193"/>
      <c r="H98" s="193"/>
      <c r="I98" s="193"/>
      <c r="K98" s="194"/>
    </row>
    <row r="99" spans="2:11">
      <c r="B99" s="194"/>
      <c r="C99" s="194"/>
      <c r="F99" s="193"/>
      <c r="G99" s="193"/>
      <c r="H99" s="193"/>
      <c r="I99" s="193"/>
      <c r="K99" s="194"/>
    </row>
    <row r="100" spans="2:11">
      <c r="B100" s="194"/>
      <c r="C100" s="194"/>
      <c r="F100" s="193"/>
      <c r="G100" s="193"/>
      <c r="H100" s="193"/>
      <c r="I100" s="193"/>
      <c r="K100" s="194"/>
    </row>
    <row r="101" spans="2:11">
      <c r="B101" s="194"/>
      <c r="C101" s="194"/>
      <c r="F101" s="193"/>
      <c r="G101" s="193"/>
      <c r="H101" s="193"/>
      <c r="I101" s="193"/>
      <c r="K101" s="194"/>
    </row>
    <row r="102" spans="2:11">
      <c r="B102" s="194"/>
      <c r="C102" s="194"/>
      <c r="F102" s="193"/>
      <c r="G102" s="193"/>
      <c r="H102" s="193"/>
      <c r="I102" s="193"/>
      <c r="K102" s="194"/>
    </row>
    <row r="103" spans="2:11">
      <c r="B103" s="194"/>
      <c r="C103" s="194"/>
      <c r="F103" s="193"/>
      <c r="G103" s="193"/>
      <c r="H103" s="193"/>
      <c r="I103" s="193"/>
      <c r="K103" s="194"/>
    </row>
    <row r="104" spans="2:11">
      <c r="B104" s="194"/>
      <c r="C104" s="194"/>
      <c r="F104" s="193"/>
      <c r="G104" s="193"/>
      <c r="H104" s="193"/>
      <c r="I104" s="193"/>
      <c r="K104" s="194"/>
    </row>
    <row r="105" spans="2:11">
      <c r="B105" s="194"/>
      <c r="C105" s="194"/>
      <c r="F105" s="193"/>
      <c r="G105" s="193"/>
      <c r="H105" s="193"/>
      <c r="I105" s="193"/>
      <c r="K105" s="194"/>
    </row>
    <row r="106" spans="2:11">
      <c r="B106" s="194"/>
      <c r="C106" s="194"/>
      <c r="F106" s="193"/>
      <c r="G106" s="193"/>
      <c r="H106" s="193"/>
      <c r="I106" s="193"/>
      <c r="K106" s="194"/>
    </row>
    <row r="107" spans="2:11">
      <c r="B107" s="194"/>
      <c r="C107" s="194"/>
      <c r="F107" s="193"/>
      <c r="G107" s="193"/>
      <c r="H107" s="193"/>
      <c r="I107" s="193"/>
      <c r="K107" s="194"/>
    </row>
    <row r="108" spans="2:11">
      <c r="B108" s="194"/>
      <c r="C108" s="194"/>
      <c r="F108" s="193"/>
      <c r="G108" s="193"/>
      <c r="H108" s="193"/>
      <c r="I108" s="193"/>
      <c r="K108" s="194"/>
    </row>
    <row r="109" spans="2:11">
      <c r="B109" s="194"/>
      <c r="C109" s="194"/>
      <c r="F109" s="193"/>
      <c r="G109" s="193"/>
      <c r="H109" s="193"/>
      <c r="I109" s="193"/>
      <c r="K109" s="194"/>
    </row>
    <row r="110" spans="2:11">
      <c r="B110" s="194"/>
      <c r="C110" s="194"/>
      <c r="F110" s="193"/>
      <c r="G110" s="193"/>
      <c r="H110" s="193"/>
      <c r="I110" s="193"/>
      <c r="K110" s="194"/>
    </row>
    <row r="111" spans="2:11">
      <c r="B111" s="194"/>
      <c r="C111" s="194"/>
      <c r="F111" s="193"/>
      <c r="G111" s="193"/>
      <c r="H111" s="193"/>
      <c r="I111" s="193"/>
      <c r="K111" s="194"/>
    </row>
    <row r="112" spans="2:11">
      <c r="B112" s="194"/>
      <c r="F112" s="193"/>
      <c r="G112" s="193"/>
      <c r="H112" s="193"/>
      <c r="I112" s="193"/>
      <c r="K112" s="194"/>
    </row>
    <row r="113" spans="2:11">
      <c r="B113" s="194"/>
      <c r="C113" s="194"/>
      <c r="F113" s="193"/>
      <c r="G113" s="193"/>
      <c r="H113" s="193"/>
      <c r="I113" s="193"/>
      <c r="K113" s="194"/>
    </row>
    <row r="114" spans="2:11">
      <c r="B114" s="194"/>
      <c r="C114" s="194"/>
      <c r="F114" s="193"/>
      <c r="G114" s="193"/>
      <c r="H114" s="193"/>
      <c r="I114" s="193"/>
      <c r="K114" s="194"/>
    </row>
    <row r="115" spans="2:11">
      <c r="B115" s="194"/>
      <c r="C115" s="194"/>
      <c r="F115" s="193"/>
      <c r="G115" s="193"/>
      <c r="H115" s="193"/>
      <c r="I115" s="193"/>
      <c r="K115" s="194"/>
    </row>
    <row r="116" spans="2:11">
      <c r="B116" s="194"/>
      <c r="C116" s="194"/>
      <c r="F116" s="193"/>
      <c r="G116" s="193"/>
      <c r="H116" s="193"/>
      <c r="I116" s="193"/>
      <c r="K116" s="194"/>
    </row>
    <row r="117" spans="2:11">
      <c r="B117" s="194"/>
      <c r="C117" s="194"/>
      <c r="F117" s="193"/>
      <c r="G117" s="193"/>
      <c r="H117" s="193"/>
      <c r="I117" s="193"/>
      <c r="K117" s="194"/>
    </row>
    <row r="118" spans="2:11">
      <c r="B118" s="194"/>
      <c r="C118" s="194"/>
      <c r="F118" s="193"/>
      <c r="G118" s="193"/>
      <c r="H118" s="193"/>
      <c r="I118" s="193"/>
      <c r="K118" s="194"/>
    </row>
    <row r="119" spans="2:11">
      <c r="B119" s="194"/>
      <c r="C119" s="194"/>
      <c r="F119" s="193"/>
      <c r="G119" s="193"/>
      <c r="H119" s="193"/>
      <c r="I119" s="193"/>
      <c r="K119" s="194"/>
    </row>
    <row r="120" spans="2:11">
      <c r="B120" s="194"/>
      <c r="C120" s="194"/>
      <c r="F120" s="193"/>
      <c r="G120" s="193"/>
      <c r="H120" s="193"/>
      <c r="I120" s="193"/>
      <c r="K120" s="194"/>
    </row>
    <row r="121" spans="2:11">
      <c r="B121" s="194"/>
      <c r="C121" s="194"/>
      <c r="F121" s="193"/>
      <c r="G121" s="193"/>
      <c r="H121" s="193"/>
      <c r="I121" s="193"/>
      <c r="K121" s="194"/>
    </row>
    <row r="122" spans="2:11">
      <c r="B122" s="194"/>
      <c r="C122" s="194"/>
      <c r="F122" s="193"/>
      <c r="G122" s="193"/>
      <c r="H122" s="193"/>
      <c r="I122" s="193"/>
      <c r="K122" s="194"/>
    </row>
    <row r="123" spans="2:11">
      <c r="B123" s="194"/>
      <c r="C123" s="194"/>
      <c r="F123" s="193"/>
      <c r="G123" s="193"/>
      <c r="H123" s="193"/>
      <c r="I123" s="193"/>
      <c r="K123" s="194"/>
    </row>
    <row r="124" spans="2:11">
      <c r="B124" s="194"/>
      <c r="C124" s="194"/>
      <c r="F124" s="193"/>
      <c r="G124" s="193"/>
      <c r="H124" s="193"/>
      <c r="I124" s="193"/>
      <c r="K124" s="194"/>
    </row>
    <row r="125" spans="2:11">
      <c r="B125" s="194"/>
      <c r="C125" s="194"/>
      <c r="F125" s="193"/>
      <c r="G125" s="193"/>
      <c r="H125" s="193"/>
      <c r="I125" s="193"/>
      <c r="K125" s="194"/>
    </row>
    <row r="126" spans="2:11">
      <c r="B126" s="194"/>
      <c r="C126" s="194"/>
      <c r="F126" s="193"/>
      <c r="G126" s="193"/>
      <c r="H126" s="193"/>
      <c r="I126" s="193"/>
      <c r="K126" s="194"/>
    </row>
    <row r="127" spans="2:11">
      <c r="B127" s="194"/>
      <c r="C127" s="194"/>
      <c r="F127" s="193"/>
      <c r="G127" s="193"/>
      <c r="H127" s="193"/>
      <c r="I127" s="193"/>
      <c r="K127" s="194"/>
    </row>
    <row r="128" spans="2:11">
      <c r="B128" s="194"/>
      <c r="C128" s="194"/>
      <c r="F128" s="193"/>
      <c r="G128" s="193"/>
      <c r="H128" s="193"/>
      <c r="I128" s="193"/>
      <c r="K128" s="194"/>
    </row>
    <row r="129" spans="2:11">
      <c r="B129" s="194"/>
      <c r="C129" s="194"/>
      <c r="F129" s="193"/>
      <c r="G129" s="193"/>
      <c r="H129" s="193"/>
      <c r="I129" s="193"/>
      <c r="K129" s="194"/>
    </row>
    <row r="130" spans="2:11">
      <c r="B130" s="194"/>
      <c r="C130" s="194"/>
      <c r="F130" s="193"/>
      <c r="G130" s="193"/>
      <c r="H130" s="193"/>
      <c r="I130" s="193"/>
      <c r="K130" s="194"/>
    </row>
    <row r="131" spans="2:11">
      <c r="B131" s="194"/>
      <c r="C131" s="194"/>
      <c r="F131" s="193"/>
      <c r="G131" s="193"/>
      <c r="H131" s="193"/>
      <c r="I131" s="193"/>
      <c r="K131" s="194"/>
    </row>
    <row r="132" spans="2:11">
      <c r="B132" s="194"/>
      <c r="C132" s="194"/>
      <c r="F132" s="193"/>
      <c r="G132" s="193"/>
      <c r="H132" s="193"/>
      <c r="I132" s="193"/>
      <c r="K132" s="194"/>
    </row>
    <row r="133" spans="2:11">
      <c r="B133" s="194"/>
      <c r="C133" s="194"/>
      <c r="F133" s="193"/>
      <c r="G133" s="193"/>
      <c r="H133" s="193"/>
      <c r="I133" s="193"/>
      <c r="K133" s="194"/>
    </row>
    <row r="134" spans="2:11">
      <c r="B134" s="194"/>
      <c r="C134" s="194"/>
      <c r="F134" s="193"/>
      <c r="G134" s="193"/>
      <c r="H134" s="193"/>
      <c r="I134" s="193"/>
      <c r="K134" s="194"/>
    </row>
    <row r="135" spans="2:11">
      <c r="B135" s="194"/>
      <c r="C135" s="194"/>
      <c r="F135" s="193"/>
      <c r="G135" s="193"/>
      <c r="H135" s="193"/>
      <c r="I135" s="193"/>
      <c r="K135" s="194"/>
    </row>
    <row r="136" spans="2:11">
      <c r="B136" s="194"/>
      <c r="C136" s="194"/>
      <c r="F136" s="193"/>
      <c r="G136" s="193"/>
      <c r="H136" s="193"/>
      <c r="I136" s="193"/>
      <c r="K136" s="194"/>
    </row>
    <row r="137" spans="2:11">
      <c r="B137" s="194"/>
      <c r="C137" s="194"/>
      <c r="F137" s="193"/>
      <c r="G137" s="193"/>
      <c r="H137" s="193"/>
      <c r="I137" s="193"/>
      <c r="K137" s="194"/>
    </row>
    <row r="138" spans="2:11">
      <c r="B138" s="194"/>
      <c r="C138" s="194"/>
      <c r="F138" s="193"/>
      <c r="G138" s="193"/>
      <c r="H138" s="193"/>
      <c r="I138" s="193"/>
      <c r="K138" s="194"/>
    </row>
    <row r="139" spans="2:11">
      <c r="B139" s="194"/>
      <c r="C139" s="194"/>
      <c r="F139" s="193"/>
      <c r="G139" s="193"/>
      <c r="H139" s="193"/>
      <c r="I139" s="193"/>
      <c r="K139" s="194"/>
    </row>
    <row r="140" spans="2:11">
      <c r="B140" s="194"/>
      <c r="C140" s="194"/>
      <c r="F140" s="193"/>
      <c r="G140" s="193"/>
      <c r="H140" s="193"/>
      <c r="I140" s="193"/>
      <c r="K140" s="194"/>
    </row>
    <row r="141" spans="2:11">
      <c r="B141" s="194"/>
      <c r="C141" s="194"/>
      <c r="F141" s="193"/>
      <c r="G141" s="193"/>
      <c r="H141" s="193"/>
      <c r="I141" s="193"/>
      <c r="K141" s="194"/>
    </row>
    <row r="142" spans="2:11">
      <c r="B142" s="194"/>
      <c r="C142" s="194"/>
      <c r="F142" s="193"/>
      <c r="G142" s="193"/>
      <c r="H142" s="193"/>
      <c r="I142" s="193"/>
      <c r="K142" s="194"/>
    </row>
    <row r="143" spans="2:11">
      <c r="B143" s="194"/>
      <c r="C143" s="194"/>
      <c r="F143" s="193"/>
      <c r="G143" s="193"/>
      <c r="H143" s="193"/>
      <c r="I143" s="193"/>
      <c r="K143" s="194"/>
    </row>
    <row r="144" spans="2:11">
      <c r="B144" s="194"/>
      <c r="C144" s="194"/>
      <c r="F144" s="193"/>
      <c r="G144" s="193"/>
      <c r="H144" s="193"/>
      <c r="I144" s="193"/>
      <c r="K144" s="194"/>
    </row>
    <row r="145" spans="2:11">
      <c r="B145" s="194"/>
      <c r="C145" s="194"/>
      <c r="F145" s="193"/>
      <c r="G145" s="193"/>
      <c r="H145" s="193"/>
      <c r="I145" s="193"/>
      <c r="K145" s="194"/>
    </row>
    <row r="146" spans="2:11">
      <c r="B146" s="194"/>
      <c r="C146" s="194"/>
      <c r="F146" s="193"/>
      <c r="G146" s="193"/>
      <c r="H146" s="193"/>
      <c r="I146" s="193"/>
      <c r="K146" s="194"/>
    </row>
    <row r="147" spans="2:11">
      <c r="B147" s="194"/>
      <c r="C147" s="194"/>
      <c r="F147" s="193"/>
      <c r="G147" s="193"/>
      <c r="H147" s="193"/>
      <c r="I147" s="193"/>
      <c r="K147" s="194"/>
    </row>
    <row r="148" spans="2:11">
      <c r="B148" s="194"/>
      <c r="C148" s="194"/>
      <c r="F148" s="193"/>
      <c r="G148" s="193"/>
      <c r="H148" s="193"/>
      <c r="I148" s="193"/>
      <c r="K148" s="194"/>
    </row>
    <row r="149" spans="2:11">
      <c r="B149" s="194"/>
      <c r="C149" s="194"/>
      <c r="F149" s="193"/>
      <c r="G149" s="193"/>
      <c r="H149" s="193"/>
      <c r="I149" s="193"/>
      <c r="K149" s="194"/>
    </row>
    <row r="150" spans="2:11">
      <c r="B150" s="194"/>
      <c r="C150" s="194"/>
      <c r="F150" s="193"/>
      <c r="G150" s="193"/>
      <c r="H150" s="193"/>
      <c r="I150" s="193"/>
      <c r="K150" s="194"/>
    </row>
    <row r="151" spans="2:11">
      <c r="B151" s="194"/>
      <c r="C151" s="194"/>
      <c r="F151" s="193"/>
      <c r="G151" s="193"/>
      <c r="H151" s="193"/>
      <c r="I151" s="193"/>
      <c r="K151" s="194"/>
    </row>
    <row r="152" spans="2:11">
      <c r="B152" s="194"/>
      <c r="C152" s="194"/>
      <c r="F152" s="193"/>
      <c r="G152" s="193"/>
      <c r="H152" s="193"/>
      <c r="I152" s="193"/>
      <c r="K152" s="194"/>
    </row>
    <row r="153" spans="2:11">
      <c r="B153" s="194"/>
      <c r="C153" s="194"/>
      <c r="F153" s="193"/>
      <c r="G153" s="193"/>
      <c r="H153" s="193"/>
      <c r="I153" s="193"/>
      <c r="K153" s="194"/>
    </row>
    <row r="154" spans="2:11">
      <c r="B154" s="194"/>
      <c r="C154" s="194"/>
      <c r="F154" s="193"/>
      <c r="G154" s="193"/>
      <c r="H154" s="193"/>
      <c r="I154" s="193"/>
      <c r="K154" s="194"/>
    </row>
    <row r="155" spans="2:11">
      <c r="B155" s="194"/>
      <c r="C155" s="194"/>
      <c r="F155" s="193"/>
      <c r="G155" s="193"/>
      <c r="H155" s="193"/>
      <c r="I155" s="193"/>
      <c r="K155" s="194"/>
    </row>
    <row r="156" spans="2:11">
      <c r="B156" s="194"/>
      <c r="C156" s="194"/>
      <c r="F156" s="193"/>
      <c r="G156" s="193"/>
      <c r="H156" s="193"/>
      <c r="I156" s="193"/>
      <c r="K156" s="194"/>
    </row>
    <row r="157" spans="2:11">
      <c r="B157" s="194"/>
      <c r="C157" s="194"/>
      <c r="F157" s="193"/>
      <c r="G157" s="193"/>
      <c r="H157" s="193"/>
      <c r="I157" s="193"/>
      <c r="K157" s="194"/>
    </row>
    <row r="158" spans="2:11">
      <c r="B158" s="194"/>
      <c r="C158" s="194"/>
      <c r="F158" s="193"/>
      <c r="G158" s="193"/>
      <c r="H158" s="193"/>
      <c r="I158" s="193"/>
      <c r="K158" s="194"/>
    </row>
    <row r="159" spans="2:11">
      <c r="B159" s="194"/>
      <c r="C159" s="194"/>
      <c r="F159" s="193"/>
      <c r="G159" s="193"/>
      <c r="H159" s="193"/>
      <c r="I159" s="193"/>
      <c r="K159" s="194"/>
    </row>
    <row r="160" spans="2:11">
      <c r="B160" s="194"/>
      <c r="C160" s="194"/>
      <c r="F160" s="193"/>
      <c r="G160" s="193"/>
      <c r="H160" s="193"/>
      <c r="I160" s="193"/>
      <c r="K160" s="194"/>
    </row>
    <row r="161" spans="2:11">
      <c r="B161" s="194"/>
      <c r="C161" s="194"/>
      <c r="F161" s="193"/>
      <c r="G161" s="193"/>
      <c r="H161" s="193"/>
      <c r="I161" s="193"/>
      <c r="K161" s="194"/>
    </row>
    <row r="162" spans="2:11">
      <c r="B162" s="194"/>
      <c r="C162" s="194"/>
      <c r="F162" s="193"/>
      <c r="G162" s="193"/>
      <c r="H162" s="193"/>
      <c r="I162" s="193"/>
      <c r="K162" s="194"/>
    </row>
    <row r="163" spans="2:11">
      <c r="B163" s="194"/>
      <c r="C163" s="194"/>
      <c r="F163" s="193"/>
      <c r="G163" s="193"/>
      <c r="H163" s="193"/>
      <c r="I163" s="193"/>
      <c r="K163" s="194"/>
    </row>
    <row r="164" spans="2:11">
      <c r="B164" s="194"/>
      <c r="C164" s="194"/>
      <c r="F164" s="193"/>
      <c r="G164" s="193"/>
      <c r="H164" s="193"/>
      <c r="I164" s="193"/>
      <c r="K164" s="194"/>
    </row>
    <row r="165" spans="2:11">
      <c r="B165" s="194"/>
      <c r="C165" s="194"/>
      <c r="F165" s="193"/>
      <c r="G165" s="193"/>
      <c r="H165" s="193"/>
      <c r="I165" s="193"/>
      <c r="K165" s="194"/>
    </row>
    <row r="166" spans="2:11">
      <c r="B166" s="194"/>
      <c r="C166" s="194"/>
      <c r="F166" s="193"/>
      <c r="G166" s="193"/>
      <c r="H166" s="193"/>
      <c r="I166" s="193"/>
      <c r="K166" s="194"/>
    </row>
    <row r="167" spans="2:11">
      <c r="B167" s="194"/>
      <c r="C167" s="194"/>
      <c r="F167" s="193"/>
      <c r="G167" s="193"/>
      <c r="H167" s="193"/>
      <c r="I167" s="193"/>
      <c r="K167" s="194"/>
    </row>
    <row r="168" spans="2:11">
      <c r="B168" s="194"/>
      <c r="C168" s="194"/>
      <c r="F168" s="193"/>
      <c r="G168" s="193"/>
      <c r="H168" s="193"/>
      <c r="I168" s="193"/>
      <c r="K168" s="194"/>
    </row>
    <row r="169" spans="2:11">
      <c r="B169" s="194"/>
      <c r="C169" s="194"/>
      <c r="F169" s="193"/>
      <c r="G169" s="193"/>
      <c r="H169" s="193"/>
      <c r="I169" s="193"/>
      <c r="K169" s="194"/>
    </row>
    <row r="170" spans="2:11">
      <c r="B170" s="194"/>
      <c r="C170" s="194"/>
      <c r="F170" s="193"/>
      <c r="G170" s="193"/>
      <c r="H170" s="193"/>
      <c r="I170" s="193"/>
      <c r="K170" s="194"/>
    </row>
    <row r="171" spans="2:11">
      <c r="B171" s="194"/>
      <c r="C171" s="194"/>
      <c r="F171" s="193"/>
      <c r="G171" s="193"/>
      <c r="H171" s="193"/>
      <c r="I171" s="193"/>
      <c r="K171" s="194"/>
    </row>
    <row r="172" spans="2:11">
      <c r="B172" s="194"/>
      <c r="C172" s="194"/>
      <c r="F172" s="193"/>
      <c r="G172" s="193"/>
      <c r="H172" s="193"/>
      <c r="I172" s="193"/>
      <c r="K172" s="194"/>
    </row>
    <row r="173" spans="2:11">
      <c r="B173" s="194"/>
      <c r="C173" s="194"/>
      <c r="F173" s="193"/>
      <c r="G173" s="193"/>
      <c r="H173" s="193"/>
      <c r="I173" s="193"/>
      <c r="K173" s="194"/>
    </row>
    <row r="174" spans="2:11">
      <c r="B174" s="194"/>
      <c r="C174" s="194"/>
      <c r="F174" s="193"/>
      <c r="G174" s="193"/>
      <c r="H174" s="193"/>
      <c r="I174" s="193"/>
      <c r="K174" s="194"/>
    </row>
    <row r="175" spans="2:11">
      <c r="B175" s="194"/>
      <c r="C175" s="194"/>
      <c r="F175" s="193"/>
      <c r="G175" s="193"/>
      <c r="H175" s="193"/>
      <c r="I175" s="193"/>
      <c r="K175" s="194"/>
    </row>
    <row r="176" spans="2:11">
      <c r="B176" s="194"/>
      <c r="C176" s="194"/>
      <c r="F176" s="193"/>
      <c r="G176" s="193"/>
      <c r="H176" s="193"/>
      <c r="I176" s="193"/>
      <c r="K176" s="194"/>
    </row>
    <row r="177" spans="2:11">
      <c r="B177" s="194"/>
      <c r="C177" s="194"/>
      <c r="F177" s="193"/>
      <c r="G177" s="193"/>
      <c r="H177" s="193"/>
      <c r="I177" s="193"/>
      <c r="K177" s="194"/>
    </row>
    <row r="178" spans="2:11">
      <c r="B178" s="194"/>
      <c r="C178" s="194"/>
      <c r="F178" s="193"/>
      <c r="G178" s="193"/>
      <c r="H178" s="193"/>
      <c r="I178" s="193"/>
      <c r="K178" s="194"/>
    </row>
    <row r="179" spans="2:11">
      <c r="B179" s="194"/>
      <c r="C179" s="194"/>
      <c r="F179" s="193"/>
      <c r="G179" s="193"/>
      <c r="H179" s="193"/>
      <c r="I179" s="193"/>
      <c r="K179" s="194"/>
    </row>
    <row r="180" spans="2:11">
      <c r="B180" s="194"/>
      <c r="C180" s="194"/>
      <c r="F180" s="193"/>
      <c r="G180" s="193"/>
      <c r="H180" s="193"/>
      <c r="I180" s="193"/>
      <c r="K180" s="194"/>
    </row>
    <row r="181" spans="2:11">
      <c r="B181" s="194"/>
      <c r="C181" s="194"/>
      <c r="F181" s="193"/>
      <c r="G181" s="193"/>
      <c r="H181" s="193"/>
      <c r="I181" s="193"/>
      <c r="K181" s="194"/>
    </row>
    <row r="182" spans="2:11">
      <c r="B182" s="194"/>
      <c r="C182" s="194"/>
      <c r="F182" s="193"/>
      <c r="G182" s="193"/>
      <c r="H182" s="193"/>
      <c r="I182" s="193"/>
      <c r="K182" s="194"/>
    </row>
    <row r="183" spans="2:11">
      <c r="B183" s="194"/>
      <c r="C183" s="194"/>
      <c r="F183" s="193"/>
      <c r="G183" s="193"/>
      <c r="H183" s="193"/>
      <c r="I183" s="193"/>
      <c r="K183" s="194"/>
    </row>
    <row r="184" spans="2:11">
      <c r="B184" s="194"/>
      <c r="C184" s="194"/>
      <c r="F184" s="193"/>
      <c r="G184" s="193"/>
      <c r="H184" s="193"/>
      <c r="I184" s="193"/>
      <c r="K184" s="194"/>
    </row>
    <row r="185" spans="2:11">
      <c r="B185" s="194"/>
      <c r="C185" s="194"/>
      <c r="F185" s="193"/>
      <c r="G185" s="193"/>
      <c r="H185" s="193"/>
      <c r="I185" s="193"/>
      <c r="K185" s="194"/>
    </row>
    <row r="186" spans="2:11">
      <c r="B186" s="194"/>
      <c r="C186" s="194"/>
      <c r="F186" s="193"/>
      <c r="G186" s="193"/>
      <c r="H186" s="193"/>
      <c r="I186" s="193"/>
      <c r="K186" s="194"/>
    </row>
    <row r="187" spans="2:11">
      <c r="B187" s="194"/>
      <c r="C187" s="194"/>
      <c r="F187" s="193"/>
      <c r="G187" s="193"/>
      <c r="H187" s="193"/>
      <c r="I187" s="193"/>
      <c r="K187" s="194"/>
    </row>
    <row r="188" spans="2:11">
      <c r="B188" s="194"/>
      <c r="C188" s="194"/>
      <c r="F188" s="193"/>
      <c r="G188" s="193"/>
      <c r="H188" s="193"/>
      <c r="I188" s="193"/>
      <c r="K188" s="194"/>
    </row>
    <row r="189" spans="2:11">
      <c r="B189" s="194"/>
      <c r="C189" s="194"/>
      <c r="F189" s="193"/>
      <c r="G189" s="193"/>
      <c r="H189" s="193"/>
      <c r="I189" s="193"/>
      <c r="K189" s="194"/>
    </row>
    <row r="190" spans="2:11">
      <c r="B190" s="194"/>
      <c r="C190" s="194"/>
      <c r="F190" s="193"/>
      <c r="G190" s="193"/>
      <c r="H190" s="193"/>
      <c r="I190" s="193"/>
      <c r="K190" s="194"/>
    </row>
    <row r="191" spans="2:11">
      <c r="B191" s="194"/>
      <c r="C191" s="194"/>
      <c r="F191" s="193"/>
      <c r="G191" s="193"/>
      <c r="H191" s="193"/>
      <c r="I191" s="193"/>
      <c r="K191" s="194"/>
    </row>
    <row r="192" spans="2:11">
      <c r="B192" s="194"/>
      <c r="C192" s="194"/>
      <c r="F192" s="193"/>
      <c r="G192" s="193"/>
      <c r="H192" s="193"/>
      <c r="I192" s="193"/>
      <c r="K192" s="194"/>
    </row>
    <row r="193" spans="2:11">
      <c r="B193" s="194"/>
      <c r="C193" s="194"/>
      <c r="F193" s="193"/>
      <c r="G193" s="193"/>
      <c r="H193" s="193"/>
      <c r="I193" s="193"/>
      <c r="K193" s="194"/>
    </row>
    <row r="194" spans="2:11">
      <c r="B194" s="194"/>
      <c r="C194" s="194"/>
      <c r="F194" s="193"/>
      <c r="G194" s="193"/>
      <c r="H194" s="193"/>
      <c r="I194" s="193"/>
      <c r="K194" s="194"/>
    </row>
    <row r="195" spans="2:11">
      <c r="B195" s="194"/>
      <c r="C195" s="194"/>
      <c r="F195" s="193"/>
      <c r="G195" s="193"/>
      <c r="H195" s="193"/>
      <c r="I195" s="193"/>
      <c r="K195" s="194"/>
    </row>
    <row r="196" spans="2:11">
      <c r="B196" s="194"/>
      <c r="C196" s="194"/>
      <c r="F196" s="193"/>
      <c r="G196" s="193"/>
      <c r="H196" s="193"/>
      <c r="I196" s="193"/>
      <c r="K196" s="194"/>
    </row>
    <row r="197" spans="2:11">
      <c r="B197" s="194"/>
      <c r="C197" s="194"/>
      <c r="F197" s="193"/>
      <c r="G197" s="193"/>
      <c r="H197" s="193"/>
      <c r="I197" s="193"/>
      <c r="K197" s="194"/>
    </row>
    <row r="198" spans="2:11">
      <c r="B198" s="194"/>
      <c r="C198" s="194"/>
      <c r="F198" s="193"/>
      <c r="G198" s="193"/>
      <c r="H198" s="193"/>
      <c r="I198" s="193"/>
      <c r="K198" s="194"/>
    </row>
    <row r="199" spans="2:11">
      <c r="B199" s="194"/>
      <c r="C199" s="194"/>
      <c r="F199" s="193"/>
      <c r="G199" s="193"/>
      <c r="H199" s="193"/>
      <c r="I199" s="193"/>
      <c r="K199" s="194"/>
    </row>
    <row r="200" spans="2:11">
      <c r="B200" s="194"/>
      <c r="C200" s="194"/>
      <c r="F200" s="193"/>
      <c r="G200" s="193"/>
      <c r="H200" s="193"/>
      <c r="I200" s="193"/>
      <c r="K200" s="194"/>
    </row>
    <row r="201" spans="2:11">
      <c r="B201" s="194"/>
      <c r="C201" s="194"/>
      <c r="F201" s="193"/>
      <c r="G201" s="193"/>
      <c r="H201" s="193"/>
      <c r="I201" s="193"/>
      <c r="K201" s="194"/>
    </row>
    <row r="202" spans="2:11">
      <c r="B202" s="194"/>
      <c r="C202" s="194"/>
      <c r="F202" s="193"/>
      <c r="G202" s="193"/>
      <c r="H202" s="193"/>
      <c r="I202" s="193"/>
      <c r="K202" s="194"/>
    </row>
    <row r="203" spans="2:11">
      <c r="B203" s="194"/>
      <c r="C203" s="194"/>
      <c r="F203" s="193"/>
      <c r="G203" s="193"/>
      <c r="H203" s="193"/>
      <c r="I203" s="193"/>
      <c r="K203" s="194"/>
    </row>
    <row r="204" spans="2:11">
      <c r="B204" s="194"/>
      <c r="C204" s="194"/>
      <c r="F204" s="193"/>
      <c r="G204" s="193"/>
      <c r="H204" s="193"/>
      <c r="I204" s="193"/>
      <c r="K204" s="194"/>
    </row>
    <row r="205" spans="2:11">
      <c r="B205" s="194"/>
      <c r="C205" s="194"/>
      <c r="F205" s="193"/>
      <c r="G205" s="193"/>
      <c r="H205" s="193"/>
      <c r="I205" s="193"/>
      <c r="K205" s="194"/>
    </row>
    <row r="206" spans="2:11">
      <c r="B206" s="194"/>
      <c r="C206" s="194"/>
      <c r="F206" s="193"/>
      <c r="G206" s="193"/>
      <c r="H206" s="193"/>
      <c r="I206" s="193"/>
      <c r="K206" s="194"/>
    </row>
    <row r="207" spans="2:11">
      <c r="B207" s="194"/>
      <c r="C207" s="194"/>
      <c r="F207" s="193"/>
      <c r="G207" s="193"/>
      <c r="H207" s="193"/>
      <c r="I207" s="193"/>
      <c r="K207" s="194"/>
    </row>
    <row r="208" spans="2:11">
      <c r="B208" s="194"/>
      <c r="C208" s="194"/>
      <c r="F208" s="193"/>
      <c r="G208" s="193"/>
      <c r="H208" s="193"/>
      <c r="I208" s="193"/>
      <c r="K208" s="194"/>
    </row>
    <row r="209" spans="2:11">
      <c r="B209" s="194"/>
      <c r="C209" s="194"/>
      <c r="F209" s="193"/>
      <c r="G209" s="193"/>
      <c r="H209" s="193"/>
      <c r="I209" s="193"/>
      <c r="K209" s="194"/>
    </row>
    <row r="210" spans="2:11">
      <c r="B210" s="194"/>
      <c r="C210" s="194"/>
      <c r="F210" s="193"/>
      <c r="G210" s="193"/>
      <c r="H210" s="193"/>
      <c r="I210" s="193"/>
      <c r="K210" s="194"/>
    </row>
    <row r="211" spans="2:11">
      <c r="B211" s="194"/>
      <c r="C211" s="194"/>
      <c r="F211" s="193"/>
      <c r="G211" s="193"/>
      <c r="H211" s="193"/>
      <c r="I211" s="193"/>
      <c r="K211" s="194"/>
    </row>
    <row r="212" spans="2:11">
      <c r="B212" s="194"/>
      <c r="C212" s="194"/>
      <c r="F212" s="193"/>
      <c r="G212" s="193"/>
      <c r="H212" s="193"/>
      <c r="I212" s="193"/>
      <c r="K212" s="194"/>
    </row>
    <row r="213" spans="2:11">
      <c r="B213" s="194"/>
      <c r="C213" s="194"/>
      <c r="F213" s="193"/>
      <c r="G213" s="193"/>
      <c r="H213" s="193"/>
      <c r="I213" s="193"/>
      <c r="K213" s="194"/>
    </row>
    <row r="214" spans="2:11">
      <c r="B214" s="194"/>
      <c r="C214" s="194"/>
      <c r="F214" s="193"/>
      <c r="G214" s="193"/>
      <c r="H214" s="193"/>
      <c r="I214" s="193"/>
      <c r="K214" s="194"/>
    </row>
    <row r="215" spans="2:11">
      <c r="B215" s="194"/>
      <c r="C215" s="194"/>
      <c r="F215" s="193"/>
      <c r="G215" s="193"/>
      <c r="H215" s="193"/>
      <c r="I215" s="193"/>
      <c r="K215" s="194"/>
    </row>
    <row r="216" spans="2:11">
      <c r="B216" s="194"/>
      <c r="C216" s="194"/>
      <c r="F216" s="193"/>
      <c r="G216" s="193"/>
      <c r="H216" s="193"/>
      <c r="I216" s="193"/>
      <c r="K216" s="194"/>
    </row>
    <row r="217" spans="2:11">
      <c r="B217" s="194"/>
      <c r="C217" s="194"/>
      <c r="F217" s="193"/>
      <c r="G217" s="193"/>
      <c r="H217" s="193"/>
      <c r="I217" s="193"/>
      <c r="K217" s="194"/>
    </row>
    <row r="218" spans="2:11">
      <c r="B218" s="194"/>
      <c r="C218" s="194"/>
      <c r="F218" s="193"/>
      <c r="G218" s="193"/>
      <c r="H218" s="193"/>
      <c r="I218" s="193"/>
      <c r="K218" s="194"/>
    </row>
    <row r="219" spans="2:11">
      <c r="B219" s="194"/>
      <c r="C219" s="194"/>
      <c r="F219" s="193"/>
      <c r="G219" s="193"/>
      <c r="H219" s="193"/>
      <c r="I219" s="193"/>
      <c r="K219" s="194"/>
    </row>
    <row r="220" spans="2:11">
      <c r="B220" s="194"/>
      <c r="C220" s="194"/>
      <c r="F220" s="193"/>
      <c r="G220" s="193"/>
      <c r="H220" s="193"/>
      <c r="I220" s="193"/>
      <c r="K220" s="194"/>
    </row>
    <row r="221" spans="2:11">
      <c r="B221" s="194"/>
      <c r="C221" s="194"/>
      <c r="F221" s="193"/>
      <c r="G221" s="193"/>
      <c r="H221" s="193"/>
      <c r="I221" s="193"/>
      <c r="K221" s="194"/>
    </row>
    <row r="222" spans="2:11">
      <c r="B222" s="194"/>
      <c r="C222" s="194"/>
      <c r="F222" s="193"/>
      <c r="G222" s="193"/>
      <c r="H222" s="193"/>
      <c r="I222" s="193"/>
      <c r="K222" s="194"/>
    </row>
    <row r="223" spans="2:11">
      <c r="B223" s="194"/>
      <c r="C223" s="194"/>
      <c r="F223" s="193"/>
      <c r="G223" s="193"/>
      <c r="H223" s="193"/>
      <c r="I223" s="193"/>
      <c r="K223" s="194"/>
    </row>
    <row r="224" spans="2:11">
      <c r="B224" s="194"/>
      <c r="C224" s="194"/>
      <c r="F224" s="193"/>
      <c r="G224" s="193"/>
      <c r="H224" s="193"/>
      <c r="I224" s="193"/>
      <c r="K224" s="194"/>
    </row>
    <row r="225" spans="2:11">
      <c r="B225" s="194"/>
      <c r="C225" s="194"/>
      <c r="F225" s="193"/>
      <c r="G225" s="193"/>
      <c r="H225" s="193"/>
      <c r="I225" s="193"/>
      <c r="K225" s="194"/>
    </row>
    <row r="226" spans="2:11">
      <c r="B226" s="194"/>
      <c r="C226" s="194"/>
      <c r="F226" s="193"/>
      <c r="G226" s="193"/>
      <c r="H226" s="193"/>
      <c r="I226" s="193"/>
      <c r="K226" s="194"/>
    </row>
    <row r="227" spans="2:11">
      <c r="B227" s="194"/>
      <c r="C227" s="194"/>
      <c r="F227" s="193"/>
      <c r="G227" s="193"/>
      <c r="H227" s="193"/>
      <c r="I227" s="193"/>
      <c r="K227" s="194"/>
    </row>
    <row r="228" spans="2:11">
      <c r="B228" s="194"/>
      <c r="C228" s="194"/>
      <c r="F228" s="193"/>
      <c r="G228" s="193"/>
      <c r="H228" s="193"/>
      <c r="I228" s="193"/>
      <c r="K228" s="194"/>
    </row>
    <row r="229" spans="2:11">
      <c r="B229" s="194"/>
      <c r="C229" s="194"/>
      <c r="F229" s="193"/>
      <c r="G229" s="193"/>
      <c r="H229" s="193"/>
      <c r="I229" s="193"/>
      <c r="K229" s="194"/>
    </row>
    <row r="230" spans="2:11">
      <c r="B230" s="194"/>
      <c r="C230" s="194"/>
      <c r="F230" s="193"/>
      <c r="G230" s="193"/>
      <c r="H230" s="193"/>
      <c r="I230" s="193"/>
      <c r="K230" s="194"/>
    </row>
    <row r="231" spans="2:11">
      <c r="B231" s="194"/>
      <c r="C231" s="194"/>
      <c r="F231" s="193"/>
      <c r="G231" s="193"/>
      <c r="H231" s="193"/>
      <c r="I231" s="193"/>
      <c r="K231" s="194"/>
    </row>
    <row r="232" spans="2:11">
      <c r="B232" s="194"/>
      <c r="C232" s="194"/>
      <c r="F232" s="193"/>
      <c r="G232" s="193"/>
      <c r="H232" s="193"/>
      <c r="I232" s="193"/>
      <c r="K232" s="194"/>
    </row>
    <row r="233" spans="2:11">
      <c r="B233" s="194"/>
      <c r="C233" s="194"/>
      <c r="F233" s="193"/>
      <c r="G233" s="193"/>
      <c r="H233" s="193"/>
      <c r="I233" s="193"/>
      <c r="K233" s="194"/>
    </row>
    <row r="234" spans="2:11">
      <c r="B234" s="194"/>
      <c r="C234" s="194"/>
      <c r="F234" s="193"/>
      <c r="G234" s="193"/>
      <c r="H234" s="193"/>
      <c r="I234" s="193"/>
      <c r="K234" s="194"/>
    </row>
    <row r="235" spans="2:11">
      <c r="B235" s="194"/>
      <c r="C235" s="194"/>
      <c r="F235" s="193"/>
      <c r="G235" s="193"/>
      <c r="H235" s="193"/>
      <c r="I235" s="193"/>
      <c r="K235" s="194"/>
    </row>
    <row r="236" spans="2:11">
      <c r="B236" s="194"/>
      <c r="C236" s="194"/>
      <c r="F236" s="193"/>
      <c r="G236" s="193"/>
      <c r="H236" s="193"/>
      <c r="I236" s="193"/>
      <c r="K236" s="194"/>
    </row>
    <row r="237" spans="2:11">
      <c r="B237" s="194"/>
      <c r="C237" s="194"/>
      <c r="F237" s="193"/>
      <c r="G237" s="193"/>
      <c r="H237" s="193"/>
      <c r="I237" s="193"/>
      <c r="K237" s="194"/>
    </row>
    <row r="238" spans="2:11">
      <c r="B238" s="194"/>
      <c r="C238" s="194"/>
      <c r="F238" s="193"/>
      <c r="G238" s="193"/>
      <c r="H238" s="193"/>
      <c r="I238" s="193"/>
      <c r="K238" s="194"/>
    </row>
    <row r="239" spans="2:11">
      <c r="B239" s="194"/>
      <c r="C239" s="194"/>
      <c r="F239" s="193"/>
      <c r="G239" s="193"/>
      <c r="H239" s="193"/>
      <c r="I239" s="193"/>
      <c r="K239" s="194"/>
    </row>
    <row r="240" spans="2:11">
      <c r="B240" s="194"/>
      <c r="C240" s="194"/>
      <c r="F240" s="193"/>
      <c r="G240" s="193"/>
      <c r="H240" s="193"/>
      <c r="I240" s="193"/>
      <c r="K240" s="194"/>
    </row>
    <row r="241" spans="2:11">
      <c r="B241" s="194"/>
      <c r="C241" s="194"/>
      <c r="F241" s="193"/>
      <c r="G241" s="193"/>
      <c r="H241" s="193"/>
      <c r="I241" s="193"/>
      <c r="K241" s="194"/>
    </row>
    <row r="242" spans="2:11">
      <c r="B242" s="194"/>
      <c r="C242" s="194"/>
      <c r="F242" s="193"/>
      <c r="G242" s="193"/>
      <c r="H242" s="193"/>
      <c r="I242" s="193"/>
      <c r="K242" s="194"/>
    </row>
    <row r="243" spans="2:11">
      <c r="B243" s="194"/>
      <c r="C243" s="194"/>
      <c r="F243" s="193"/>
      <c r="G243" s="193"/>
      <c r="H243" s="193"/>
      <c r="I243" s="193"/>
      <c r="K243" s="194"/>
    </row>
    <row r="244" spans="2:11">
      <c r="B244" s="194"/>
      <c r="C244" s="194"/>
      <c r="F244" s="193"/>
      <c r="G244" s="193"/>
      <c r="H244" s="193"/>
      <c r="I244" s="193"/>
      <c r="K244" s="194"/>
    </row>
    <row r="245" spans="2:11">
      <c r="B245" s="194"/>
      <c r="C245" s="194"/>
      <c r="F245" s="193"/>
      <c r="G245" s="193"/>
      <c r="H245" s="193"/>
      <c r="I245" s="193"/>
      <c r="K245" s="194"/>
    </row>
    <row r="246" spans="2:11">
      <c r="B246" s="194"/>
      <c r="C246" s="194"/>
      <c r="F246" s="193"/>
      <c r="G246" s="193"/>
      <c r="H246" s="193"/>
      <c r="I246" s="193"/>
      <c r="K246" s="194"/>
    </row>
    <row r="247" spans="2:11">
      <c r="B247" s="194"/>
      <c r="C247" s="194"/>
      <c r="F247" s="193"/>
      <c r="G247" s="193"/>
      <c r="H247" s="193"/>
      <c r="I247" s="193"/>
      <c r="K247" s="194"/>
    </row>
    <row r="248" spans="2:11">
      <c r="B248" s="194"/>
      <c r="C248" s="194"/>
      <c r="F248" s="193"/>
      <c r="G248" s="193"/>
      <c r="H248" s="193"/>
      <c r="I248" s="193"/>
      <c r="K248" s="194"/>
    </row>
    <row r="249" spans="2:11">
      <c r="B249" s="194"/>
      <c r="C249" s="194"/>
      <c r="F249" s="193"/>
      <c r="G249" s="193"/>
      <c r="H249" s="193"/>
      <c r="I249" s="193"/>
      <c r="K249" s="194"/>
    </row>
    <row r="250" spans="2:11">
      <c r="B250" s="194"/>
      <c r="C250" s="194"/>
      <c r="F250" s="193"/>
      <c r="G250" s="193"/>
      <c r="H250" s="193"/>
      <c r="I250" s="193"/>
      <c r="K250" s="194"/>
    </row>
    <row r="251" spans="2:11">
      <c r="B251" s="194"/>
      <c r="C251" s="194"/>
      <c r="F251" s="193"/>
      <c r="G251" s="193"/>
      <c r="H251" s="193"/>
      <c r="I251" s="193"/>
      <c r="K251" s="194"/>
    </row>
    <row r="252" spans="2:11">
      <c r="B252" s="194"/>
      <c r="C252" s="194"/>
      <c r="F252" s="193"/>
      <c r="G252" s="193"/>
      <c r="H252" s="193"/>
      <c r="I252" s="193"/>
      <c r="K252" s="194"/>
    </row>
    <row r="253" spans="2:11">
      <c r="B253" s="194"/>
      <c r="C253" s="194"/>
      <c r="F253" s="193"/>
      <c r="G253" s="193"/>
      <c r="H253" s="193"/>
      <c r="I253" s="193"/>
      <c r="K253" s="194"/>
    </row>
    <row r="254" spans="2:11">
      <c r="B254" s="194"/>
      <c r="C254" s="194"/>
      <c r="F254" s="193"/>
      <c r="G254" s="193"/>
      <c r="H254" s="193"/>
      <c r="I254" s="193"/>
      <c r="K254" s="194"/>
    </row>
    <row r="255" spans="2:11">
      <c r="B255" s="194"/>
      <c r="C255" s="194"/>
      <c r="F255" s="193"/>
      <c r="G255" s="193"/>
      <c r="H255" s="193"/>
      <c r="I255" s="193"/>
      <c r="K255" s="194"/>
    </row>
    <row r="256" spans="2:11">
      <c r="B256" s="194"/>
      <c r="C256" s="194"/>
      <c r="F256" s="193"/>
      <c r="G256" s="193"/>
      <c r="H256" s="193"/>
      <c r="I256" s="193"/>
      <c r="K256" s="194"/>
    </row>
    <row r="257" spans="2:11">
      <c r="B257" s="194"/>
      <c r="C257" s="194"/>
      <c r="F257" s="193"/>
      <c r="G257" s="193"/>
      <c r="H257" s="193"/>
      <c r="I257" s="193"/>
      <c r="K257" s="194"/>
    </row>
    <row r="258" spans="2:11">
      <c r="B258" s="194"/>
      <c r="C258" s="194"/>
      <c r="F258" s="193"/>
      <c r="G258" s="193"/>
      <c r="H258" s="193"/>
      <c r="I258" s="193"/>
      <c r="K258" s="194"/>
    </row>
    <row r="259" spans="2:11">
      <c r="B259" s="194"/>
      <c r="C259" s="194"/>
      <c r="F259" s="193"/>
      <c r="G259" s="193"/>
      <c r="H259" s="193"/>
      <c r="I259" s="193"/>
      <c r="K259" s="194"/>
    </row>
    <row r="260" spans="2:11">
      <c r="B260" s="194"/>
      <c r="C260" s="194"/>
      <c r="F260" s="193"/>
      <c r="G260" s="193"/>
      <c r="H260" s="193"/>
      <c r="I260" s="193"/>
      <c r="K260" s="194"/>
    </row>
    <row r="261" spans="2:11">
      <c r="B261" s="194"/>
      <c r="C261" s="194"/>
      <c r="F261" s="193"/>
      <c r="G261" s="193"/>
      <c r="H261" s="193"/>
      <c r="I261" s="193"/>
      <c r="K261" s="194"/>
    </row>
    <row r="262" spans="2:11">
      <c r="B262" s="194"/>
      <c r="C262" s="194"/>
      <c r="F262" s="193"/>
      <c r="G262" s="193"/>
      <c r="H262" s="193"/>
      <c r="I262" s="193"/>
      <c r="K262" s="194"/>
    </row>
    <row r="263" spans="2:11">
      <c r="B263" s="194"/>
      <c r="C263" s="194"/>
      <c r="F263" s="193"/>
      <c r="G263" s="193"/>
      <c r="H263" s="193"/>
      <c r="I263" s="193"/>
      <c r="K263" s="194"/>
    </row>
    <row r="264" spans="2:11">
      <c r="B264" s="194"/>
      <c r="C264" s="194"/>
      <c r="F264" s="193"/>
      <c r="G264" s="193"/>
      <c r="H264" s="193"/>
      <c r="I264" s="193"/>
      <c r="K264" s="194"/>
    </row>
    <row r="265" spans="2:11">
      <c r="B265" s="194"/>
      <c r="C265" s="194"/>
      <c r="F265" s="193"/>
      <c r="G265" s="193"/>
      <c r="H265" s="193"/>
      <c r="I265" s="193"/>
      <c r="K265" s="194"/>
    </row>
    <row r="266" spans="2:11">
      <c r="B266" s="194"/>
      <c r="C266" s="194"/>
      <c r="F266" s="193"/>
      <c r="G266" s="193"/>
      <c r="H266" s="193"/>
      <c r="I266" s="193"/>
      <c r="K266" s="194"/>
    </row>
    <row r="267" spans="2:11">
      <c r="B267" s="194"/>
      <c r="C267" s="194"/>
      <c r="F267" s="193"/>
      <c r="G267" s="193"/>
      <c r="H267" s="193"/>
      <c r="I267" s="193"/>
      <c r="K267" s="194"/>
    </row>
    <row r="268" spans="2:11">
      <c r="B268" s="194"/>
      <c r="C268" s="194"/>
      <c r="F268" s="193"/>
      <c r="G268" s="193"/>
      <c r="H268" s="193"/>
      <c r="I268" s="193"/>
      <c r="K268" s="194"/>
    </row>
    <row r="269" spans="2:11">
      <c r="B269" s="194"/>
      <c r="C269" s="194"/>
      <c r="F269" s="193"/>
      <c r="G269" s="193"/>
      <c r="H269" s="193"/>
      <c r="I269" s="193"/>
      <c r="K269" s="194"/>
    </row>
    <row r="270" spans="2:11">
      <c r="B270" s="194"/>
      <c r="C270" s="194"/>
      <c r="F270" s="193"/>
      <c r="G270" s="193"/>
      <c r="H270" s="193"/>
      <c r="I270" s="193"/>
      <c r="K270" s="194"/>
    </row>
    <row r="271" spans="2:11">
      <c r="B271" s="194"/>
      <c r="C271" s="194"/>
      <c r="F271" s="193"/>
      <c r="G271" s="193"/>
      <c r="H271" s="193"/>
      <c r="I271" s="193"/>
      <c r="K271" s="194"/>
    </row>
    <row r="272" spans="2:11">
      <c r="B272" s="194"/>
      <c r="C272" s="194"/>
      <c r="F272" s="193"/>
      <c r="G272" s="193"/>
      <c r="H272" s="193"/>
      <c r="I272" s="193"/>
      <c r="K272" s="194"/>
    </row>
    <row r="273" spans="2:11">
      <c r="B273" s="194"/>
      <c r="C273" s="194"/>
      <c r="F273" s="193"/>
      <c r="G273" s="193"/>
      <c r="H273" s="193"/>
      <c r="I273" s="193"/>
      <c r="K273" s="194"/>
    </row>
    <row r="274" spans="2:11">
      <c r="B274" s="194"/>
      <c r="C274" s="194"/>
      <c r="F274" s="193"/>
      <c r="G274" s="193"/>
      <c r="H274" s="193"/>
      <c r="I274" s="193"/>
      <c r="K274" s="194"/>
    </row>
    <row r="275" spans="2:11">
      <c r="B275" s="194"/>
      <c r="C275" s="194"/>
      <c r="F275" s="193"/>
      <c r="G275" s="193"/>
      <c r="H275" s="193"/>
      <c r="I275" s="193"/>
      <c r="K275" s="194"/>
    </row>
    <row r="276" spans="2:11">
      <c r="B276" s="194"/>
      <c r="C276" s="194"/>
      <c r="F276" s="193"/>
      <c r="G276" s="193"/>
      <c r="H276" s="193"/>
      <c r="I276" s="193"/>
      <c r="K276" s="194"/>
    </row>
    <row r="277" spans="2:11">
      <c r="B277" s="194"/>
      <c r="C277" s="194"/>
      <c r="F277" s="193"/>
      <c r="G277" s="193"/>
      <c r="H277" s="193"/>
      <c r="I277" s="193"/>
      <c r="K277" s="194"/>
    </row>
    <row r="278" spans="2:11">
      <c r="B278" s="194"/>
      <c r="C278" s="194"/>
      <c r="F278" s="193"/>
      <c r="G278" s="193"/>
      <c r="H278" s="193"/>
      <c r="I278" s="193"/>
      <c r="K278" s="194"/>
    </row>
    <row r="279" spans="2:11">
      <c r="B279" s="194"/>
      <c r="F279" s="193"/>
      <c r="G279" s="193"/>
      <c r="H279" s="193"/>
      <c r="I279" s="193"/>
      <c r="K279" s="194"/>
    </row>
    <row r="280" spans="2:11">
      <c r="B280" s="194"/>
      <c r="C280" s="194"/>
      <c r="F280" s="193"/>
      <c r="G280" s="193"/>
      <c r="H280" s="193"/>
      <c r="I280" s="193"/>
      <c r="K280" s="194"/>
    </row>
    <row r="281" spans="2:11">
      <c r="B281" s="194"/>
      <c r="C281" s="194"/>
      <c r="F281" s="193"/>
      <c r="G281" s="193"/>
      <c r="H281" s="193"/>
      <c r="I281" s="193"/>
      <c r="K281" s="194"/>
    </row>
    <row r="282" spans="2:11">
      <c r="B282" s="194"/>
      <c r="C282" s="194"/>
      <c r="F282" s="193"/>
      <c r="G282" s="193"/>
      <c r="H282" s="193"/>
      <c r="I282" s="193"/>
      <c r="K282" s="194"/>
    </row>
    <row r="283" spans="2:11">
      <c r="B283" s="194"/>
      <c r="C283" s="194"/>
      <c r="F283" s="193"/>
      <c r="G283" s="193"/>
      <c r="H283" s="193"/>
      <c r="I283" s="193"/>
      <c r="K283" s="194"/>
    </row>
    <row r="284" spans="2:11">
      <c r="B284" s="194"/>
      <c r="C284" s="194"/>
      <c r="F284" s="193"/>
      <c r="G284" s="193"/>
      <c r="H284" s="193"/>
      <c r="I284" s="193"/>
      <c r="K284" s="194"/>
    </row>
    <row r="285" spans="2:11">
      <c r="B285" s="194"/>
      <c r="C285" s="194"/>
      <c r="F285" s="193"/>
      <c r="G285" s="193"/>
      <c r="H285" s="193"/>
      <c r="I285" s="193"/>
      <c r="K285" s="194"/>
    </row>
  </sheetData>
  <mergeCells count="1">
    <mergeCell ref="K10:M10"/>
  </mergeCells>
  <conditionalFormatting sqref="J1:J7">
    <cfRule type="expression" dxfId="3" priority="3">
      <formula>ABS(J1)&gt;0.01</formula>
    </cfRule>
  </conditionalFormatting>
  <conditionalFormatting sqref="G1:I1048576">
    <cfRule type="cellIs" dxfId="2" priority="2" operator="greaterThan">
      <formula>0.1</formula>
    </cfRule>
  </conditionalFormatting>
  <conditionalFormatting sqref="L1:L1048576">
    <cfRule type="cellIs" dxfId="1" priority="1" operator="greaterThanOrEqual">
      <formula>0.2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Import_VRS_btn">
                <anchor moveWithCells="1" sizeWithCells="1">
                  <from>
                    <xdr:col>14</xdr:col>
                    <xdr:colOff>104775</xdr:colOff>
                    <xdr:row>7</xdr:row>
                    <xdr:rowOff>66675</xdr:rowOff>
                  </from>
                  <to>
                    <xdr:col>16</xdr:col>
                    <xdr:colOff>47625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slip_VRS_pg">
                <anchor moveWithCells="1" sizeWithCells="1">
                  <from>
                    <xdr:col>14</xdr:col>
                    <xdr:colOff>85725</xdr:colOff>
                    <xdr:row>9</xdr:row>
                    <xdr:rowOff>123825</xdr:rowOff>
                  </from>
                  <to>
                    <xdr:col>16</xdr:col>
                    <xdr:colOff>28575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Q41"/>
  <sheetViews>
    <sheetView workbookViewId="0">
      <selection activeCell="L28" sqref="L28"/>
    </sheetView>
  </sheetViews>
  <sheetFormatPr defaultColWidth="9.140625" defaultRowHeight="12.75"/>
  <cols>
    <col min="1" max="1" width="3.5703125" style="6" customWidth="1"/>
    <col min="2" max="2" width="7.28515625" style="6" customWidth="1"/>
    <col min="3" max="3" width="10.42578125" style="6" customWidth="1"/>
    <col min="4" max="4" width="10.42578125" style="74" customWidth="1"/>
    <col min="5" max="5" width="7.28515625" style="6" customWidth="1"/>
    <col min="6" max="9" width="9.28515625" style="75" customWidth="1"/>
    <col min="10" max="10" width="9.28515625" style="6" customWidth="1"/>
    <col min="11" max="11" width="11.140625" style="6" customWidth="1"/>
    <col min="12" max="12" width="11.42578125" style="6" customWidth="1"/>
    <col min="13" max="13" width="11.140625" style="5" customWidth="1"/>
    <col min="14" max="14" width="14.5703125" style="6" customWidth="1"/>
    <col min="15" max="15" width="6.28515625" style="6" hidden="1" customWidth="1"/>
    <col min="16" max="16" width="6.7109375" style="6" customWidth="1"/>
    <col min="17" max="17" width="5.42578125" style="7" customWidth="1"/>
    <col min="18" max="16384" width="9.140625" style="6"/>
  </cols>
  <sheetData>
    <row r="1" spans="1:17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N1" s="2"/>
    </row>
    <row r="2" spans="1:17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</row>
    <row r="3" spans="1:17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N3" s="5"/>
    </row>
    <row r="4" spans="1:17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</row>
    <row r="5" spans="1:17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N5" s="5"/>
    </row>
    <row r="6" spans="1:17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</row>
    <row r="7" spans="1:17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</row>
    <row r="8" spans="1:17" s="25" customFormat="1" ht="15.6" customHeight="1">
      <c r="A8" s="204" t="s">
        <v>21</v>
      </c>
      <c r="B8" s="23"/>
      <c r="C8" s="24"/>
      <c r="E8" s="23" t="s">
        <v>2</v>
      </c>
      <c r="F8" s="26" t="s">
        <v>3</v>
      </c>
      <c r="G8" s="27"/>
      <c r="H8" s="28"/>
      <c r="I8" s="29"/>
      <c r="J8" s="30" t="s">
        <v>4</v>
      </c>
      <c r="K8" s="31" t="s">
        <v>5</v>
      </c>
      <c r="L8" s="32"/>
      <c r="M8" s="33"/>
      <c r="N8" s="34"/>
      <c r="P8" s="35"/>
      <c r="Q8" s="35"/>
    </row>
    <row r="9" spans="1:17" s="43" customFormat="1" ht="15.6" customHeight="1">
      <c r="A9" s="205"/>
      <c r="B9" s="36" t="s">
        <v>6</v>
      </c>
      <c r="C9" s="37" t="s">
        <v>1</v>
      </c>
      <c r="D9" s="38" t="s">
        <v>12</v>
      </c>
      <c r="E9" s="36" t="s">
        <v>6</v>
      </c>
      <c r="F9" s="39" t="s">
        <v>7</v>
      </c>
      <c r="G9" s="40" t="s">
        <v>8</v>
      </c>
      <c r="H9" s="39"/>
      <c r="I9" s="39" t="s">
        <v>9</v>
      </c>
      <c r="J9" s="41"/>
      <c r="K9" s="41"/>
      <c r="L9" s="41"/>
      <c r="M9" s="41"/>
      <c r="N9" s="207" t="s">
        <v>10</v>
      </c>
      <c r="O9" s="208"/>
      <c r="P9" s="208"/>
      <c r="Q9" s="42"/>
    </row>
    <row r="10" spans="1:17" s="43" customFormat="1" ht="15.6" customHeight="1">
      <c r="A10" s="206"/>
      <c r="B10" s="44" t="s">
        <v>11</v>
      </c>
      <c r="C10" s="45"/>
      <c r="D10" s="46"/>
      <c r="E10" s="44" t="s">
        <v>13</v>
      </c>
      <c r="F10" s="47"/>
      <c r="G10" s="40" t="s">
        <v>7</v>
      </c>
      <c r="H10" s="47" t="s">
        <v>14</v>
      </c>
      <c r="I10" s="47" t="s">
        <v>14</v>
      </c>
      <c r="J10" s="48" t="s">
        <v>15</v>
      </c>
      <c r="K10" s="44" t="s">
        <v>16</v>
      </c>
      <c r="L10" s="44" t="s">
        <v>17</v>
      </c>
      <c r="M10" s="44" t="s">
        <v>18</v>
      </c>
      <c r="N10" s="49"/>
      <c r="P10" s="50"/>
      <c r="Q10" s="50"/>
    </row>
    <row r="11" spans="1:17" ht="15.4" customHeight="1">
      <c r="A11" s="51"/>
      <c r="B11" s="51"/>
      <c r="C11" s="52"/>
      <c r="D11" s="53"/>
      <c r="E11" s="54"/>
      <c r="F11" s="55"/>
      <c r="G11" s="55"/>
      <c r="H11" s="55"/>
      <c r="I11" s="55"/>
      <c r="J11" s="55"/>
      <c r="K11" s="55"/>
      <c r="L11" s="56" t="s">
        <v>27</v>
      </c>
      <c r="M11" s="56">
        <v>100</v>
      </c>
      <c r="N11" s="57"/>
      <c r="O11" s="58"/>
      <c r="P11" s="59"/>
      <c r="Q11" s="59"/>
    </row>
    <row r="12" spans="1:17" ht="15.4" customHeight="1">
      <c r="A12" s="51">
        <v>23</v>
      </c>
      <c r="B12" s="60">
        <v>1</v>
      </c>
      <c r="C12" s="191" t="str">
        <f>L11</f>
        <v>SSM A</v>
      </c>
      <c r="D12" s="62" t="str">
        <f>L12</f>
        <v>SSM B</v>
      </c>
      <c r="E12" s="60">
        <f>B12</f>
        <v>1</v>
      </c>
      <c r="F12" s="55">
        <v>1</v>
      </c>
      <c r="G12" s="55">
        <v>-1</v>
      </c>
      <c r="H12" s="55">
        <f>(F12-G12)/2</f>
        <v>1</v>
      </c>
      <c r="I12" s="55">
        <f>((((A12-$L$7)*$I$7)+1)*$I$6)*H12</f>
        <v>0.99997999999999998</v>
      </c>
      <c r="J12" s="55">
        <f>(E12/E13)*J13</f>
        <v>3.3200000000022101E-3</v>
      </c>
      <c r="K12" s="55">
        <f>M11+I12</f>
        <v>100.99997999999999</v>
      </c>
      <c r="L12" s="55" t="s">
        <v>28</v>
      </c>
      <c r="M12" s="55">
        <f>K12+J12</f>
        <v>101.0033</v>
      </c>
      <c r="N12" s="57"/>
      <c r="O12" s="58"/>
      <c r="P12" s="59"/>
      <c r="Q12" s="59"/>
    </row>
    <row r="13" spans="1:17" ht="15.4" customHeight="1">
      <c r="A13" s="51">
        <v>23</v>
      </c>
      <c r="B13" s="60">
        <v>2</v>
      </c>
      <c r="C13" s="191" t="str">
        <f>L12</f>
        <v>SSM B</v>
      </c>
      <c r="D13" s="62" t="str">
        <f>L13</f>
        <v>SSM C</v>
      </c>
      <c r="E13" s="60">
        <f>E12+B13</f>
        <v>3</v>
      </c>
      <c r="F13" s="55">
        <v>-3</v>
      </c>
      <c r="G13" s="55">
        <v>3</v>
      </c>
      <c r="H13" s="55">
        <f>(F13-G13)/2</f>
        <v>-3</v>
      </c>
      <c r="I13" s="55">
        <f>((((A13-$L$7)*$I$7)+1)*$I$6)*H13</f>
        <v>-2.9999400000000001</v>
      </c>
      <c r="J13" s="55">
        <f>M13-K13</f>
        <v>9.9600000000066302E-3</v>
      </c>
      <c r="K13" s="55">
        <f>K12+I13</f>
        <v>98.000039999999998</v>
      </c>
      <c r="L13" s="151" t="s">
        <v>29</v>
      </c>
      <c r="M13" s="151">
        <v>98.01</v>
      </c>
      <c r="N13" s="63"/>
      <c r="O13" s="58"/>
      <c r="P13" s="64" t="s">
        <v>55</v>
      </c>
      <c r="Q13" s="59">
        <f>0.012*SQRT(E13)</f>
        <v>2.0784609690826527E-2</v>
      </c>
    </row>
    <row r="14" spans="1:17" ht="15.4" customHeight="1">
      <c r="A14" s="51"/>
      <c r="B14" s="60"/>
      <c r="C14" s="61"/>
      <c r="D14" s="62"/>
      <c r="E14" s="60"/>
      <c r="F14" s="55"/>
      <c r="G14" s="55"/>
      <c r="H14" s="55"/>
      <c r="I14" s="55"/>
      <c r="J14" s="55"/>
      <c r="K14" s="55"/>
      <c r="L14" s="55"/>
      <c r="M14" s="55"/>
      <c r="N14" s="57"/>
      <c r="O14" s="58"/>
      <c r="P14" s="59"/>
      <c r="Q14" s="59"/>
    </row>
    <row r="15" spans="1:17" ht="15.4" customHeight="1">
      <c r="A15" s="51"/>
      <c r="B15" s="51"/>
      <c r="C15" s="52"/>
      <c r="D15" s="53"/>
      <c r="E15" s="54"/>
      <c r="F15" s="55"/>
      <c r="G15" s="55"/>
      <c r="H15" s="55"/>
      <c r="I15" s="55"/>
      <c r="J15" s="55"/>
      <c r="K15" s="55"/>
      <c r="L15" s="55" t="s">
        <v>28</v>
      </c>
      <c r="M15" s="55">
        <f>M12</f>
        <v>101.0033</v>
      </c>
      <c r="N15" s="57" t="s">
        <v>57</v>
      </c>
      <c r="O15" s="58"/>
      <c r="P15" s="59"/>
      <c r="Q15" s="59"/>
    </row>
    <row r="16" spans="1:17" ht="15.4" customHeight="1">
      <c r="A16" s="51">
        <v>23</v>
      </c>
      <c r="B16" s="60">
        <v>1</v>
      </c>
      <c r="C16" s="191" t="str">
        <f>L15</f>
        <v>SSM B</v>
      </c>
      <c r="D16" s="62" t="str">
        <f>L16</f>
        <v>SSM D</v>
      </c>
      <c r="E16" s="60">
        <f>E15+B16</f>
        <v>1</v>
      </c>
      <c r="F16" s="55">
        <v>1</v>
      </c>
      <c r="G16" s="55">
        <v>-1</v>
      </c>
      <c r="H16" s="55">
        <f>(F16-G16)/2</f>
        <v>1</v>
      </c>
      <c r="I16" s="55">
        <f>((((A16-$L$7)*$I$7)+1)*$I$6)*H16</f>
        <v>0.99997999999999998</v>
      </c>
      <c r="J16" s="55"/>
      <c r="K16" s="55">
        <f>M15+I16</f>
        <v>102.00327999999999</v>
      </c>
      <c r="L16" s="55" t="s">
        <v>58</v>
      </c>
      <c r="M16" s="55"/>
      <c r="N16" s="57"/>
      <c r="O16" s="58"/>
      <c r="P16" s="59"/>
      <c r="Q16" s="59"/>
    </row>
    <row r="17" spans="1:17" ht="15.4" customHeight="1">
      <c r="A17" s="51"/>
      <c r="B17" s="60"/>
      <c r="C17" s="61"/>
      <c r="D17" s="62"/>
      <c r="E17" s="60"/>
      <c r="F17" s="55"/>
      <c r="G17" s="55"/>
      <c r="H17" s="55"/>
      <c r="I17" s="55"/>
      <c r="J17" s="55"/>
      <c r="K17" s="55"/>
      <c r="L17" s="56"/>
      <c r="M17" s="56"/>
      <c r="N17" s="63"/>
      <c r="O17" s="58"/>
      <c r="P17" s="64"/>
      <c r="Q17" s="59"/>
    </row>
    <row r="18" spans="1:17" ht="15.4" customHeight="1">
      <c r="A18" s="51"/>
      <c r="B18" s="51"/>
      <c r="C18" s="52"/>
      <c r="D18" s="53"/>
      <c r="E18" s="54"/>
      <c r="F18" s="55"/>
      <c r="G18" s="55"/>
      <c r="H18" s="55"/>
      <c r="I18" s="55"/>
      <c r="J18" s="55"/>
      <c r="K18" s="55"/>
      <c r="L18" s="56" t="s">
        <v>59</v>
      </c>
      <c r="M18" s="56">
        <v>100</v>
      </c>
      <c r="N18" s="156" t="s">
        <v>60</v>
      </c>
      <c r="O18" s="58"/>
      <c r="P18" s="59"/>
      <c r="Q18" s="59"/>
    </row>
    <row r="19" spans="1:17" ht="15.4" customHeight="1">
      <c r="A19" s="51">
        <v>23</v>
      </c>
      <c r="B19" s="60">
        <v>1</v>
      </c>
      <c r="C19" s="191" t="str">
        <f>L18</f>
        <v>SSM E</v>
      </c>
      <c r="D19" s="62" t="str">
        <f>L19</f>
        <v>SSM F</v>
      </c>
      <c r="E19" s="60">
        <f>B19</f>
        <v>1</v>
      </c>
      <c r="F19" s="55">
        <v>1</v>
      </c>
      <c r="G19" s="55">
        <v>-1</v>
      </c>
      <c r="H19" s="55">
        <f>(F19-G19)/2</f>
        <v>1</v>
      </c>
      <c r="I19" s="55">
        <f>((((A19-$L$7)*$I$7)+1)*$I$6)*H19</f>
        <v>0.99997999999999998</v>
      </c>
      <c r="J19" s="55"/>
      <c r="K19" s="55">
        <f>M18+I19</f>
        <v>100.99997999999999</v>
      </c>
      <c r="L19" s="55" t="s">
        <v>61</v>
      </c>
      <c r="M19" s="55"/>
      <c r="N19" s="57"/>
      <c r="O19" s="58"/>
      <c r="P19" s="59"/>
      <c r="Q19" s="59"/>
    </row>
    <row r="20" spans="1:1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5"/>
      <c r="L20" s="55"/>
      <c r="M20" s="55"/>
      <c r="N20" s="57"/>
      <c r="O20" s="58"/>
      <c r="P20" s="59"/>
      <c r="Q20" s="59"/>
    </row>
    <row r="21" spans="1:17" ht="15.4" customHeight="1">
      <c r="A21" s="51"/>
      <c r="B21" s="60"/>
      <c r="C21" s="61"/>
      <c r="D21" s="62"/>
      <c r="E21" s="60"/>
      <c r="F21" s="55"/>
      <c r="G21" s="55"/>
      <c r="H21" s="55"/>
      <c r="I21" s="55"/>
      <c r="J21" s="55"/>
      <c r="K21" s="55"/>
      <c r="L21" s="55"/>
      <c r="M21" s="55"/>
      <c r="N21" s="57"/>
      <c r="O21" s="58"/>
      <c r="P21" s="59"/>
      <c r="Q21" s="59"/>
    </row>
    <row r="22" spans="1:17" ht="15.4" customHeight="1">
      <c r="A22" s="51"/>
      <c r="B22" s="60"/>
      <c r="C22" s="61"/>
      <c r="D22" s="62"/>
      <c r="E22" s="60"/>
      <c r="F22" s="55"/>
      <c r="G22" s="55"/>
      <c r="H22" s="55"/>
      <c r="I22" s="55"/>
      <c r="J22" s="55"/>
      <c r="K22" s="55"/>
      <c r="L22" s="55"/>
      <c r="M22" s="55"/>
      <c r="N22" s="57"/>
      <c r="O22" s="58"/>
      <c r="P22" s="59"/>
      <c r="Q22" s="59"/>
    </row>
    <row r="23" spans="1:17" ht="15.4" customHeight="1">
      <c r="A23" s="51"/>
      <c r="B23" s="60"/>
      <c r="C23" s="61"/>
      <c r="D23" s="62"/>
      <c r="E23" s="60"/>
      <c r="F23" s="55"/>
      <c r="G23" s="55"/>
      <c r="H23" s="55"/>
      <c r="I23" s="55"/>
      <c r="J23" s="55"/>
      <c r="K23" s="55"/>
      <c r="L23" s="55"/>
      <c r="M23" s="55"/>
      <c r="N23" s="57"/>
      <c r="O23" s="58"/>
      <c r="P23" s="59"/>
      <c r="Q23" s="59"/>
    </row>
    <row r="24" spans="1:17" ht="15.4" customHeight="1">
      <c r="A24" s="51"/>
      <c r="B24" s="60"/>
      <c r="C24" s="61"/>
      <c r="D24" s="62"/>
      <c r="E24" s="60"/>
      <c r="F24" s="55"/>
      <c r="G24" s="55"/>
      <c r="H24" s="55"/>
      <c r="I24" s="55"/>
      <c r="J24" s="55"/>
      <c r="K24" s="55"/>
      <c r="L24" s="55"/>
      <c r="M24" s="55"/>
      <c r="N24" s="57"/>
      <c r="O24" s="58"/>
      <c r="P24" s="59"/>
      <c r="Q24" s="59"/>
    </row>
    <row r="25" spans="1:1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5"/>
      <c r="L25" s="55"/>
      <c r="M25" s="55"/>
      <c r="N25" s="57"/>
      <c r="O25" s="58"/>
      <c r="P25" s="59"/>
      <c r="Q25" s="59"/>
    </row>
    <row r="26" spans="1:1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5"/>
      <c r="L26" s="55"/>
      <c r="M26" s="55"/>
      <c r="N26" s="57"/>
      <c r="O26" s="58"/>
      <c r="P26" s="59"/>
      <c r="Q26" s="59"/>
    </row>
    <row r="27" spans="1:17" ht="15.4" customHeight="1">
      <c r="A27" s="51"/>
      <c r="B27" s="60"/>
      <c r="C27" s="61"/>
      <c r="D27" s="62"/>
      <c r="E27" s="60"/>
      <c r="F27" s="55"/>
      <c r="G27" s="55"/>
      <c r="H27" s="55"/>
      <c r="I27" s="55"/>
      <c r="J27" s="55"/>
      <c r="K27" s="55"/>
      <c r="L27" s="55"/>
      <c r="M27" s="55"/>
      <c r="N27" s="57"/>
      <c r="O27" s="58"/>
      <c r="P27" s="59"/>
      <c r="Q27" s="59"/>
    </row>
    <row r="28" spans="1:1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5"/>
      <c r="L28" s="55"/>
      <c r="M28" s="55"/>
      <c r="N28" s="57"/>
      <c r="O28" s="58"/>
      <c r="P28" s="59"/>
      <c r="Q28" s="59"/>
    </row>
    <row r="29" spans="1:1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5"/>
      <c r="L29" s="55"/>
      <c r="M29" s="55"/>
      <c r="N29" s="57"/>
      <c r="O29" s="58"/>
      <c r="P29" s="59"/>
      <c r="Q29" s="59"/>
    </row>
    <row r="30" spans="1:1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5"/>
      <c r="L30" s="55"/>
      <c r="M30" s="55"/>
      <c r="N30" s="57"/>
      <c r="O30" s="58"/>
      <c r="P30" s="59"/>
      <c r="Q30" s="59"/>
    </row>
    <row r="31" spans="1:1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5"/>
      <c r="L31" s="55"/>
      <c r="M31" s="55"/>
      <c r="N31" s="57"/>
      <c r="O31" s="58"/>
      <c r="P31" s="59"/>
      <c r="Q31" s="59"/>
    </row>
    <row r="32" spans="1:1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5"/>
      <c r="L32" s="55"/>
      <c r="M32" s="55"/>
      <c r="N32" s="57"/>
      <c r="O32" s="58"/>
      <c r="P32" s="59"/>
      <c r="Q32" s="59"/>
    </row>
    <row r="33" spans="1:17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5"/>
      <c r="L33" s="55"/>
      <c r="M33" s="55"/>
      <c r="N33" s="57"/>
      <c r="O33" s="58"/>
      <c r="P33" s="59"/>
      <c r="Q33" s="59"/>
    </row>
    <row r="34" spans="1:17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5"/>
      <c r="L34" s="55"/>
      <c r="M34" s="55"/>
      <c r="N34" s="57"/>
      <c r="O34" s="58"/>
      <c r="P34" s="59"/>
      <c r="Q34" s="59"/>
    </row>
    <row r="35" spans="1:17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5"/>
      <c r="L35" s="55"/>
      <c r="M35" s="55"/>
      <c r="N35" s="57"/>
      <c r="O35" s="58"/>
      <c r="P35" s="59"/>
      <c r="Q35" s="59"/>
    </row>
    <row r="36" spans="1:17" ht="15.4" customHeight="1">
      <c r="A36" s="65"/>
      <c r="B36" s="66"/>
      <c r="C36" s="67"/>
      <c r="D36" s="68"/>
      <c r="E36" s="66"/>
      <c r="F36" s="69"/>
      <c r="G36" s="69"/>
      <c r="H36" s="69"/>
      <c r="I36" s="69"/>
      <c r="J36" s="69"/>
      <c r="K36" s="69"/>
      <c r="L36" s="69"/>
      <c r="M36" s="69"/>
      <c r="N36" s="70"/>
      <c r="O36" s="71"/>
      <c r="P36" s="72"/>
      <c r="Q36" s="72"/>
    </row>
    <row r="37" spans="1:17" ht="15.4" customHeight="1">
      <c r="B37" s="73"/>
      <c r="C37" s="73"/>
      <c r="E37" s="73"/>
      <c r="J37" s="76"/>
      <c r="K37" s="76"/>
      <c r="L37" s="77"/>
      <c r="M37" s="78"/>
      <c r="N37" s="79"/>
    </row>
    <row r="38" spans="1:17" ht="15.4" customHeight="1">
      <c r="B38" s="73"/>
      <c r="C38" s="73"/>
      <c r="D38" s="80"/>
      <c r="E38" s="73"/>
      <c r="J38" s="76"/>
      <c r="K38" s="76"/>
      <c r="L38" s="81"/>
      <c r="M38" s="76"/>
      <c r="N38" s="79"/>
    </row>
    <row r="39" spans="1:17" ht="15.4" customHeight="1">
      <c r="B39" s="73"/>
      <c r="C39" s="73"/>
      <c r="D39" s="80"/>
      <c r="E39" s="73"/>
      <c r="F39" s="82"/>
      <c r="J39" s="76"/>
      <c r="K39" s="76"/>
      <c r="L39" s="77"/>
      <c r="M39" s="78"/>
      <c r="N39" s="83"/>
    </row>
    <row r="40" spans="1:17" ht="14.1" customHeight="1">
      <c r="A40" s="79"/>
      <c r="B40" s="84"/>
      <c r="C40" s="84"/>
      <c r="E40" s="85"/>
      <c r="F40" s="86"/>
      <c r="G40" s="86"/>
      <c r="H40" s="86"/>
      <c r="J40" s="87"/>
      <c r="K40" s="87"/>
      <c r="L40" s="87"/>
      <c r="M40" s="4"/>
      <c r="N40" s="79"/>
    </row>
    <row r="41" spans="1:17" ht="14.1" customHeight="1">
      <c r="A41" s="79"/>
      <c r="B41" s="84"/>
      <c r="C41" s="84"/>
      <c r="E41" s="85"/>
      <c r="F41" s="86"/>
      <c r="G41" s="86"/>
      <c r="H41" s="86"/>
      <c r="J41" s="87"/>
      <c r="K41" s="87"/>
      <c r="L41" s="87"/>
      <c r="M41" s="4"/>
      <c r="N41" s="79"/>
    </row>
  </sheetData>
  <mergeCells count="2">
    <mergeCell ref="A8:A10"/>
    <mergeCell ref="N9:P9"/>
  </mergeCells>
  <conditionalFormatting sqref="J13">
    <cfRule type="expression" dxfId="10" priority="1">
      <formula>ABS($J$13)&gt;$Q$13</formula>
    </cfRule>
  </conditionalFormatting>
  <printOptions horizontalCentered="1" verticalCentered="1"/>
  <pageMargins left="3.937007874015748E-2" right="3.937007874015748E-2" top="0.19685039370078741" bottom="0" header="0.19685039370078741" footer="0.23622047244094491"/>
  <pageSetup paperSize="9" orientation="landscape" r:id="rId1"/>
  <headerFooter alignWithMargins="0">
    <oddFooter>&amp;LFile &amp;F        Date &amp;D&amp;RPage 1 of 2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66F25-029C-4428-9677-A140CBE94D77}">
  <sheetPr codeName="Sheet4">
    <pageSetUpPr fitToPage="1"/>
  </sheetPr>
  <dimension ref="A1:AA40"/>
  <sheetViews>
    <sheetView workbookViewId="0">
      <selection activeCell="X33" sqref="X33"/>
    </sheetView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2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2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2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2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2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2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2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P7" s="7"/>
      <c r="Q7" s="7"/>
    </row>
    <row r="8" spans="1:2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2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2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  <c r="R10" s="171" t="s">
        <v>62</v>
      </c>
      <c r="S10" s="172" t="s">
        <v>63</v>
      </c>
      <c r="T10" s="171" t="s">
        <v>64</v>
      </c>
      <c r="U10" s="172" t="s">
        <v>65</v>
      </c>
      <c r="V10" s="172" t="s">
        <v>66</v>
      </c>
      <c r="W10" s="171" t="s">
        <v>67</v>
      </c>
      <c r="X10" s="171" t="s">
        <v>68</v>
      </c>
      <c r="Y10" s="209" t="s">
        <v>69</v>
      </c>
      <c r="Z10" s="209"/>
      <c r="AA10" s="209"/>
    </row>
    <row r="11" spans="1:27" ht="15.4" customHeight="1">
      <c r="A11" s="51"/>
      <c r="B11" s="60"/>
      <c r="C11" s="61"/>
      <c r="D11" s="141"/>
      <c r="E11" s="114"/>
      <c r="F11" s="55"/>
      <c r="G11" s="55"/>
      <c r="H11" s="142"/>
      <c r="I11" s="142"/>
      <c r="J11" s="143"/>
      <c r="K11" s="115"/>
      <c r="L11" s="55" t="s">
        <v>27</v>
      </c>
      <c r="M11" s="116"/>
      <c r="N11" s="117"/>
      <c r="S11" s="175"/>
      <c r="V11" s="175"/>
    </row>
    <row r="12" spans="1:27" ht="15.4" customHeight="1">
      <c r="A12" s="51"/>
      <c r="B12" s="60"/>
      <c r="C12" s="61" t="str">
        <f>L11</f>
        <v>SSM A</v>
      </c>
      <c r="D12" s="62" t="str">
        <f>L12</f>
        <v>RM 1</v>
      </c>
      <c r="E12" s="60"/>
      <c r="F12" s="55">
        <v>-0.123</v>
      </c>
      <c r="G12" s="55">
        <v>-0.125</v>
      </c>
      <c r="H12" s="55">
        <f>AVERAGE(F12,G12)</f>
        <v>-0.124</v>
      </c>
      <c r="I12" s="55"/>
      <c r="J12" s="55">
        <f>H12-K12</f>
        <v>1.0000000000000009E-3</v>
      </c>
      <c r="K12" s="56">
        <v>-0.125</v>
      </c>
      <c r="L12" s="55" t="s">
        <v>49</v>
      </c>
      <c r="M12" s="115"/>
      <c r="N12" s="57" t="s">
        <v>87</v>
      </c>
      <c r="R12" s="170">
        <v>4.8140000000000001</v>
      </c>
      <c r="T12" s="170">
        <v>4.819</v>
      </c>
      <c r="U12" s="129" t="s">
        <v>81</v>
      </c>
      <c r="V12" s="129"/>
      <c r="W12" s="170">
        <f>R12-T12</f>
        <v>-4.9999999999998934E-3</v>
      </c>
      <c r="Y12" s="211" cm="1">
        <f t="array" ref="Y12">Law_of_Cosine(T12,T13,_xlfn.SINGLE(hmsminus(U13,U12)))</f>
        <v>6.7589957979182111</v>
      </c>
      <c r="AA12" s="215" cm="1">
        <f t="array" ref="AA12">Law_of_Cosine(T12,T14,_xlfn.SINGLE(hmsminus(U14,U12)))</f>
        <v>9.6109996134580644</v>
      </c>
    </row>
    <row r="13" spans="1:27" ht="15.4" customHeight="1">
      <c r="A13" s="51"/>
      <c r="B13" s="144"/>
      <c r="C13" s="61"/>
      <c r="D13" s="62" t="str">
        <f>L13</f>
        <v>RM 2</v>
      </c>
      <c r="E13" s="60"/>
      <c r="F13" s="55">
        <v>-0.23400000000000001</v>
      </c>
      <c r="G13" s="55">
        <v>-0.23599999999999999</v>
      </c>
      <c r="H13" s="55">
        <f>AVERAGE(F13,G13)</f>
        <v>-0.23499999999999999</v>
      </c>
      <c r="I13" s="55"/>
      <c r="J13" s="55">
        <f>H13-K13</f>
        <v>2.0000000000000018E-3</v>
      </c>
      <c r="K13" s="56">
        <v>-0.23699999999999999</v>
      </c>
      <c r="L13" s="55" t="s">
        <v>50</v>
      </c>
      <c r="M13" s="115"/>
      <c r="N13" s="57"/>
      <c r="R13" s="170">
        <v>4.742</v>
      </c>
      <c r="T13" s="170">
        <v>4.7380000000000004</v>
      </c>
      <c r="U13" s="129" t="s">
        <v>82</v>
      </c>
      <c r="V13" s="129"/>
      <c r="W13" s="170">
        <f>R13-T13</f>
        <v>3.9999999999995595E-3</v>
      </c>
      <c r="Y13" s="214"/>
      <c r="Z13" s="218" cm="1">
        <f t="array" ref="Z13">Law_of_Cosine(T13,T14,_xlfn.SINGLE(hmsminus(U14,U13)))</f>
        <v>6.7398157942301298</v>
      </c>
      <c r="AA13" s="216"/>
    </row>
    <row r="14" spans="1:27" ht="15.4" customHeight="1">
      <c r="A14" s="51"/>
      <c r="B14" s="144"/>
      <c r="C14" s="61"/>
      <c r="D14" s="62" t="str">
        <f>L14</f>
        <v>RM 3</v>
      </c>
      <c r="E14" s="60"/>
      <c r="F14" s="119">
        <v>-0.34499999999999997</v>
      </c>
      <c r="G14" s="55">
        <v>-0.34300000000000003</v>
      </c>
      <c r="H14" s="55">
        <f>AVERAGE(F14,G14)</f>
        <v>-0.34399999999999997</v>
      </c>
      <c r="I14" s="55"/>
      <c r="J14" s="55">
        <f>H14-K14</f>
        <v>3.0000000000000027E-3</v>
      </c>
      <c r="K14" s="56">
        <v>-0.34699999999999998</v>
      </c>
      <c r="L14" s="55" t="s">
        <v>51</v>
      </c>
      <c r="M14" s="116"/>
      <c r="N14" s="145"/>
      <c r="R14" s="170">
        <v>4.7930000000000001</v>
      </c>
      <c r="T14" s="170">
        <v>4.7919999999999998</v>
      </c>
      <c r="U14" s="129" t="s">
        <v>83</v>
      </c>
      <c r="V14" s="129"/>
      <c r="W14" s="170">
        <f>R14-T14</f>
        <v>1.000000000000334E-3</v>
      </c>
      <c r="Z14" s="219"/>
      <c r="AA14" s="217"/>
    </row>
    <row r="15" spans="1:27" ht="15.4" customHeight="1">
      <c r="A15" s="51"/>
      <c r="B15" s="144"/>
      <c r="C15" s="146"/>
      <c r="D15" s="62"/>
      <c r="E15" s="60"/>
      <c r="F15" s="55"/>
      <c r="G15" s="55"/>
      <c r="H15" s="55"/>
      <c r="I15" s="147"/>
      <c r="J15" s="143"/>
      <c r="K15" s="148"/>
      <c r="L15" s="54"/>
      <c r="M15" s="115"/>
      <c r="N15" s="117"/>
      <c r="S15" s="175"/>
      <c r="V15" s="175"/>
    </row>
    <row r="16" spans="1:27" ht="15.4" customHeight="1">
      <c r="A16" s="51"/>
      <c r="B16" s="144"/>
      <c r="C16" s="61"/>
      <c r="D16" s="141"/>
      <c r="E16" s="60"/>
      <c r="F16" s="55"/>
      <c r="G16" s="55"/>
      <c r="H16" s="55"/>
      <c r="I16" s="142"/>
      <c r="J16" s="143"/>
      <c r="K16" s="115"/>
      <c r="L16" s="55" t="s">
        <v>28</v>
      </c>
      <c r="M16" s="115"/>
      <c r="N16" s="117" t="s">
        <v>84</v>
      </c>
      <c r="R16" s="174" t="s">
        <v>75</v>
      </c>
      <c r="S16" s="176" t="s">
        <v>74</v>
      </c>
      <c r="T16" s="170"/>
      <c r="V16" s="175" t="s">
        <v>70</v>
      </c>
      <c r="W16" s="170"/>
      <c r="X16" s="170"/>
      <c r="Y16" s="130"/>
    </row>
    <row r="17" spans="1:27" ht="15.4" customHeight="1">
      <c r="A17" s="51"/>
      <c r="B17" s="144"/>
      <c r="C17" s="61" t="str">
        <f>L16</f>
        <v>SSM B</v>
      </c>
      <c r="D17" s="62" t="str">
        <f>L17</f>
        <v>RM 1</v>
      </c>
      <c r="E17" s="60"/>
      <c r="F17" s="55">
        <v>-0.123</v>
      </c>
      <c r="G17" s="55">
        <v>-0.125</v>
      </c>
      <c r="H17" s="55">
        <f>AVERAGE(F17,G17)</f>
        <v>-0.124</v>
      </c>
      <c r="I17" s="55"/>
      <c r="J17" s="55"/>
      <c r="K17" s="56"/>
      <c r="L17" s="55" t="s">
        <v>49</v>
      </c>
      <c r="M17" s="115"/>
      <c r="N17" s="57" t="s">
        <v>85</v>
      </c>
      <c r="R17" s="170">
        <v>2.6259999999999999</v>
      </c>
      <c r="S17" s="175" t="str" cm="1">
        <f t="array" ref="S17">hmsplus(_xlfn.SINGLE(hmsminus(V17,V16)),S16)</f>
        <v>54 34 51.48</v>
      </c>
      <c r="T17" s="170"/>
      <c r="V17" s="175" t="s">
        <v>71</v>
      </c>
      <c r="W17" s="170"/>
      <c r="X17" s="170"/>
      <c r="Y17" s="211" cm="1">
        <f t="array" ref="Y17">Law_of_Cosine(R17,R18,_xlfn.SINGLE(hmsminus(S18,S17)))</f>
        <v>4.9219863715012799</v>
      </c>
      <c r="Z17" s="6"/>
      <c r="AA17" s="211" cm="1">
        <f t="array" ref="AA17">Law_of_Cosine(R17,R19,_xlfn.SINGLE(hmsminus(S19,S17)))</f>
        <v>4.3871347749211695</v>
      </c>
    </row>
    <row r="18" spans="1:27" ht="15.4" customHeight="1">
      <c r="A18" s="51"/>
      <c r="B18" s="144"/>
      <c r="C18" s="61"/>
      <c r="D18" s="62" t="str">
        <f>L18</f>
        <v>RM 2</v>
      </c>
      <c r="E18" s="60"/>
      <c r="F18" s="55">
        <v>-0.23400000000000001</v>
      </c>
      <c r="G18" s="55">
        <v>-0.23599999999999999</v>
      </c>
      <c r="H18" s="55">
        <f>AVERAGE(F18,G18)</f>
        <v>-0.23499999999999999</v>
      </c>
      <c r="I18" s="55"/>
      <c r="J18" s="55"/>
      <c r="K18" s="56"/>
      <c r="L18" s="55" t="s">
        <v>50</v>
      </c>
      <c r="M18" s="116"/>
      <c r="N18" s="57" t="s">
        <v>86</v>
      </c>
      <c r="R18" s="170">
        <v>3.7280000000000002</v>
      </c>
      <c r="S18" s="175" t="str" cm="1">
        <f t="array" ref="S18">hmsplus(_xlfn.SINGLE(hmsminus(V18,V17)),S17)</f>
        <v>154 40 35.48</v>
      </c>
      <c r="T18" s="170"/>
      <c r="V18" s="175" t="s">
        <v>72</v>
      </c>
      <c r="W18" s="170"/>
      <c r="X18" s="170"/>
      <c r="Y18" s="212"/>
      <c r="Z18" s="211" cm="1">
        <f t="array" ref="Z18">Law_of_Cosine(R18,R19,_xlfn.SINGLE(hmsminus(S19,S18)))</f>
        <v>6.7741522811244721</v>
      </c>
      <c r="AA18" s="213"/>
    </row>
    <row r="19" spans="1:27" ht="15.4" customHeight="1">
      <c r="A19" s="149"/>
      <c r="B19" s="144"/>
      <c r="C19" s="61"/>
      <c r="D19" s="62" t="str">
        <f>L19</f>
        <v>RM 3</v>
      </c>
      <c r="E19" s="60"/>
      <c r="F19" s="119">
        <v>-0.34499999999999997</v>
      </c>
      <c r="G19" s="55">
        <v>-0.34300000000000003</v>
      </c>
      <c r="H19" s="55">
        <f>AVERAGE(F19,G19)</f>
        <v>-0.34399999999999997</v>
      </c>
      <c r="I19" s="55"/>
      <c r="J19" s="55"/>
      <c r="K19" s="56"/>
      <c r="L19" s="55" t="s">
        <v>51</v>
      </c>
      <c r="M19" s="115"/>
      <c r="N19" s="57" t="s">
        <v>86</v>
      </c>
      <c r="R19" s="170">
        <v>3.1379999999999999</v>
      </c>
      <c r="S19" s="175" t="str" cm="1">
        <f t="array" ref="S19">hmsplus(_xlfn.SINGLE(hmsminus(V19,V18)),S18)</f>
        <v>315 50 30.48</v>
      </c>
      <c r="T19" s="170"/>
      <c r="V19" s="175" t="s">
        <v>73</v>
      </c>
      <c r="W19" s="170"/>
      <c r="X19" s="170"/>
      <c r="Y19" s="6"/>
      <c r="Z19" s="212"/>
      <c r="AA19" s="212"/>
    </row>
    <row r="20" spans="1:27" ht="15.4" customHeight="1">
      <c r="A20" s="51"/>
      <c r="B20" s="60"/>
      <c r="C20" s="61"/>
      <c r="D20" s="62"/>
      <c r="E20" s="60"/>
      <c r="F20" s="55"/>
      <c r="G20" s="55"/>
      <c r="H20" s="55"/>
      <c r="I20" s="55"/>
      <c r="J20" s="55"/>
      <c r="K20" s="56"/>
      <c r="L20" s="55"/>
      <c r="M20" s="115"/>
      <c r="N20" s="57"/>
      <c r="S20" s="175"/>
      <c r="V20" s="175"/>
    </row>
    <row r="21" spans="1:27" ht="15.4" customHeight="1">
      <c r="A21" s="51"/>
      <c r="B21" s="60"/>
      <c r="C21" s="61"/>
      <c r="D21" s="141"/>
      <c r="E21" s="114"/>
      <c r="F21" s="55"/>
      <c r="G21" s="55"/>
      <c r="H21" s="142"/>
      <c r="I21" s="142"/>
      <c r="J21" s="143"/>
      <c r="K21" s="115"/>
      <c r="L21" s="55" t="s">
        <v>29</v>
      </c>
      <c r="M21" s="115"/>
      <c r="N21" s="57"/>
      <c r="S21" s="175"/>
      <c r="V21" s="175"/>
    </row>
    <row r="22" spans="1:27" ht="15.4" customHeight="1">
      <c r="A22" s="51"/>
      <c r="B22" s="60"/>
      <c r="C22" s="61" t="str">
        <f>L21</f>
        <v>SSM C</v>
      </c>
      <c r="D22" s="62" t="str">
        <f>L22</f>
        <v>RM 1</v>
      </c>
      <c r="E22" s="60"/>
      <c r="F22" s="55">
        <v>-0.123</v>
      </c>
      <c r="G22" s="55">
        <v>-0.125</v>
      </c>
      <c r="H22" s="55">
        <f>AVERAGE(F22,G22)</f>
        <v>-0.124</v>
      </c>
      <c r="I22" s="55"/>
      <c r="J22" s="55">
        <f>H22-K22</f>
        <v>1.0000000000000009E-3</v>
      </c>
      <c r="K22" s="56">
        <v>-0.125</v>
      </c>
      <c r="L22" s="55" t="s">
        <v>49</v>
      </c>
      <c r="M22" s="115"/>
      <c r="N22" s="57"/>
      <c r="R22" s="170">
        <v>4.1360000000000001</v>
      </c>
      <c r="S22" s="177" t="str" cm="1">
        <f t="array" ref="S22">hmsplus(U22,"0 3 28.81")</f>
        <v>192 24 29.81</v>
      </c>
      <c r="T22" s="170">
        <v>4.1379999999999999</v>
      </c>
      <c r="U22" s="177" t="s">
        <v>76</v>
      </c>
      <c r="V22" s="129" t="s">
        <v>70</v>
      </c>
      <c r="W22" s="170">
        <f>R22-T22</f>
        <v>-1.9999999999997797E-3</v>
      </c>
      <c r="X22" s="130">
        <f>TAN(RADIANS(dd(S22)-dd(U22))*R22)</f>
        <v>4.1870604231532991E-3</v>
      </c>
      <c r="Y22" s="211" cm="1">
        <f t="array" ref="Y22">Law_of_Cosine(T22,T23,_xlfn.SINGLE(hmsminus(U23,U22)))</f>
        <v>6.0777607575550254</v>
      </c>
      <c r="AA22" s="215" cm="1">
        <f t="array" ref="AA22">Law_of_Cosine(T22,R24,_xlfn.SINGLE(hmsminus(S24,U22)))</f>
        <v>6.8326818938939216</v>
      </c>
    </row>
    <row r="23" spans="1:27" ht="15.4" customHeight="1">
      <c r="A23" s="51"/>
      <c r="B23" s="60"/>
      <c r="C23" s="61"/>
      <c r="D23" s="62" t="str">
        <f>L23</f>
        <v>RM 2</v>
      </c>
      <c r="E23" s="60"/>
      <c r="F23" s="55">
        <v>-0.254</v>
      </c>
      <c r="G23" s="55">
        <v>-0.25600000000000001</v>
      </c>
      <c r="H23" s="55">
        <f>AVERAGE(F23,G23)</f>
        <v>-0.255</v>
      </c>
      <c r="I23" s="55"/>
      <c r="J23" s="139">
        <f>H23-K23</f>
        <v>-1.8000000000000016E-2</v>
      </c>
      <c r="K23" s="138">
        <v>-0.23699999999999999</v>
      </c>
      <c r="L23" s="55" t="s">
        <v>50</v>
      </c>
      <c r="M23" s="115"/>
      <c r="N23" s="57" t="s">
        <v>52</v>
      </c>
      <c r="R23" s="118">
        <v>3.9079999999999999</v>
      </c>
      <c r="S23" s="177" t="str" cm="1">
        <f t="array" ref="S23">hmsplus(S22,V23)</f>
        <v>94 12 58.81</v>
      </c>
      <c r="T23" s="170">
        <v>3.9079999999999999</v>
      </c>
      <c r="U23" s="177" t="s">
        <v>77</v>
      </c>
      <c r="V23" s="129" t="s">
        <v>78</v>
      </c>
      <c r="W23" s="170">
        <f>R23-T23</f>
        <v>0</v>
      </c>
      <c r="X23" s="130">
        <f>TAN(RADIANS(dd(S23)-dd(U23))*R23)</f>
        <v>-3.9560537334369823E-3</v>
      </c>
      <c r="Y23" s="214"/>
      <c r="Z23" s="218" cm="1">
        <f t="array" ref="Z23">Law_of_Cosine(T23,R24,_xlfn.SINGLE(hmsminus(S24,U23)))</f>
        <v>7.4671220003561753</v>
      </c>
      <c r="AA23" s="216"/>
    </row>
    <row r="24" spans="1:27" ht="15.4" customHeight="1">
      <c r="A24" s="51"/>
      <c r="B24" s="60"/>
      <c r="C24" s="61"/>
      <c r="D24" s="62" t="str">
        <f>L24</f>
        <v>RM 3 4</v>
      </c>
      <c r="E24" s="60"/>
      <c r="F24" s="119">
        <v>-0.38500000000000001</v>
      </c>
      <c r="G24" s="55">
        <v>-0.38300000000000001</v>
      </c>
      <c r="H24" s="55">
        <f>AVERAGE(F24,G24)</f>
        <v>-0.38400000000000001</v>
      </c>
      <c r="I24" s="55"/>
      <c r="J24" s="139">
        <f>H24-K24</f>
        <v>-3.7000000000000033E-2</v>
      </c>
      <c r="K24" s="138">
        <v>-0.34699999999999998</v>
      </c>
      <c r="L24" s="55" t="s">
        <v>53</v>
      </c>
      <c r="M24" s="115"/>
      <c r="N24" s="57" t="s">
        <v>54</v>
      </c>
      <c r="R24" s="170">
        <v>3.907</v>
      </c>
      <c r="S24" s="129" t="str" cm="1">
        <f t="array" ref="S24">hmsplus(S22,V24)</f>
        <v>308 35 37.81</v>
      </c>
      <c r="T24" s="178">
        <v>3.8570000000000002</v>
      </c>
      <c r="U24" s="179" t="s">
        <v>80</v>
      </c>
      <c r="V24" s="129" t="s">
        <v>79</v>
      </c>
      <c r="W24" s="178">
        <f>R24-T24</f>
        <v>4.9999999999999822E-2</v>
      </c>
      <c r="X24" s="180">
        <f>TAN(RADIANS(dd(S24)-dd(U24))*R24)</f>
        <v>1.1324004054147968E-2</v>
      </c>
      <c r="Z24" s="219"/>
      <c r="AA24" s="217"/>
    </row>
    <row r="25" spans="1:27" ht="15.4" customHeight="1">
      <c r="A25" s="51"/>
      <c r="B25" s="60"/>
      <c r="C25" s="61"/>
      <c r="D25" s="62"/>
      <c r="E25" s="60"/>
      <c r="F25" s="55"/>
      <c r="G25" s="55"/>
      <c r="H25" s="55"/>
      <c r="I25" s="55"/>
      <c r="J25" s="55"/>
      <c r="K25" s="56"/>
      <c r="L25" s="55"/>
      <c r="M25" s="115"/>
      <c r="N25" s="57"/>
      <c r="S25" s="175"/>
      <c r="V25" s="175"/>
    </row>
    <row r="26" spans="1:27" ht="15.4" customHeight="1">
      <c r="A26" s="51"/>
      <c r="B26" s="60"/>
      <c r="C26" s="61"/>
      <c r="D26" s="62"/>
      <c r="E26" s="60"/>
      <c r="F26" s="55"/>
      <c r="G26" s="55"/>
      <c r="H26" s="55"/>
      <c r="I26" s="55"/>
      <c r="J26" s="55"/>
      <c r="K26" s="56"/>
      <c r="L26" s="55"/>
      <c r="M26" s="115"/>
      <c r="N26" s="57"/>
      <c r="S26" s="175"/>
      <c r="V26" s="175"/>
    </row>
    <row r="27" spans="1:27" ht="15.4" customHeight="1">
      <c r="A27" s="51"/>
      <c r="B27" s="60"/>
      <c r="C27" s="60"/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57"/>
      <c r="S27" s="175"/>
      <c r="V27" s="175"/>
    </row>
    <row r="28" spans="1:27" ht="15.4" customHeight="1">
      <c r="A28" s="51"/>
      <c r="B28" s="60"/>
      <c r="C28" s="61"/>
      <c r="D28" s="62"/>
      <c r="E28" s="60"/>
      <c r="F28" s="55"/>
      <c r="G28" s="55"/>
      <c r="H28" s="55"/>
      <c r="I28" s="55"/>
      <c r="J28" s="55"/>
      <c r="K28" s="56"/>
      <c r="L28" s="55"/>
      <c r="M28" s="115"/>
      <c r="N28" s="57"/>
      <c r="S28" s="175"/>
      <c r="V28" s="175"/>
    </row>
    <row r="29" spans="1:27" ht="15.4" customHeight="1">
      <c r="A29" s="51"/>
      <c r="B29" s="60"/>
      <c r="C29" s="61"/>
      <c r="D29" s="62"/>
      <c r="E29" s="60"/>
      <c r="F29" s="55"/>
      <c r="G29" s="55"/>
      <c r="H29" s="55"/>
      <c r="I29" s="55"/>
      <c r="J29" s="55"/>
      <c r="K29" s="56"/>
      <c r="L29" s="55"/>
      <c r="M29" s="115"/>
      <c r="N29" s="57"/>
      <c r="S29" s="175"/>
      <c r="V29" s="175"/>
    </row>
    <row r="30" spans="1:27" ht="15.4" customHeight="1">
      <c r="A30" s="51"/>
      <c r="B30" s="60"/>
      <c r="C30" s="61"/>
      <c r="D30" s="62"/>
      <c r="E30" s="60"/>
      <c r="F30" s="55"/>
      <c r="G30" s="55"/>
      <c r="H30" s="55"/>
      <c r="I30" s="55"/>
      <c r="J30" s="55"/>
      <c r="K30" s="56"/>
      <c r="L30" s="55"/>
      <c r="M30" s="115"/>
      <c r="N30" s="57"/>
      <c r="S30" s="175"/>
      <c r="V30" s="175"/>
    </row>
    <row r="31" spans="1:27" ht="15.4" customHeight="1">
      <c r="A31" s="51"/>
      <c r="B31" s="60"/>
      <c r="C31" s="61"/>
      <c r="D31" s="62"/>
      <c r="E31" s="60"/>
      <c r="F31" s="55"/>
      <c r="G31" s="55"/>
      <c r="H31" s="55"/>
      <c r="I31" s="55"/>
      <c r="J31" s="55"/>
      <c r="K31" s="56"/>
      <c r="L31" s="55"/>
      <c r="M31" s="115"/>
      <c r="N31" s="57"/>
      <c r="S31" s="175"/>
      <c r="V31" s="175"/>
    </row>
    <row r="32" spans="1:27" ht="15.4" customHeight="1">
      <c r="A32" s="51"/>
      <c r="B32" s="60"/>
      <c r="C32" s="61"/>
      <c r="D32" s="62"/>
      <c r="E32" s="60"/>
      <c r="F32" s="55"/>
      <c r="G32" s="55"/>
      <c r="H32" s="55"/>
      <c r="I32" s="55"/>
      <c r="J32" s="55"/>
      <c r="K32" s="56"/>
      <c r="L32" s="55"/>
      <c r="M32" s="115"/>
      <c r="N32" s="57"/>
      <c r="S32" s="175"/>
      <c r="V32" s="175"/>
    </row>
    <row r="33" spans="1:22" ht="15.4" customHeight="1">
      <c r="A33" s="51"/>
      <c r="B33" s="60"/>
      <c r="C33" s="61"/>
      <c r="D33" s="62"/>
      <c r="E33" s="60"/>
      <c r="F33" s="55"/>
      <c r="G33" s="55"/>
      <c r="H33" s="55"/>
      <c r="I33" s="55"/>
      <c r="J33" s="55"/>
      <c r="K33" s="56"/>
      <c r="L33" s="55"/>
      <c r="M33" s="115"/>
      <c r="N33" s="57"/>
      <c r="S33" s="175"/>
      <c r="V33" s="175"/>
    </row>
    <row r="34" spans="1:22" ht="15.4" customHeight="1">
      <c r="A34" s="51"/>
      <c r="B34" s="60"/>
      <c r="C34" s="61"/>
      <c r="D34" s="62"/>
      <c r="E34" s="60"/>
      <c r="F34" s="55"/>
      <c r="G34" s="55"/>
      <c r="H34" s="55"/>
      <c r="I34" s="55"/>
      <c r="J34" s="55"/>
      <c r="K34" s="56"/>
      <c r="L34" s="55"/>
      <c r="M34" s="115"/>
      <c r="N34" s="57"/>
      <c r="S34" s="175"/>
      <c r="V34" s="175"/>
    </row>
    <row r="35" spans="1:22" ht="15.4" customHeight="1">
      <c r="A35" s="51"/>
      <c r="B35" s="60"/>
      <c r="C35" s="61"/>
      <c r="D35" s="62"/>
      <c r="E35" s="60"/>
      <c r="F35" s="55"/>
      <c r="G35" s="55"/>
      <c r="H35" s="55"/>
      <c r="I35" s="55"/>
      <c r="J35" s="55"/>
      <c r="K35" s="56"/>
      <c r="L35" s="55"/>
      <c r="M35" s="115"/>
      <c r="N35" s="57"/>
      <c r="S35" s="175"/>
      <c r="V35" s="175"/>
    </row>
    <row r="36" spans="1:22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124"/>
      <c r="N36" s="70"/>
      <c r="S36" s="175"/>
      <c r="V36" s="175"/>
    </row>
    <row r="40" spans="1:22">
      <c r="C40" s="140"/>
    </row>
  </sheetData>
  <mergeCells count="10">
    <mergeCell ref="Y10:AA10"/>
    <mergeCell ref="Y17:Y18"/>
    <mergeCell ref="AA17:AA19"/>
    <mergeCell ref="Z18:Z19"/>
    <mergeCell ref="Y22:Y23"/>
    <mergeCell ref="AA22:AA24"/>
    <mergeCell ref="Z23:Z24"/>
    <mergeCell ref="Y12:Y13"/>
    <mergeCell ref="Z13:Z14"/>
    <mergeCell ref="AA12:AA14"/>
  </mergeCells>
  <conditionalFormatting sqref="G24:G26 G28:G36">
    <cfRule type="expression" dxfId="9" priority="7">
      <formula>IF(G24&lt;&gt;"",ABS(F24-G24)&gt;0.002,FALSE)</formula>
    </cfRule>
  </conditionalFormatting>
  <conditionalFormatting sqref="G11:G23">
    <cfRule type="expression" dxfId="8" priority="6">
      <formula>IF(G11&lt;&gt;"",ABS(F11-G11)&gt;0.002,FALSE)</formula>
    </cfRule>
  </conditionalFormatting>
  <conditionalFormatting sqref="W10:Y10">
    <cfRule type="expression" dxfId="7" priority="4">
      <formula>ABS(W10)&gt;0.01</formula>
    </cfRule>
  </conditionalFormatting>
  <conditionalFormatting sqref="Y16 W16:X19">
    <cfRule type="expression" dxfId="6" priority="3">
      <formula>ABS(W16)&gt;0.01</formula>
    </cfRule>
  </conditionalFormatting>
  <conditionalFormatting sqref="W22:X24">
    <cfRule type="expression" dxfId="5" priority="2">
      <formula>ABS(W22)&gt;0.01</formula>
    </cfRule>
  </conditionalFormatting>
  <conditionalFormatting sqref="W12:W14">
    <cfRule type="expression" dxfId="4" priority="1">
      <formula>ABS(W12)&gt;0.01</formula>
    </cfRule>
  </conditionalFormatting>
  <printOptions horizontalCentered="1" verticalCentered="1"/>
  <pageMargins left="3.937007874015748E-2" right="3.937007874015748E-2" top="0.19685039370078741" bottom="0.19685039370078741" header="0.19685039370078741" footer="0.19685039370078741"/>
  <pageSetup paperSize="9" scale="93" orientation="landscape" r:id="rId1"/>
  <headerFooter alignWithMargins="0">
    <oddFooter>&amp;LFile &amp;F        Date &amp;D&amp;RPage 2 of 2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Q80"/>
  <sheetViews>
    <sheetView workbookViewId="0"/>
  </sheetViews>
  <sheetFormatPr defaultColWidth="9.140625" defaultRowHeight="12.75"/>
  <cols>
    <col min="1" max="1" width="3.5703125" style="6" customWidth="1"/>
    <col min="2" max="2" width="7.28515625" style="126" customWidth="1"/>
    <col min="3" max="3" width="10.42578125" style="126" customWidth="1"/>
    <col min="4" max="4" width="10.42578125" style="127" customWidth="1"/>
    <col min="5" max="5" width="7.28515625" style="126" customWidth="1"/>
    <col min="6" max="6" width="9.28515625" style="125" customWidth="1"/>
    <col min="7" max="10" width="9.28515625" style="126" customWidth="1"/>
    <col min="11" max="11" width="11.140625" style="118" customWidth="1"/>
    <col min="12" max="12" width="11.42578125" style="118" customWidth="1"/>
    <col min="13" max="13" width="11.140625" style="128" customWidth="1"/>
    <col min="14" max="14" width="26.140625" style="118" customWidth="1"/>
    <col min="15" max="15" width="6.28515625" style="118" hidden="1" customWidth="1"/>
    <col min="16" max="16" width="0" style="118" hidden="1" customWidth="1"/>
    <col min="17" max="17" width="10" style="118" customWidth="1"/>
    <col min="18" max="16384" width="9.140625" style="118"/>
  </cols>
  <sheetData>
    <row r="1" spans="1:17" s="6" customFormat="1">
      <c r="A1" s="1"/>
      <c r="B1" s="2"/>
      <c r="C1" s="2"/>
      <c r="D1" s="3"/>
      <c r="E1" s="2"/>
      <c r="F1" s="4"/>
      <c r="G1" s="2"/>
      <c r="H1" s="2"/>
      <c r="I1" s="5"/>
      <c r="J1" s="2"/>
      <c r="K1" s="2"/>
      <c r="L1" s="2"/>
      <c r="M1" s="5"/>
      <c r="N1" s="2"/>
      <c r="Q1" s="7"/>
    </row>
    <row r="2" spans="1:17" s="6" customFormat="1">
      <c r="A2" s="8" t="s">
        <v>30</v>
      </c>
      <c r="B2" s="8"/>
      <c r="C2" s="8"/>
      <c r="D2" s="9"/>
      <c r="E2" s="5"/>
      <c r="F2" s="10" t="s">
        <v>0</v>
      </c>
      <c r="G2" s="8"/>
      <c r="H2" s="5"/>
      <c r="I2" s="5"/>
      <c r="J2" s="5"/>
      <c r="K2" s="8"/>
      <c r="M2" s="8" t="s">
        <v>31</v>
      </c>
      <c r="N2" s="8"/>
      <c r="O2" s="5"/>
      <c r="Q2" s="7"/>
    </row>
    <row r="3" spans="1:17" s="6" customFormat="1">
      <c r="A3" s="8"/>
      <c r="B3" s="8"/>
      <c r="C3" s="8"/>
      <c r="D3" s="9"/>
      <c r="E3" s="5"/>
      <c r="F3" s="11"/>
      <c r="G3" s="5"/>
      <c r="H3" s="5"/>
      <c r="I3" s="5"/>
      <c r="J3" s="5"/>
      <c r="K3" s="5"/>
      <c r="L3" s="5"/>
      <c r="M3" s="5"/>
      <c r="N3" s="5"/>
      <c r="Q3" s="7"/>
    </row>
    <row r="4" spans="1:17" s="6" customFormat="1">
      <c r="A4" s="8" t="s">
        <v>32</v>
      </c>
      <c r="B4" s="5"/>
      <c r="C4" s="5"/>
      <c r="D4" s="12"/>
      <c r="E4" s="5"/>
      <c r="F4" s="10" t="s">
        <v>33</v>
      </c>
      <c r="G4" s="5"/>
      <c r="H4" s="5"/>
      <c r="I4" s="5"/>
      <c r="J4" s="5"/>
      <c r="K4" s="8"/>
      <c r="M4" s="8" t="s">
        <v>34</v>
      </c>
      <c r="N4" s="8"/>
      <c r="O4" s="5"/>
      <c r="Q4" s="7"/>
    </row>
    <row r="5" spans="1:17" s="6" customFormat="1">
      <c r="A5" s="5"/>
      <c r="B5" s="5"/>
      <c r="C5" s="5"/>
      <c r="D5" s="12"/>
      <c r="E5" s="5"/>
      <c r="F5" s="11"/>
      <c r="G5" s="5"/>
      <c r="H5" s="5"/>
      <c r="I5" s="5"/>
      <c r="J5" s="5"/>
      <c r="K5" s="5"/>
      <c r="L5" s="5"/>
      <c r="M5" s="5"/>
      <c r="N5" s="5"/>
      <c r="Q5" s="7"/>
    </row>
    <row r="6" spans="1:17" s="6" customFormat="1">
      <c r="A6" s="8" t="s">
        <v>35</v>
      </c>
      <c r="B6" s="5"/>
      <c r="C6" s="5"/>
      <c r="D6" s="12"/>
      <c r="E6" s="5"/>
      <c r="F6" s="10" t="s">
        <v>36</v>
      </c>
      <c r="G6" s="8"/>
      <c r="H6" s="13" t="s">
        <v>19</v>
      </c>
      <c r="I6" s="14">
        <v>1</v>
      </c>
      <c r="K6" s="15" t="s">
        <v>37</v>
      </c>
      <c r="L6" s="8"/>
      <c r="M6" s="8" t="s">
        <v>38</v>
      </c>
      <c r="N6" s="8"/>
      <c r="O6" s="5"/>
      <c r="Q6" s="7"/>
    </row>
    <row r="7" spans="1:17" s="6" customFormat="1" ht="12.75" customHeight="1">
      <c r="A7" s="16"/>
      <c r="B7" s="16"/>
      <c r="C7" s="16"/>
      <c r="D7" s="17"/>
      <c r="E7" s="16"/>
      <c r="F7" s="18"/>
      <c r="G7" s="18"/>
      <c r="H7" s="19" t="s">
        <v>20</v>
      </c>
      <c r="I7" s="20">
        <v>1.0000000000000001E-5</v>
      </c>
      <c r="J7" s="16"/>
      <c r="K7" s="21" t="s">
        <v>56</v>
      </c>
      <c r="L7" s="22">
        <v>25</v>
      </c>
      <c r="M7" s="16"/>
      <c r="N7" s="16"/>
      <c r="Q7" s="7"/>
    </row>
    <row r="8" spans="1:17" s="100" customFormat="1" ht="15.6" customHeight="1">
      <c r="A8" s="88" t="s">
        <v>22</v>
      </c>
      <c r="B8" s="89"/>
      <c r="C8" s="90"/>
      <c r="D8" s="91"/>
      <c r="E8" s="92" t="s">
        <v>2</v>
      </c>
      <c r="F8" s="93" t="s">
        <v>3</v>
      </c>
      <c r="G8" s="94"/>
      <c r="H8" s="95"/>
      <c r="I8" s="96"/>
      <c r="J8" s="97"/>
      <c r="K8" s="94" t="s">
        <v>5</v>
      </c>
      <c r="L8" s="98"/>
      <c r="M8" s="98"/>
      <c r="N8" s="99"/>
    </row>
    <row r="9" spans="1:17" s="107" customFormat="1" ht="15.6" customHeight="1">
      <c r="A9" s="101" t="s">
        <v>22</v>
      </c>
      <c r="B9" s="36" t="s">
        <v>6</v>
      </c>
      <c r="C9" s="102" t="s">
        <v>1</v>
      </c>
      <c r="D9" s="103" t="s">
        <v>23</v>
      </c>
      <c r="E9" s="36" t="s">
        <v>6</v>
      </c>
      <c r="F9" s="104" t="s">
        <v>7</v>
      </c>
      <c r="G9" s="105" t="s">
        <v>8</v>
      </c>
      <c r="H9" s="41"/>
      <c r="I9" s="41" t="s">
        <v>9</v>
      </c>
      <c r="J9" s="41" t="s">
        <v>24</v>
      </c>
      <c r="K9" s="106"/>
      <c r="L9" s="106"/>
      <c r="M9" s="106"/>
      <c r="N9" s="37" t="s">
        <v>10</v>
      </c>
    </row>
    <row r="10" spans="1:17" s="107" customFormat="1" ht="15.6" customHeight="1">
      <c r="A10" s="108" t="s">
        <v>22</v>
      </c>
      <c r="B10" s="36" t="s">
        <v>11</v>
      </c>
      <c r="C10" s="109"/>
      <c r="D10" s="110"/>
      <c r="E10" s="111" t="s">
        <v>13</v>
      </c>
      <c r="F10" s="112"/>
      <c r="G10" s="41" t="s">
        <v>7</v>
      </c>
      <c r="H10" s="36" t="s">
        <v>14</v>
      </c>
      <c r="I10" s="111" t="s">
        <v>14</v>
      </c>
      <c r="J10" s="36" t="s">
        <v>25</v>
      </c>
      <c r="K10" s="108" t="s">
        <v>26</v>
      </c>
      <c r="L10" s="36" t="s">
        <v>17</v>
      </c>
      <c r="M10" s="36" t="s">
        <v>18</v>
      </c>
      <c r="N10" s="113"/>
    </row>
    <row r="11" spans="1:17" ht="15.4" customHeight="1">
      <c r="A11" s="135"/>
      <c r="B11" s="60"/>
      <c r="C11" s="61"/>
      <c r="D11" s="62"/>
      <c r="E11" s="114"/>
      <c r="F11" s="55"/>
      <c r="G11" s="55"/>
      <c r="H11" s="55"/>
      <c r="I11" s="55"/>
      <c r="J11" s="55"/>
      <c r="K11" s="55">
        <f>M14-F14</f>
        <v>132.11500000000001</v>
      </c>
      <c r="L11" s="55"/>
      <c r="M11" s="116"/>
      <c r="N11" s="117"/>
    </row>
    <row r="12" spans="1:17" ht="15.4" customHeight="1">
      <c r="A12" s="135"/>
      <c r="B12" s="60"/>
      <c r="C12" s="61"/>
      <c r="D12" s="62"/>
      <c r="E12" s="114"/>
      <c r="F12" s="55"/>
      <c r="G12" s="55"/>
      <c r="H12" s="55"/>
      <c r="I12" s="55"/>
      <c r="J12" s="55"/>
      <c r="K12" s="55">
        <f>M15-F15</f>
        <v>132.113</v>
      </c>
      <c r="L12" s="55"/>
      <c r="M12" s="116"/>
      <c r="N12" s="117"/>
    </row>
    <row r="13" spans="1:17" ht="15.4" customHeight="1">
      <c r="A13" s="135"/>
      <c r="B13" s="60"/>
      <c r="C13" s="61"/>
      <c r="D13" s="62"/>
      <c r="E13" s="114"/>
      <c r="F13" s="55"/>
      <c r="G13" s="55"/>
      <c r="H13" s="55"/>
      <c r="I13" s="55"/>
      <c r="J13" s="55"/>
      <c r="K13" s="55">
        <f>M16-F16</f>
        <v>132.11100000000002</v>
      </c>
      <c r="L13" s="55" t="s">
        <v>47</v>
      </c>
      <c r="M13" s="55">
        <f>AVERAGE(K11:K13)</f>
        <v>132.11300000000003</v>
      </c>
      <c r="N13" s="57" t="s">
        <v>48</v>
      </c>
    </row>
    <row r="14" spans="1:17" ht="15.4" customHeight="1">
      <c r="A14" s="135"/>
      <c r="B14" s="60"/>
      <c r="C14" s="61" t="str">
        <f>L13</f>
        <v>SSM 1A</v>
      </c>
      <c r="D14" s="62" t="str">
        <f>L14</f>
        <v>RM 5</v>
      </c>
      <c r="E14" s="114"/>
      <c r="F14" s="55">
        <v>0.22</v>
      </c>
      <c r="G14" s="55"/>
      <c r="H14" s="55"/>
      <c r="I14" s="55"/>
      <c r="J14" s="139">
        <f>F14-K14</f>
        <v>0.624</v>
      </c>
      <c r="K14" s="138">
        <v>-0.40400000000000003</v>
      </c>
      <c r="L14" s="56" t="s">
        <v>45</v>
      </c>
      <c r="M14" s="56">
        <f>$M$18+K14</f>
        <v>132.33500000000001</v>
      </c>
      <c r="N14" s="57" t="s">
        <v>41</v>
      </c>
    </row>
    <row r="15" spans="1:17" ht="15.4" customHeight="1">
      <c r="A15" s="135"/>
      <c r="B15" s="60"/>
      <c r="C15" s="61"/>
      <c r="D15" s="62" t="str">
        <f>L15</f>
        <v>RM 6</v>
      </c>
      <c r="E15" s="114"/>
      <c r="F15" s="55">
        <v>0.22800000000000001</v>
      </c>
      <c r="G15" s="55"/>
      <c r="H15" s="55"/>
      <c r="I15" s="55"/>
      <c r="J15" s="139">
        <f>F15-K15</f>
        <v>0.626</v>
      </c>
      <c r="K15" s="138">
        <v>-0.39800000000000002</v>
      </c>
      <c r="L15" s="56" t="s">
        <v>44</v>
      </c>
      <c r="M15" s="56">
        <f>$M$18+K15</f>
        <v>132.34100000000001</v>
      </c>
      <c r="N15" s="57" t="s">
        <v>41</v>
      </c>
      <c r="O15" s="126"/>
      <c r="P15" s="126"/>
      <c r="Q15" s="126"/>
    </row>
    <row r="16" spans="1:17" ht="15.4" customHeight="1">
      <c r="A16" s="135"/>
      <c r="B16" s="60"/>
      <c r="C16" s="61"/>
      <c r="D16" s="62" t="str">
        <f>L16</f>
        <v>RM 7</v>
      </c>
      <c r="E16" s="114"/>
      <c r="F16" s="55">
        <v>0.16400000000000001</v>
      </c>
      <c r="G16" s="55"/>
      <c r="H16" s="55"/>
      <c r="I16" s="55"/>
      <c r="J16" s="139">
        <f>F16-K16</f>
        <v>0.628</v>
      </c>
      <c r="K16" s="138">
        <v>-0.46400000000000002</v>
      </c>
      <c r="L16" s="56" t="s">
        <v>43</v>
      </c>
      <c r="M16" s="56">
        <f>$M$18+K16</f>
        <v>132.27500000000001</v>
      </c>
      <c r="N16" s="57" t="s">
        <v>42</v>
      </c>
      <c r="O16" s="126"/>
      <c r="P16" s="126"/>
      <c r="Q16" s="126"/>
    </row>
    <row r="17" spans="1:17" ht="15.4" customHeight="1">
      <c r="A17" s="135"/>
      <c r="B17" s="60"/>
      <c r="C17" s="61"/>
      <c r="D17" s="62"/>
      <c r="E17" s="114"/>
      <c r="F17" s="55"/>
      <c r="G17" s="55"/>
      <c r="H17" s="55"/>
      <c r="I17" s="55"/>
      <c r="J17" s="55"/>
      <c r="K17" s="56"/>
      <c r="L17" s="55"/>
      <c r="M17" s="115"/>
      <c r="N17" s="134"/>
      <c r="O17" s="126"/>
      <c r="P17" s="126"/>
      <c r="Q17" s="126"/>
    </row>
    <row r="18" spans="1:17" ht="15.4" customHeight="1">
      <c r="A18" s="135"/>
      <c r="B18" s="51"/>
      <c r="C18" s="52"/>
      <c r="D18" s="53"/>
      <c r="E18" s="54"/>
      <c r="F18" s="55"/>
      <c r="G18" s="137"/>
      <c r="H18" s="55"/>
      <c r="I18" s="55"/>
      <c r="J18" s="55"/>
      <c r="K18" s="55"/>
      <c r="L18" s="56" t="s">
        <v>46</v>
      </c>
      <c r="M18" s="56">
        <v>132.739</v>
      </c>
      <c r="N18" s="57" t="s">
        <v>41</v>
      </c>
      <c r="O18" s="6"/>
      <c r="P18" s="6"/>
      <c r="Q18" s="136"/>
    </row>
    <row r="19" spans="1:17" ht="15.4" customHeight="1">
      <c r="A19" s="135"/>
      <c r="B19" s="60">
        <v>0.01</v>
      </c>
      <c r="C19" s="61" t="str">
        <f>L18</f>
        <v>SSM 1</v>
      </c>
      <c r="D19" s="62" t="str">
        <f>L19</f>
        <v>SSM 1A</v>
      </c>
      <c r="E19" s="60"/>
      <c r="F19" s="55">
        <f>K19-M18</f>
        <v>-0.62599999999997635</v>
      </c>
      <c r="G19" s="55" t="s">
        <v>40</v>
      </c>
      <c r="H19" s="55">
        <f>AVERAGE(F19,G19)</f>
        <v>-0.62599999999997635</v>
      </c>
      <c r="I19" s="55"/>
      <c r="J19" s="55">
        <f>H19-K19</f>
        <v>-132.739</v>
      </c>
      <c r="K19" s="55">
        <f>M13</f>
        <v>132.11300000000003</v>
      </c>
      <c r="L19" s="55" t="s">
        <v>47</v>
      </c>
      <c r="M19" s="55"/>
      <c r="N19" s="57" t="s">
        <v>39</v>
      </c>
      <c r="O19" s="6"/>
      <c r="P19" s="6"/>
      <c r="Q19" s="136"/>
    </row>
    <row r="20" spans="1:17" ht="15.4" customHeight="1">
      <c r="A20" s="135"/>
      <c r="B20" s="60"/>
      <c r="C20" s="61"/>
      <c r="D20" s="62"/>
      <c r="E20" s="114"/>
      <c r="F20" s="55"/>
      <c r="G20" s="55"/>
      <c r="H20" s="55"/>
      <c r="I20" s="55"/>
      <c r="J20" s="55"/>
      <c r="K20" s="55"/>
      <c r="L20" s="55"/>
      <c r="M20" s="115"/>
      <c r="N20" s="134"/>
      <c r="O20" s="126"/>
      <c r="P20" s="126"/>
      <c r="Q20" s="126"/>
    </row>
    <row r="21" spans="1:17" ht="15.4" customHeight="1">
      <c r="A21" s="135"/>
      <c r="B21" s="60"/>
      <c r="C21" s="61"/>
      <c r="D21" s="62"/>
      <c r="E21" s="114"/>
      <c r="F21" s="55"/>
      <c r="G21" s="55"/>
      <c r="H21" s="55"/>
      <c r="I21" s="55"/>
      <c r="J21" s="55"/>
      <c r="K21" s="115"/>
      <c r="L21" s="55"/>
      <c r="M21" s="115"/>
      <c r="N21" s="134"/>
      <c r="O21" s="126"/>
      <c r="P21" s="126"/>
      <c r="Q21" s="126"/>
    </row>
    <row r="22" spans="1:17" ht="15.4" customHeight="1">
      <c r="A22" s="135"/>
      <c r="B22" s="60"/>
      <c r="C22" s="61"/>
      <c r="D22" s="62"/>
      <c r="E22" s="114"/>
      <c r="F22" s="55"/>
      <c r="G22" s="55"/>
      <c r="H22" s="55"/>
      <c r="I22" s="55"/>
      <c r="J22" s="55"/>
      <c r="K22" s="56"/>
      <c r="L22" s="55"/>
      <c r="M22" s="115"/>
      <c r="N22" s="134"/>
      <c r="O22" s="126"/>
      <c r="P22" s="126"/>
      <c r="Q22" s="126"/>
    </row>
    <row r="23" spans="1:17" ht="15.4" customHeight="1">
      <c r="A23" s="135"/>
      <c r="B23" s="60"/>
      <c r="C23" s="61"/>
      <c r="D23" s="62"/>
      <c r="E23" s="114"/>
      <c r="F23" s="55"/>
      <c r="G23" s="55"/>
      <c r="H23" s="55"/>
      <c r="I23" s="55"/>
      <c r="J23" s="55"/>
      <c r="K23" s="56"/>
      <c r="L23" s="55"/>
      <c r="M23" s="115"/>
      <c r="N23" s="134"/>
      <c r="O23" s="126"/>
      <c r="P23" s="126"/>
      <c r="Q23" s="126"/>
    </row>
    <row r="24" spans="1:17" ht="15.4" customHeight="1">
      <c r="A24" s="135"/>
      <c r="B24" s="60"/>
      <c r="C24" s="61"/>
      <c r="D24" s="62"/>
      <c r="E24" s="114"/>
      <c r="F24" s="55"/>
      <c r="G24" s="55"/>
      <c r="H24" s="55"/>
      <c r="I24" s="55"/>
      <c r="J24" s="55"/>
      <c r="K24" s="56"/>
      <c r="L24" s="55"/>
      <c r="M24" s="115"/>
      <c r="N24" s="134"/>
      <c r="O24" s="126"/>
      <c r="P24" s="126"/>
      <c r="Q24" s="126"/>
    </row>
    <row r="25" spans="1:17" ht="15.4" customHeight="1">
      <c r="A25" s="135"/>
      <c r="B25" s="60"/>
      <c r="C25" s="61"/>
      <c r="D25" s="62"/>
      <c r="E25" s="114"/>
      <c r="F25" s="55"/>
      <c r="G25" s="55"/>
      <c r="H25" s="55"/>
      <c r="I25" s="55"/>
      <c r="J25" s="55"/>
      <c r="K25" s="56"/>
      <c r="L25" s="55"/>
      <c r="M25" s="115"/>
      <c r="N25" s="134"/>
      <c r="O25" s="126"/>
      <c r="P25" s="126"/>
      <c r="Q25" s="126"/>
    </row>
    <row r="26" spans="1:17" ht="15.4" customHeight="1">
      <c r="A26" s="135"/>
      <c r="B26" s="60"/>
      <c r="C26" s="61"/>
      <c r="D26" s="62"/>
      <c r="E26" s="114"/>
      <c r="F26" s="55"/>
      <c r="G26" s="55"/>
      <c r="H26" s="55"/>
      <c r="I26" s="55"/>
      <c r="J26" s="55"/>
      <c r="K26" s="56"/>
      <c r="L26" s="55"/>
      <c r="M26" s="115"/>
      <c r="N26" s="134"/>
      <c r="O26" s="126"/>
      <c r="P26" s="126"/>
      <c r="Q26" s="126"/>
    </row>
    <row r="27" spans="1:17" ht="15.4" customHeight="1">
      <c r="A27" s="135"/>
      <c r="B27" s="60"/>
      <c r="C27" s="61"/>
      <c r="D27" s="62"/>
      <c r="E27" s="114"/>
      <c r="F27" s="55"/>
      <c r="G27" s="55"/>
      <c r="H27" s="55"/>
      <c r="I27" s="55"/>
      <c r="J27" s="55"/>
      <c r="K27" s="56"/>
      <c r="L27" s="55"/>
      <c r="M27" s="115"/>
      <c r="N27" s="134"/>
      <c r="O27" s="126"/>
      <c r="P27" s="126"/>
      <c r="Q27" s="126"/>
    </row>
    <row r="28" spans="1:17" ht="15.4" customHeight="1">
      <c r="A28" s="135"/>
      <c r="B28" s="60"/>
      <c r="C28" s="61"/>
      <c r="D28" s="62"/>
      <c r="E28" s="114"/>
      <c r="F28" s="55"/>
      <c r="G28" s="55"/>
      <c r="H28" s="55"/>
      <c r="I28" s="55"/>
      <c r="J28" s="55"/>
      <c r="K28" s="56"/>
      <c r="L28" s="55"/>
      <c r="M28" s="115"/>
      <c r="N28" s="134"/>
      <c r="O28" s="126"/>
      <c r="P28" s="126"/>
      <c r="Q28" s="126"/>
    </row>
    <row r="29" spans="1:17" ht="15.4" customHeight="1">
      <c r="A29" s="135"/>
      <c r="B29" s="60"/>
      <c r="C29" s="61"/>
      <c r="D29" s="62"/>
      <c r="E29" s="114"/>
      <c r="F29" s="55"/>
      <c r="G29" s="55"/>
      <c r="H29" s="55"/>
      <c r="I29" s="55"/>
      <c r="J29" s="55"/>
      <c r="K29" s="56"/>
      <c r="L29" s="55"/>
      <c r="M29" s="115"/>
      <c r="N29" s="134"/>
      <c r="O29" s="126"/>
      <c r="P29" s="126"/>
      <c r="Q29" s="126"/>
    </row>
    <row r="30" spans="1:17" ht="15.4" customHeight="1">
      <c r="A30" s="135"/>
      <c r="B30" s="60"/>
      <c r="C30" s="61"/>
      <c r="D30" s="62"/>
      <c r="E30" s="114"/>
      <c r="F30" s="55"/>
      <c r="G30" s="55"/>
      <c r="H30" s="55"/>
      <c r="I30" s="55"/>
      <c r="J30" s="55"/>
      <c r="K30" s="56"/>
      <c r="L30" s="55"/>
      <c r="M30" s="115"/>
      <c r="N30" s="134"/>
      <c r="O30" s="126"/>
      <c r="P30" s="126"/>
      <c r="Q30" s="126"/>
    </row>
    <row r="31" spans="1:17" ht="15.4" customHeight="1">
      <c r="A31" s="135"/>
      <c r="B31" s="60"/>
      <c r="C31" s="61"/>
      <c r="D31" s="62"/>
      <c r="E31" s="114"/>
      <c r="F31" s="55"/>
      <c r="G31" s="55"/>
      <c r="H31" s="55"/>
      <c r="I31" s="55"/>
      <c r="J31" s="55"/>
      <c r="K31" s="56"/>
      <c r="L31" s="55"/>
      <c r="M31" s="115"/>
      <c r="N31" s="134"/>
      <c r="O31" s="126"/>
      <c r="P31" s="126"/>
      <c r="Q31" s="126"/>
    </row>
    <row r="32" spans="1:17" ht="15.4" customHeight="1">
      <c r="A32" s="135"/>
      <c r="B32" s="60"/>
      <c r="C32" s="61"/>
      <c r="D32" s="62"/>
      <c r="E32" s="114"/>
      <c r="F32" s="55"/>
      <c r="G32" s="55"/>
      <c r="H32" s="55"/>
      <c r="I32" s="55"/>
      <c r="J32" s="55"/>
      <c r="K32" s="56"/>
      <c r="L32" s="55"/>
      <c r="M32" s="115"/>
      <c r="N32" s="134"/>
      <c r="O32" s="126"/>
      <c r="P32" s="126"/>
      <c r="Q32" s="126"/>
    </row>
    <row r="33" spans="1:17" ht="15.4" customHeight="1">
      <c r="A33" s="135"/>
      <c r="B33" s="60"/>
      <c r="C33" s="61"/>
      <c r="D33" s="62"/>
      <c r="E33" s="114"/>
      <c r="F33" s="55"/>
      <c r="G33" s="55"/>
      <c r="H33" s="55"/>
      <c r="I33" s="55"/>
      <c r="J33" s="55"/>
      <c r="K33" s="56"/>
      <c r="L33" s="55"/>
      <c r="M33" s="115"/>
      <c r="N33" s="134"/>
      <c r="O33" s="126"/>
      <c r="P33" s="126"/>
      <c r="Q33" s="126"/>
    </row>
    <row r="34" spans="1:17" ht="15.4" customHeight="1">
      <c r="A34" s="135"/>
      <c r="B34" s="60"/>
      <c r="C34" s="61"/>
      <c r="D34" s="62"/>
      <c r="E34" s="114"/>
      <c r="F34" s="55"/>
      <c r="G34" s="55"/>
      <c r="H34" s="55"/>
      <c r="I34" s="55"/>
      <c r="J34" s="55"/>
      <c r="K34" s="56"/>
      <c r="L34" s="55"/>
      <c r="M34" s="115"/>
      <c r="N34" s="134"/>
      <c r="O34" s="126"/>
      <c r="P34" s="126"/>
      <c r="Q34" s="126"/>
    </row>
    <row r="35" spans="1:17" ht="15.4" customHeight="1">
      <c r="A35" s="135"/>
      <c r="B35" s="60"/>
      <c r="C35" s="61"/>
      <c r="D35" s="62"/>
      <c r="E35" s="114"/>
      <c r="F35" s="55"/>
      <c r="G35" s="55"/>
      <c r="H35" s="55"/>
      <c r="I35" s="55"/>
      <c r="J35" s="55"/>
      <c r="K35" s="56"/>
      <c r="L35" s="55"/>
      <c r="M35" s="115"/>
      <c r="N35" s="134"/>
      <c r="O35" s="126"/>
      <c r="P35" s="126"/>
      <c r="Q35" s="126"/>
    </row>
    <row r="36" spans="1:17" ht="15.4" customHeight="1">
      <c r="A36" s="65"/>
      <c r="B36" s="120"/>
      <c r="C36" s="121"/>
      <c r="D36" s="122"/>
      <c r="E36" s="120"/>
      <c r="F36" s="69"/>
      <c r="G36" s="69"/>
      <c r="H36" s="69"/>
      <c r="I36" s="69"/>
      <c r="J36" s="69"/>
      <c r="K36" s="123"/>
      <c r="L36" s="69"/>
      <c r="M36" s="69"/>
      <c r="N36" s="133"/>
      <c r="O36" s="126"/>
      <c r="P36" s="126"/>
      <c r="Q36" s="126"/>
    </row>
    <row r="37" spans="1:17" ht="15.4" customHeight="1">
      <c r="B37" s="131"/>
      <c r="C37" s="131"/>
      <c r="D37" s="129"/>
      <c r="E37" s="132"/>
      <c r="G37" s="125"/>
      <c r="H37" s="125"/>
      <c r="I37" s="125"/>
      <c r="J37" s="125"/>
      <c r="K37" s="130"/>
      <c r="L37" s="130"/>
      <c r="M37" s="130"/>
    </row>
    <row r="38" spans="1:17" ht="15.4" customHeight="1">
      <c r="B38" s="131"/>
      <c r="C38" s="131"/>
      <c r="D38" s="129"/>
      <c r="E38" s="132"/>
      <c r="G38" s="125"/>
      <c r="H38" s="125"/>
      <c r="I38" s="125"/>
      <c r="J38" s="125"/>
      <c r="K38" s="130"/>
      <c r="L38" s="130"/>
      <c r="M38" s="130"/>
    </row>
    <row r="39" spans="1:17" ht="15.4" customHeight="1">
      <c r="B39" s="131"/>
      <c r="C39" s="131"/>
      <c r="D39" s="129"/>
      <c r="E39" s="118"/>
      <c r="G39" s="125"/>
      <c r="H39" s="125"/>
      <c r="I39" s="125"/>
      <c r="J39" s="125"/>
      <c r="K39" s="130"/>
      <c r="L39" s="130"/>
      <c r="M39" s="130"/>
    </row>
    <row r="40" spans="1:17" ht="14.1" customHeight="1">
      <c r="B40" s="131"/>
      <c r="C40" s="131"/>
      <c r="D40" s="129"/>
      <c r="E40" s="131"/>
      <c r="G40" s="125"/>
      <c r="H40" s="125"/>
      <c r="I40" s="125"/>
      <c r="J40" s="125"/>
      <c r="K40" s="130"/>
      <c r="L40" s="130"/>
      <c r="M40" s="130"/>
    </row>
    <row r="41" spans="1:17" ht="14.1" customHeight="1">
      <c r="B41" s="131"/>
      <c r="C41" s="131"/>
      <c r="D41" s="129"/>
      <c r="E41" s="131"/>
      <c r="G41" s="125"/>
      <c r="H41" s="125"/>
      <c r="I41" s="125"/>
      <c r="J41" s="125"/>
      <c r="K41" s="130"/>
      <c r="L41" s="130"/>
      <c r="M41" s="130"/>
    </row>
    <row r="42" spans="1:17">
      <c r="D42" s="129"/>
      <c r="M42" s="118"/>
    </row>
    <row r="43" spans="1:17">
      <c r="D43" s="129"/>
      <c r="M43" s="118"/>
    </row>
    <row r="44" spans="1:17">
      <c r="D44" s="129"/>
      <c r="M44" s="118"/>
    </row>
    <row r="45" spans="1:17">
      <c r="D45" s="129"/>
      <c r="M45" s="118"/>
    </row>
    <row r="46" spans="1:17">
      <c r="D46" s="129"/>
      <c r="M46" s="118"/>
    </row>
    <row r="47" spans="1:17">
      <c r="D47" s="129"/>
      <c r="M47" s="118"/>
    </row>
    <row r="48" spans="1:17">
      <c r="D48" s="129"/>
      <c r="M48" s="118"/>
    </row>
    <row r="49" spans="4:13">
      <c r="D49" s="129"/>
      <c r="M49" s="118"/>
    </row>
    <row r="50" spans="4:13">
      <c r="D50" s="129"/>
      <c r="M50" s="118"/>
    </row>
    <row r="51" spans="4:13">
      <c r="D51" s="129"/>
      <c r="M51" s="118"/>
    </row>
    <row r="52" spans="4:13">
      <c r="D52" s="129"/>
      <c r="M52" s="118"/>
    </row>
    <row r="53" spans="4:13">
      <c r="D53" s="129"/>
      <c r="M53" s="118"/>
    </row>
    <row r="54" spans="4:13">
      <c r="D54" s="129"/>
      <c r="M54" s="118"/>
    </row>
    <row r="55" spans="4:13">
      <c r="D55" s="129"/>
      <c r="M55" s="118"/>
    </row>
    <row r="56" spans="4:13">
      <c r="D56" s="129"/>
      <c r="M56" s="118"/>
    </row>
    <row r="57" spans="4:13">
      <c r="D57" s="129"/>
      <c r="M57" s="118"/>
    </row>
    <row r="58" spans="4:13">
      <c r="D58" s="129"/>
      <c r="M58" s="118"/>
    </row>
    <row r="59" spans="4:13">
      <c r="D59" s="129"/>
      <c r="M59" s="118"/>
    </row>
    <row r="60" spans="4:13">
      <c r="D60" s="129"/>
      <c r="M60" s="118"/>
    </row>
    <row r="61" spans="4:13">
      <c r="D61" s="129"/>
      <c r="M61" s="118"/>
    </row>
    <row r="62" spans="4:13">
      <c r="D62" s="129"/>
      <c r="M62" s="118"/>
    </row>
    <row r="63" spans="4:13">
      <c r="D63" s="129"/>
      <c r="M63" s="118"/>
    </row>
    <row r="64" spans="4:13">
      <c r="D64" s="129"/>
      <c r="M64" s="118"/>
    </row>
    <row r="65" spans="4:13">
      <c r="D65" s="129"/>
      <c r="M65" s="118"/>
    </row>
    <row r="66" spans="4:13">
      <c r="D66" s="129"/>
      <c r="M66" s="118"/>
    </row>
    <row r="67" spans="4:13">
      <c r="D67" s="129"/>
      <c r="M67" s="118"/>
    </row>
    <row r="68" spans="4:13">
      <c r="D68" s="129"/>
      <c r="M68" s="118"/>
    </row>
    <row r="69" spans="4:13">
      <c r="D69" s="129"/>
      <c r="M69" s="118"/>
    </row>
    <row r="70" spans="4:13">
      <c r="D70" s="129"/>
      <c r="M70" s="118"/>
    </row>
    <row r="71" spans="4:13">
      <c r="D71" s="129"/>
      <c r="M71" s="118"/>
    </row>
    <row r="72" spans="4:13">
      <c r="D72" s="129"/>
      <c r="M72" s="118"/>
    </row>
    <row r="73" spans="4:13">
      <c r="D73" s="129"/>
      <c r="M73" s="118"/>
    </row>
    <row r="74" spans="4:13">
      <c r="D74" s="129"/>
      <c r="M74" s="118"/>
    </row>
    <row r="75" spans="4:13">
      <c r="D75" s="129"/>
      <c r="M75" s="118"/>
    </row>
    <row r="76" spans="4:13">
      <c r="D76" s="129"/>
      <c r="M76" s="118"/>
    </row>
    <row r="77" spans="4:13">
      <c r="D77" s="129"/>
      <c r="M77" s="118"/>
    </row>
    <row r="78" spans="4:13">
      <c r="D78" s="129"/>
      <c r="M78" s="118"/>
    </row>
    <row r="79" spans="4:13">
      <c r="D79" s="129"/>
      <c r="M79" s="118"/>
    </row>
    <row r="80" spans="4:13">
      <c r="D80" s="129"/>
      <c r="M80" s="118"/>
    </row>
  </sheetData>
  <printOptions horizontalCentered="1" verticalCentered="1"/>
  <pageMargins left="3.937007874015748E-2" right="3.937007874015748E-2" top="0.19685039370078741" bottom="0.19685039370078741" header="0.19685039370078741" footer="0.19685039370078741"/>
  <pageSetup paperSize="9" orientation="landscape" r:id="rId1"/>
  <headerFooter alignWithMargins="0">
    <oddFooter>&amp;LFile &amp;F        Date &amp;D&amp;RPage 1 of  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Calibration Certificate</vt:lpstr>
      <vt:lpstr>PAGE 1</vt:lpstr>
      <vt:lpstr>PAGE 2</vt:lpstr>
      <vt:lpstr>VRS</vt:lpstr>
      <vt:lpstr>PAGE 1 Template</vt:lpstr>
      <vt:lpstr>PAGE 2 Template</vt:lpstr>
      <vt:lpstr>PAGE 3 Template</vt:lpstr>
      <vt:lpstr>'PAGE 2'!Print_Titles</vt:lpstr>
      <vt:lpstr>'PAGE 2 Template'!Print_Titles</vt:lpstr>
    </vt:vector>
  </TitlesOfParts>
  <Company>DOLA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Wheeler</dc:creator>
  <cp:lastModifiedBy>Kent Wheeler</cp:lastModifiedBy>
  <cp:lastPrinted>2018-03-21T02:15:59Z</cp:lastPrinted>
  <dcterms:created xsi:type="dcterms:W3CDTF">2001-02-05T00:04:52Z</dcterms:created>
  <dcterms:modified xsi:type="dcterms:W3CDTF">2024-10-23T01:27:07Z</dcterms:modified>
</cp:coreProperties>
</file>