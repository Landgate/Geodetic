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629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Z:\AssetsPCsAndSoftware\Software\Microsoft Templates\"/>
    </mc:Choice>
  </mc:AlternateContent>
  <xr:revisionPtr revIDLastSave="0" documentId="13_ncr:11_{0AF3B5C0-CF39-4999-991A-BCCD6F86E634}" xr6:coauthVersionLast="47" xr6:coauthVersionMax="47" xr10:uidLastSave="{00000000-0000-0000-0000-000000000000}"/>
  <bookViews>
    <workbookView xWindow="-76920" yWindow="-8550" windowWidth="38640" windowHeight="21240" activeTab="1" xr2:uid="{00000000-000D-0000-FFFF-FFFF00000000}"/>
  </bookViews>
  <sheets>
    <sheet name="Calibration Certificate" sheetId="17" r:id="rId1"/>
    <sheet name="PAGE 1" sheetId="18" r:id="rId2"/>
    <sheet name="PAGE 2" sheetId="13" r:id="rId3"/>
    <sheet name="PAGE 1 Template" sheetId="15" r:id="rId4"/>
    <sheet name="PAGE 2 Template" sheetId="16" r:id="rId5"/>
    <sheet name="PAGE 3 Template" sheetId="14" r:id="rId6"/>
  </sheets>
  <functionGroups builtInGroupCount="19"/>
  <definedNames>
    <definedName name="_xlnm.Print_Titles" localSheetId="2">'PAGE 2'!$1:$7</definedName>
    <definedName name="_xlnm.Print_Titles" localSheetId="4">'PAGE 2 Template'!$1:$7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W24" i="16" l="1"/>
  <c r="J24" i="16"/>
  <c r="H24" i="16"/>
  <c r="D24" i="16"/>
  <c r="W23" i="16"/>
  <c r="J23" i="16"/>
  <c r="H23" i="16"/>
  <c r="D23" i="16"/>
  <c r="W22" i="16"/>
  <c r="J22" i="16"/>
  <c r="H22" i="16"/>
  <c r="D22" i="16"/>
  <c r="C22" i="16"/>
  <c r="H19" i="16"/>
  <c r="D19" i="16"/>
  <c r="H18" i="16"/>
  <c r="D18" i="16"/>
  <c r="H17" i="16"/>
  <c r="D17" i="16"/>
  <c r="C17" i="16"/>
  <c r="W14" i="16"/>
  <c r="J14" i="16"/>
  <c r="H14" i="16"/>
  <c r="D14" i="16"/>
  <c r="W13" i="16"/>
  <c r="J13" i="16"/>
  <c r="H13" i="16"/>
  <c r="D13" i="16"/>
  <c r="W12" i="16"/>
  <c r="J12" i="16"/>
  <c r="H12" i="16"/>
  <c r="D12" i="16"/>
  <c r="C12" i="16"/>
  <c r="H19" i="15"/>
  <c r="I19" i="15" s="1"/>
  <c r="K19" i="15" s="1"/>
  <c r="E19" i="15"/>
  <c r="D19" i="15"/>
  <c r="C19" i="15"/>
  <c r="H16" i="15"/>
  <c r="I16" i="15" s="1"/>
  <c r="K16" i="15" s="1"/>
  <c r="E16" i="15"/>
  <c r="D16" i="15"/>
  <c r="C16" i="15"/>
  <c r="I13" i="15"/>
  <c r="H13" i="15"/>
  <c r="D13" i="15"/>
  <c r="C13" i="15"/>
  <c r="H12" i="15"/>
  <c r="I12" i="15" s="1"/>
  <c r="K12" i="15" s="1"/>
  <c r="K13" i="15" s="1"/>
  <c r="J13" i="15" s="1"/>
  <c r="E12" i="15"/>
  <c r="E13" i="15" s="1"/>
  <c r="D12" i="15"/>
  <c r="C12" i="15"/>
  <c r="Y22" i="16" a="1"/>
  <c r="AA12" i="16" a="1"/>
  <c r="Z13" i="16" a="1"/>
  <c r="Y12" i="16" a="1"/>
  <c r="S22" i="16" a="1"/>
  <c r="S17" i="16" a="1"/>
  <c r="Y22" i="16" l="1"/>
  <c r="AA12" i="16"/>
  <c r="Z13" i="16"/>
  <c r="Y12" i="16"/>
  <c r="S22" i="16"/>
  <c r="S17" i="16"/>
  <c r="Q13" i="15"/>
  <c r="J12" i="15"/>
  <c r="M12" i="15" s="1"/>
  <c r="M15" i="15" s="1"/>
  <c r="X22" i="16"/>
  <c r="S23" i="16" a="1"/>
  <c r="S24" i="16" a="1"/>
  <c r="S18" i="16" a="1"/>
  <c r="S24" i="16" l="1"/>
  <c r="S23" i="16"/>
  <c r="S18" i="16"/>
  <c r="X23" i="16"/>
  <c r="Y17" i="16" a="1"/>
  <c r="X24" i="16"/>
  <c r="Z23" i="16" a="1"/>
  <c r="AA22" i="16" a="1"/>
  <c r="S19" i="16" a="1"/>
  <c r="AA22" i="16" l="1"/>
  <c r="Z23" i="16"/>
  <c r="Y17" i="16"/>
  <c r="S19" i="16"/>
  <c r="Z18" i="16" a="1"/>
  <c r="AA17" i="16" a="1"/>
  <c r="AA17" i="16" l="1"/>
  <c r="Z18" i="16"/>
  <c r="J14" i="14"/>
  <c r="C14" i="14" l="1"/>
  <c r="D14" i="14"/>
  <c r="M14" i="14"/>
  <c r="K11" i="14" s="1"/>
  <c r="D15" i="14"/>
  <c r="J15" i="14"/>
  <c r="M15" i="14"/>
  <c r="K12" i="14" s="1"/>
  <c r="D16" i="14"/>
  <c r="J16" i="14"/>
  <c r="M16" i="14"/>
  <c r="K13" i="14" s="1"/>
  <c r="C19" i="14"/>
  <c r="D19" i="14"/>
  <c r="M13" i="14" l="1"/>
  <c r="K19" i="14" s="1"/>
  <c r="F19" i="14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<sst xmlns="http://schemas.openxmlformats.org/spreadsheetml/2006/main" count="255" uniqueCount="88">
  <si>
    <t>ABSTRACT OF CLASS C LEVELLING</t>
  </si>
  <si>
    <t>From BM</t>
  </si>
  <si>
    <t xml:space="preserve">Total </t>
  </si>
  <si>
    <t>Difference in Elevation</t>
  </si>
  <si>
    <t>Adjustment</t>
  </si>
  <si>
    <t>Elevation Above AHD</t>
  </si>
  <si>
    <t>Distance</t>
  </si>
  <si>
    <t>Forward</t>
  </si>
  <si>
    <t>Backward</t>
  </si>
  <si>
    <t>Calibrated</t>
  </si>
  <si>
    <t>Remarks</t>
  </si>
  <si>
    <t>km</t>
  </si>
  <si>
    <t>To BM</t>
  </si>
  <si>
    <t>From</t>
  </si>
  <si>
    <t>Mean</t>
  </si>
  <si>
    <t>Closure</t>
  </si>
  <si>
    <t>Observed</t>
  </si>
  <si>
    <t>BM</t>
  </si>
  <si>
    <t>Adjusted</t>
  </si>
  <si>
    <t>C Const =</t>
  </si>
  <si>
    <t>COE =</t>
  </si>
  <si>
    <t>Temp</t>
  </si>
  <si>
    <t xml:space="preserve"> </t>
  </si>
  <si>
    <t>To RM</t>
  </si>
  <si>
    <t>Difference</t>
  </si>
  <si>
    <t>(Allow 0.010)</t>
  </si>
  <si>
    <t>Original Diff.</t>
  </si>
  <si>
    <t>SSM A</t>
  </si>
  <si>
    <t>SSM B</t>
  </si>
  <si>
    <t>SSM C</t>
  </si>
  <si>
    <t xml:space="preserve">SURVEYOR   </t>
  </si>
  <si>
    <t xml:space="preserve">Calculation File  GS </t>
  </si>
  <si>
    <t xml:space="preserve">Level Book No.  GS </t>
  </si>
  <si>
    <t xml:space="preserve">Job No.  </t>
  </si>
  <si>
    <t xml:space="preserve">Computer   </t>
  </si>
  <si>
    <t xml:space="preserve">Date of Survey   </t>
  </si>
  <si>
    <t xml:space="preserve">Staff No.   </t>
  </si>
  <si>
    <t xml:space="preserve">Inst. No.  </t>
  </si>
  <si>
    <t xml:space="preserve">Date   </t>
  </si>
  <si>
    <t>RL from RMs above</t>
  </si>
  <si>
    <t>CAL</t>
  </si>
  <si>
    <t>GS 33/1976/7</t>
  </si>
  <si>
    <t>GS 33/1976/30</t>
  </si>
  <si>
    <t>RM 7</t>
  </si>
  <si>
    <t>RM 6</t>
  </si>
  <si>
    <t>RM 5</t>
  </si>
  <si>
    <t>SSM 1</t>
  </si>
  <si>
    <t>SSM 1A</t>
  </si>
  <si>
    <t>SSM 1 moved horiz. Now SSM 1A</t>
  </si>
  <si>
    <t>RM 1</t>
  </si>
  <si>
    <t>RM 2</t>
  </si>
  <si>
    <t>RM 3</t>
  </si>
  <si>
    <t>New HD Adopted</t>
  </si>
  <si>
    <r>
      <t xml:space="preserve">RM </t>
    </r>
    <r>
      <rPr>
        <strike/>
        <sz val="10"/>
        <rFont val="Arial"/>
        <family val="2"/>
      </rPr>
      <t>3</t>
    </r>
    <r>
      <rPr>
        <sz val="10"/>
        <rFont val="Arial"/>
        <family val="2"/>
      </rPr>
      <t xml:space="preserve"> 4</t>
    </r>
  </si>
  <si>
    <t>RM Moved</t>
  </si>
  <si>
    <t>Allow</t>
  </si>
  <si>
    <r>
      <t>STP(</t>
    </r>
    <r>
      <rPr>
        <b/>
        <vertAlign val="superscript"/>
        <sz val="9"/>
        <rFont val="Times New Roman"/>
        <family val="1"/>
      </rPr>
      <t>o</t>
    </r>
    <r>
      <rPr>
        <b/>
        <sz val="9"/>
        <rFont val="Times New Roman"/>
        <family val="1"/>
      </rPr>
      <t>C) =</t>
    </r>
  </si>
  <si>
    <t>From Above</t>
  </si>
  <si>
    <t>SSM D</t>
  </si>
  <si>
    <t>SSM E</t>
  </si>
  <si>
    <t>GS xx/xxxx/xx</t>
  </si>
  <si>
    <t>SSM F</t>
  </si>
  <si>
    <t>Meas Dist</t>
  </si>
  <si>
    <t>Meas Az</t>
  </si>
  <si>
    <t>Orig Dist</t>
  </si>
  <si>
    <t>Orig Az</t>
  </si>
  <si>
    <t>Meas Dir</t>
  </si>
  <si>
    <t>Dist Diff(m)</t>
  </si>
  <si>
    <t>Az Diff(m)</t>
  </si>
  <si>
    <t>DBs</t>
  </si>
  <si>
    <t>0 0 0</t>
  </si>
  <si>
    <t>250 15 39</t>
  </si>
  <si>
    <t>350 21 23</t>
  </si>
  <si>
    <t>151 31 18</t>
  </si>
  <si>
    <t>164 19 12.48</t>
  </si>
  <si>
    <t>RO</t>
  </si>
  <si>
    <t>192 21 01</t>
  </si>
  <si>
    <t>94 16 27.61</t>
  </si>
  <si>
    <t>261 48 29</t>
  </si>
  <si>
    <t>116 11 8</t>
  </si>
  <si>
    <t>308 25 40</t>
  </si>
  <si>
    <t>12 19 3</t>
  </si>
  <si>
    <t>102 20 0</t>
  </si>
  <si>
    <t>192 21 0</t>
  </si>
  <si>
    <t>New SSM</t>
  </si>
  <si>
    <t>New RM (Dsp in Bit)(0.0 BGL)</t>
  </si>
  <si>
    <t>New RM (Sp in Conc)(0.3 BGL)</t>
  </si>
  <si>
    <t>(0.4 BGL)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</si>
</sst>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00000"/>
    <numFmt numFmtId="166" formatCode="0.0000"/>
  </numFmts>
  <fonts count="34">
    <font>
      <sz val="10"/>
      <name val="Arial"/>
    </font>
    <font>
      <sz val="10"/>
      <name val="Arial"/>
      <family val="2"/>
    </font>
    <font>
      <b/>
      <sz val="9"/>
      <name val="Times New Roman"/>
      <family val="1"/>
    </font>
    <font>
      <sz val="9"/>
      <name val="Times New Roman"/>
      <family val="1"/>
    </font>
    <font>
      <sz val="9"/>
      <color indexed="8"/>
      <name val="Times New Roman"/>
      <family val="1"/>
    </font>
    <font>
      <sz val="10"/>
      <name val="Times New Roman"/>
      <family val="1"/>
    </font>
    <font>
      <b/>
      <sz val="10"/>
      <name val="Times New Roman"/>
      <family val="1"/>
    </font>
    <font>
      <b/>
      <sz val="10"/>
      <color indexed="8"/>
      <name val="Times New Roman"/>
      <family val="1"/>
    </font>
    <font>
      <sz val="10"/>
      <color indexed="8"/>
      <name val="Times New Roman"/>
      <family val="1"/>
    </font>
    <font>
      <sz val="8.5"/>
      <name val="Times New Roman"/>
      <family val="1"/>
    </font>
    <font>
      <sz val="8.5"/>
      <color indexed="8"/>
      <name val="Times New Roman"/>
      <family val="1"/>
    </font>
    <font>
      <sz val="8.5"/>
      <name val="MS Dialog"/>
      <family val="2"/>
    </font>
    <font>
      <sz val="10"/>
      <color indexed="8"/>
      <name val="Arial"/>
      <family val="2"/>
    </font>
    <font>
      <sz val="9"/>
      <name val="Arial"/>
      <family val="2"/>
    </font>
    <font>
      <sz val="9"/>
      <color indexed="12"/>
      <name val="Arial"/>
      <family val="2"/>
    </font>
    <font>
      <sz val="10"/>
      <color indexed="17"/>
      <name val="Arial"/>
      <family val="2"/>
    </font>
    <font>
      <sz val="9"/>
      <color indexed="17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b/>
      <vertAlign val="superscript"/>
      <sz val="9"/>
      <name val="Times New Roman"/>
      <family val="1"/>
    </font>
    <font>
      <sz val="8"/>
      <name val="Times New Roman"/>
      <family val="1"/>
    </font>
    <font>
      <sz val="8"/>
      <name val="MS Dialog"/>
      <family val="2"/>
    </font>
    <font>
      <strike/>
      <sz val="8.5"/>
      <name val="Times New Roman"/>
      <family val="1"/>
    </font>
    <font>
      <b/>
      <sz val="10"/>
      <color indexed="10"/>
      <name val="Arial"/>
      <family val="2"/>
    </font>
    <font>
      <sz val="10"/>
      <color indexed="61"/>
      <name val="Arial"/>
      <family val="2"/>
    </font>
    <font>
      <sz val="10"/>
      <color indexed="10"/>
      <name val="Arial"/>
      <family val="2"/>
    </font>
    <font>
      <b/>
      <sz val="8"/>
      <color rgb="FFFF0000"/>
      <name val="Arial"/>
      <family val="2"/>
    </font>
    <font>
      <b/>
      <sz val="8"/>
      <name val="Arial"/>
      <family val="2"/>
    </font>
    <font>
      <b/>
      <strike/>
      <sz val="10"/>
      <color indexed="10"/>
      <name val="Arial"/>
      <family val="2"/>
    </font>
    <font>
      <strike/>
      <sz val="10"/>
      <name val="Arial"/>
      <family val="2"/>
    </font>
    <font>
      <sz val="10"/>
      <color rgb="FF000000"/>
      <name val="Arial"/>
      <family val="2"/>
    </font>
    <font>
      <sz val="11"/>
      <color rgb="FF006100"/>
      <name val="Calibri"/>
      <family val="2"/>
      <scheme val="minor"/>
    </font>
    <font>
      <b/>
      <sz val="10"/>
      <color rgb="FFFF0000"/>
      <name val="Arial"/>
      <family val="2"/>
    </font>
    <font>
      <b/>
      <sz val="8.5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rgb="FFC6EFCE"/>
      </patternFill>
    </fill>
  </fills>
  <borders count="42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/>
      <top/>
      <bottom style="thin">
        <color auto="1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auto="1"/>
      </bottom>
      <diagonal/>
    </border>
    <border>
      <left style="hair">
        <color indexed="64"/>
      </left>
      <right/>
      <top style="hair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 style="thin">
        <color indexed="64"/>
      </right>
      <top/>
      <bottom/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/>
      <diagonal/>
    </border>
    <border>
      <left style="thin">
        <color auto="1"/>
      </left>
      <right/>
      <top/>
      <bottom style="thin">
        <color indexed="64"/>
      </bottom>
      <diagonal/>
    </border>
  </borders>
  <cellStyleXfs count="3">
    <xf numFmtId="0" fontId="0" fillId="0" borderId="0" applyBorder="0"/>
    <xf numFmtId="0" fontId="1" fillId="0" borderId="0" applyBorder="0"/>
    <xf numFmtId="0" fontId="31" fillId="2" borderId="0" applyNumberFormat="0" applyBorder="0" applyAlignment="0" applyProtection="0"/>
  </cellStyleXfs>
  <cellXfs count="205">
    <xf numFmtId="0" fontId="0" fillId="0" borderId="0" xfId="0"/>
    <xf numFmtId="0" fontId="2" fillId="0" borderId="0" xfId="1" applyFont="1" applyAlignment="1">
      <alignment horizontal="left"/>
    </xf>
    <xf numFmtId="0" fontId="3" fillId="0" borderId="0" xfId="1" applyFont="1" applyAlignment="1">
      <alignment horizontal="left"/>
    </xf>
    <xf numFmtId="0" fontId="4" fillId="0" borderId="0" xfId="1" applyFont="1" applyAlignment="1">
      <alignment horizontal="left"/>
    </xf>
    <xf numFmtId="164" fontId="3" fillId="0" borderId="0" xfId="1" applyNumberFormat="1" applyFont="1" applyAlignment="1">
      <alignment horizontal="left"/>
    </xf>
    <xf numFmtId="0" fontId="5" fillId="0" borderId="0" xfId="1" applyFont="1" applyAlignment="1">
      <alignment horizontal="left"/>
    </xf>
    <xf numFmtId="0" fontId="1" fillId="0" borderId="0" xfId="1" applyAlignment="1">
      <alignment horizontal="left"/>
    </xf>
    <xf numFmtId="164" fontId="17" fillId="0" borderId="0" xfId="1" applyNumberFormat="1" applyFont="1" applyAlignment="1">
      <alignment horizontal="left"/>
    </xf>
    <xf numFmtId="0" fontId="6" fillId="0" borderId="0" xfId="1" applyFont="1" applyAlignment="1">
      <alignment horizontal="left"/>
    </xf>
    <xf numFmtId="0" fontId="7" fillId="0" borderId="0" xfId="1" applyFont="1" applyAlignment="1">
      <alignment horizontal="left"/>
    </xf>
    <xf numFmtId="164" fontId="6" fillId="0" borderId="0" xfId="1" applyNumberFormat="1" applyFont="1" applyAlignment="1">
      <alignment horizontal="left"/>
    </xf>
    <xf numFmtId="164" fontId="5" fillId="0" borderId="0" xfId="1" applyNumberFormat="1" applyFont="1" applyAlignment="1">
      <alignment horizontal="left"/>
    </xf>
    <xf numFmtId="0" fontId="8" fillId="0" borderId="0" xfId="1" applyFont="1" applyAlignment="1">
      <alignment horizontal="left"/>
    </xf>
    <xf numFmtId="0" fontId="6" fillId="0" borderId="0" xfId="1" applyFont="1" applyAlignment="1">
      <alignment horizontal="right"/>
    </xf>
    <xf numFmtId="165" fontId="6" fillId="0" borderId="0" xfId="1" applyNumberFormat="1" applyFont="1" applyAlignment="1">
      <alignment horizontal="left"/>
    </xf>
    <xf numFmtId="0" fontId="6" fillId="0" borderId="0" xfId="1" applyFont="1"/>
    <xf numFmtId="0" fontId="3" fillId="0" borderId="4" xfId="1" applyFont="1" applyBorder="1" applyAlignment="1">
      <alignment horizontal="left"/>
    </xf>
    <xf numFmtId="0" fontId="4" fillId="0" borderId="4" xfId="1" applyFont="1" applyBorder="1" applyAlignment="1">
      <alignment horizontal="left"/>
    </xf>
    <xf numFmtId="166" fontId="3" fillId="0" borderId="4" xfId="1" applyNumberFormat="1" applyFont="1" applyBorder="1" applyAlignment="1">
      <alignment horizontal="left"/>
    </xf>
    <xf numFmtId="166" fontId="2" fillId="0" borderId="4" xfId="1" applyNumberFormat="1" applyFont="1" applyBorder="1" applyAlignment="1">
      <alignment horizontal="right"/>
    </xf>
    <xf numFmtId="165" fontId="6" fillId="0" borderId="4" xfId="1" applyNumberFormat="1" applyFont="1" applyBorder="1" applyAlignment="1">
      <alignment horizontal="left"/>
    </xf>
    <xf numFmtId="0" fontId="2" fillId="0" borderId="4" xfId="1" applyFont="1" applyBorder="1" applyAlignment="1">
      <alignment horizontal="right"/>
    </xf>
    <xf numFmtId="0" fontId="2" fillId="0" borderId="4" xfId="1" applyFont="1" applyBorder="1" applyAlignment="1">
      <alignment horizontal="left"/>
    </xf>
    <xf numFmtId="0" fontId="9" fillId="0" borderId="5" xfId="1" applyFont="1" applyBorder="1" applyAlignment="1">
      <alignment horizontal="center"/>
    </xf>
    <xf numFmtId="0" fontId="10" fillId="0" borderId="6" xfId="1" applyFont="1" applyBorder="1" applyAlignment="1">
      <alignment horizontal="center"/>
    </xf>
    <xf numFmtId="0" fontId="11" fillId="0" borderId="0" xfId="1" applyFont="1" applyAlignment="1">
      <alignment horizontal="center"/>
    </xf>
    <xf numFmtId="166" fontId="9" fillId="0" borderId="3" xfId="1" applyNumberFormat="1" applyFont="1" applyBorder="1" applyAlignment="1">
      <alignment horizontal="centerContinuous"/>
    </xf>
    <xf numFmtId="166" fontId="9" fillId="0" borderId="7" xfId="1" applyNumberFormat="1" applyFont="1" applyBorder="1" applyAlignment="1">
      <alignment horizontal="centerContinuous"/>
    </xf>
    <xf numFmtId="166" fontId="9" fillId="0" borderId="8" xfId="1" applyNumberFormat="1" applyFont="1" applyBorder="1" applyAlignment="1">
      <alignment horizontal="centerContinuous"/>
    </xf>
    <xf numFmtId="166" fontId="5" fillId="0" borderId="9" xfId="1" applyNumberFormat="1" applyFont="1" applyBorder="1" applyAlignment="1">
      <alignment horizontal="centerContinuous"/>
    </xf>
    <xf numFmtId="0" fontId="9" fillId="0" borderId="3" xfId="1" applyFont="1" applyBorder="1" applyAlignment="1">
      <alignment horizontal="center"/>
    </xf>
    <xf numFmtId="0" fontId="9" fillId="0" borderId="3" xfId="1" applyFont="1" applyBorder="1" applyAlignment="1">
      <alignment horizontal="centerContinuous"/>
    </xf>
    <xf numFmtId="0" fontId="9" fillId="0" borderId="7" xfId="1" applyFont="1" applyBorder="1" applyAlignment="1">
      <alignment horizontal="centerContinuous"/>
    </xf>
    <xf numFmtId="0" fontId="9" fillId="0" borderId="9" xfId="1" applyFont="1" applyBorder="1" applyAlignment="1">
      <alignment horizontal="centerContinuous"/>
    </xf>
    <xf numFmtId="0" fontId="9" fillId="0" borderId="10" xfId="1" applyFont="1" applyBorder="1" applyAlignment="1">
      <alignment horizontal="center"/>
    </xf>
    <xf numFmtId="164" fontId="20" fillId="0" borderId="11" xfId="1" applyNumberFormat="1" applyFont="1" applyBorder="1" applyAlignment="1">
      <alignment horizontal="center"/>
    </xf>
    <xf numFmtId="0" fontId="9" fillId="0" borderId="12" xfId="1" applyFont="1" applyBorder="1" applyAlignment="1">
      <alignment horizontal="center" vertical="center"/>
    </xf>
    <xf numFmtId="0" fontId="9" fillId="0" borderId="13" xfId="1" applyFont="1" applyBorder="1" applyAlignment="1">
      <alignment horizontal="center" vertical="center"/>
    </xf>
    <xf numFmtId="0" fontId="10" fillId="0" borderId="14" xfId="1" applyFont="1" applyBorder="1" applyAlignment="1">
      <alignment horizontal="center" vertical="center"/>
    </xf>
    <xf numFmtId="166" fontId="9" fillId="0" borderId="15" xfId="1" applyNumberFormat="1" applyFont="1" applyBorder="1" applyAlignment="1">
      <alignment horizontal="center" vertical="center"/>
    </xf>
    <xf numFmtId="166" fontId="9" fillId="0" borderId="1" xfId="1" applyNumberFormat="1" applyFont="1" applyBorder="1" applyAlignment="1">
      <alignment horizontal="center" vertical="center"/>
    </xf>
    <xf numFmtId="0" fontId="9" fillId="0" borderId="15" xfId="1" applyFont="1" applyBorder="1" applyAlignment="1">
      <alignment horizontal="center" vertical="center"/>
    </xf>
    <xf numFmtId="164" fontId="21" fillId="0" borderId="0" xfId="1" applyNumberFormat="1" applyFont="1" applyAlignment="1">
      <alignment horizontal="center" vertical="center"/>
    </xf>
    <xf numFmtId="0" fontId="11" fillId="0" borderId="0" xfId="1" applyFont="1" applyAlignment="1">
      <alignment horizontal="center" vertical="center"/>
    </xf>
    <xf numFmtId="0" fontId="9" fillId="0" borderId="16" xfId="1" applyFont="1" applyBorder="1" applyAlignment="1">
      <alignment horizontal="center" vertical="center"/>
    </xf>
    <xf numFmtId="0" fontId="9" fillId="0" borderId="17" xfId="1" applyFont="1" applyBorder="1" applyAlignment="1">
      <alignment horizontal="center" vertical="center"/>
    </xf>
    <xf numFmtId="0" fontId="10" fillId="0" borderId="18" xfId="1" applyFont="1" applyBorder="1" applyAlignment="1">
      <alignment horizontal="center" vertical="center"/>
    </xf>
    <xf numFmtId="166" fontId="9" fillId="0" borderId="16" xfId="1" applyNumberFormat="1" applyFont="1" applyBorder="1" applyAlignment="1">
      <alignment horizontal="center" vertical="center"/>
    </xf>
    <xf numFmtId="0" fontId="22" fillId="0" borderId="16" xfId="1" applyFont="1" applyBorder="1" applyAlignment="1">
      <alignment horizontal="center" vertical="center"/>
    </xf>
    <xf numFmtId="0" fontId="1" fillId="0" borderId="0" xfId="1" applyAlignment="1">
      <alignment horizontal="center" vertical="center"/>
    </xf>
    <xf numFmtId="164" fontId="21" fillId="0" borderId="19" xfId="1" applyNumberFormat="1" applyFont="1" applyBorder="1" applyAlignment="1">
      <alignment horizontal="center" vertical="center"/>
    </xf>
    <xf numFmtId="0" fontId="1" fillId="0" borderId="20" xfId="1" applyBorder="1" applyAlignment="1">
      <alignment horizontal="center"/>
    </xf>
    <xf numFmtId="2" fontId="1" fillId="0" borderId="21" xfId="1" applyNumberFormat="1" applyBorder="1" applyAlignment="1">
      <alignment horizontal="center"/>
    </xf>
    <xf numFmtId="0" fontId="12" fillId="0" borderId="20" xfId="1" applyFont="1" applyBorder="1" applyAlignment="1">
      <alignment horizontal="right"/>
    </xf>
    <xf numFmtId="0" fontId="1" fillId="0" borderId="1" xfId="1" applyBorder="1" applyAlignment="1">
      <alignment horizontal="center"/>
    </xf>
    <xf numFmtId="164" fontId="1" fillId="0" borderId="1" xfId="1" applyNumberFormat="1" applyBorder="1" applyAlignment="1">
      <alignment horizontal="center"/>
    </xf>
    <xf numFmtId="164" fontId="23" fillId="0" borderId="1" xfId="1" applyNumberFormat="1" applyFont="1" applyBorder="1" applyAlignment="1">
      <alignment horizontal="center"/>
    </xf>
    <xf numFmtId="0" fontId="17" fillId="0" borderId="21" xfId="1" applyFont="1" applyBorder="1" applyAlignment="1">
      <alignment horizontal="left"/>
    </xf>
    <xf numFmtId="0" fontId="17" fillId="0" borderId="0" xfId="1" applyFont="1" applyAlignment="1">
      <alignment horizontal="left"/>
    </xf>
    <xf numFmtId="164" fontId="17" fillId="0" borderId="22" xfId="1" applyNumberFormat="1" applyFont="1" applyBorder="1" applyAlignment="1">
      <alignment horizontal="center"/>
    </xf>
    <xf numFmtId="2" fontId="1" fillId="0" borderId="1" xfId="1" applyNumberFormat="1" applyBorder="1" applyAlignment="1">
      <alignment horizontal="center"/>
    </xf>
    <xf numFmtId="2" fontId="1" fillId="0" borderId="21" xfId="1" applyNumberFormat="1" applyBorder="1" applyAlignment="1">
      <alignment horizontal="left"/>
    </xf>
    <xf numFmtId="164" fontId="1" fillId="0" borderId="20" xfId="1" applyNumberFormat="1" applyBorder="1" applyAlignment="1">
      <alignment horizontal="right"/>
    </xf>
    <xf numFmtId="0" fontId="17" fillId="0" borderId="21" xfId="1" applyFont="1" applyBorder="1" applyAlignment="1">
      <alignment horizontal="right"/>
    </xf>
    <xf numFmtId="164" fontId="17" fillId="0" borderId="22" xfId="1" applyNumberFormat="1" applyFont="1" applyBorder="1" applyAlignment="1">
      <alignment horizontal="right"/>
    </xf>
    <xf numFmtId="0" fontId="1" fillId="0" borderId="23" xfId="1" applyBorder="1" applyAlignment="1">
      <alignment horizontal="center"/>
    </xf>
    <xf numFmtId="0" fontId="1" fillId="0" borderId="2" xfId="1" applyBorder="1" applyAlignment="1">
      <alignment horizontal="left"/>
    </xf>
    <xf numFmtId="0" fontId="1" fillId="0" borderId="24" xfId="1" applyBorder="1" applyAlignment="1">
      <alignment horizontal="left"/>
    </xf>
    <xf numFmtId="0" fontId="12" fillId="0" borderId="23" xfId="1" applyFont="1" applyBorder="1" applyAlignment="1">
      <alignment horizontal="left"/>
    </xf>
    <xf numFmtId="164" fontId="1" fillId="0" borderId="2" xfId="1" applyNumberFormat="1" applyBorder="1" applyAlignment="1">
      <alignment horizontal="center"/>
    </xf>
    <xf numFmtId="0" fontId="17" fillId="0" borderId="24" xfId="1" applyFont="1" applyBorder="1" applyAlignment="1">
      <alignment horizontal="left"/>
    </xf>
    <xf numFmtId="0" fontId="17" fillId="0" borderId="4" xfId="1" applyFont="1" applyBorder="1" applyAlignment="1">
      <alignment horizontal="left"/>
    </xf>
    <xf numFmtId="164" fontId="17" fillId="0" borderId="25" xfId="1" applyNumberFormat="1" applyFont="1" applyBorder="1" applyAlignment="1">
      <alignment horizontal="center"/>
    </xf>
    <xf numFmtId="2" fontId="1" fillId="0" borderId="0" xfId="1" applyNumberFormat="1" applyAlignment="1">
      <alignment horizontal="left"/>
    </xf>
    <xf numFmtId="0" fontId="12" fillId="0" borderId="0" xfId="1" applyFont="1" applyAlignment="1">
      <alignment horizontal="left"/>
    </xf>
    <xf numFmtId="166" fontId="1" fillId="0" borderId="0" xfId="1" applyNumberFormat="1" applyAlignment="1">
      <alignment horizontal="left"/>
    </xf>
    <xf numFmtId="164" fontId="1" fillId="0" borderId="0" xfId="1" applyNumberFormat="1" applyAlignment="1">
      <alignment horizontal="left"/>
    </xf>
    <xf numFmtId="20" fontId="15" fillId="0" borderId="0" xfId="1" applyNumberFormat="1" applyFont="1" applyAlignment="1">
      <alignment horizontal="left"/>
    </xf>
    <xf numFmtId="164" fontId="15" fillId="0" borderId="0" xfId="1" applyNumberFormat="1" applyFont="1" applyAlignment="1">
      <alignment horizontal="left"/>
    </xf>
    <xf numFmtId="0" fontId="13" fillId="0" borderId="0" xfId="1" applyFont="1" applyAlignment="1">
      <alignment horizontal="left"/>
    </xf>
    <xf numFmtId="20" fontId="12" fillId="0" borderId="0" xfId="1" applyNumberFormat="1" applyFont="1" applyAlignment="1">
      <alignment horizontal="left"/>
    </xf>
    <xf numFmtId="20" fontId="1" fillId="0" borderId="0" xfId="1" applyNumberFormat="1" applyAlignment="1">
      <alignment horizontal="left"/>
    </xf>
    <xf numFmtId="166" fontId="1" fillId="0" borderId="0" xfId="1" quotePrefix="1" applyNumberFormat="1" applyAlignment="1">
      <alignment horizontal="left"/>
    </xf>
    <xf numFmtId="0" fontId="16" fillId="0" borderId="0" xfId="1" applyFont="1" applyAlignment="1">
      <alignment horizontal="left"/>
    </xf>
    <xf numFmtId="2" fontId="13" fillId="0" borderId="0" xfId="1" applyNumberFormat="1" applyFont="1" applyAlignment="1">
      <alignment horizontal="left"/>
    </xf>
    <xf numFmtId="2" fontId="14" fillId="0" borderId="0" xfId="1" applyNumberFormat="1" applyFont="1" applyAlignment="1">
      <alignment horizontal="left"/>
    </xf>
    <xf numFmtId="166" fontId="13" fillId="0" borderId="0" xfId="1" applyNumberFormat="1" applyFont="1" applyAlignment="1">
      <alignment horizontal="left"/>
    </xf>
    <xf numFmtId="164" fontId="13" fillId="0" borderId="0" xfId="1" applyNumberFormat="1" applyFont="1" applyAlignment="1">
      <alignment horizontal="left"/>
    </xf>
    <xf numFmtId="0" fontId="9" fillId="0" borderId="26" xfId="1" applyFont="1" applyBorder="1" applyAlignment="1">
      <alignment horizontal="center"/>
    </xf>
    <xf numFmtId="0" fontId="9" fillId="0" borderId="15" xfId="1" applyFont="1" applyBorder="1" applyAlignment="1">
      <alignment horizontal="center" vertical="justify"/>
    </xf>
    <xf numFmtId="0" fontId="10" fillId="0" borderId="13" xfId="1" applyFont="1" applyBorder="1" applyAlignment="1">
      <alignment horizontal="centerContinuous"/>
    </xf>
    <xf numFmtId="0" fontId="11" fillId="0" borderId="27" xfId="1" applyFont="1" applyBorder="1"/>
    <xf numFmtId="0" fontId="9" fillId="0" borderId="12" xfId="1" applyFont="1" applyBorder="1" applyAlignment="1">
      <alignment horizontal="center"/>
    </xf>
    <xf numFmtId="164" fontId="9" fillId="0" borderId="15" xfId="1" applyNumberFormat="1" applyFont="1" applyBorder="1" applyAlignment="1">
      <alignment horizontal="centerContinuous"/>
    </xf>
    <xf numFmtId="0" fontId="9" fillId="0" borderId="10" xfId="1" applyFont="1" applyBorder="1" applyAlignment="1">
      <alignment horizontal="centerContinuous"/>
    </xf>
    <xf numFmtId="0" fontId="9" fillId="0" borderId="28" xfId="1" applyFont="1" applyBorder="1" applyAlignment="1">
      <alignment horizontal="centerContinuous"/>
    </xf>
    <xf numFmtId="0" fontId="5" fillId="0" borderId="26" xfId="1" applyFont="1" applyBorder="1" applyAlignment="1">
      <alignment horizontal="centerContinuous"/>
    </xf>
    <xf numFmtId="0" fontId="22" fillId="0" borderId="15" xfId="1" applyFont="1" applyBorder="1" applyAlignment="1">
      <alignment horizontal="center"/>
    </xf>
    <xf numFmtId="0" fontId="9" fillId="0" borderId="15" xfId="1" applyFont="1" applyBorder="1" applyAlignment="1">
      <alignment horizontal="centerContinuous"/>
    </xf>
    <xf numFmtId="0" fontId="9" fillId="0" borderId="10" xfId="1" applyFont="1" applyBorder="1"/>
    <xf numFmtId="0" fontId="11" fillId="0" borderId="0" xfId="1" applyFont="1"/>
    <xf numFmtId="0" fontId="9" fillId="0" borderId="14" xfId="1" applyFont="1" applyBorder="1" applyAlignment="1">
      <alignment horizontal="center" vertical="center" textRotation="180" wrapText="1"/>
    </xf>
    <xf numFmtId="0" fontId="10" fillId="0" borderId="13" xfId="1" applyFont="1" applyBorder="1" applyAlignment="1">
      <alignment horizontal="centerContinuous" vertical="center"/>
    </xf>
    <xf numFmtId="0" fontId="10" fillId="0" borderId="14" xfId="1" applyFont="1" applyBorder="1" applyAlignment="1">
      <alignment horizontal="centerContinuous" vertical="center"/>
    </xf>
    <xf numFmtId="164" fontId="9" fillId="0" borderId="15" xfId="1" applyNumberFormat="1" applyFont="1" applyBorder="1" applyAlignment="1">
      <alignment horizontal="center" vertical="center"/>
    </xf>
    <xf numFmtId="0" fontId="9" fillId="0" borderId="1" xfId="1" applyFont="1" applyBorder="1" applyAlignment="1">
      <alignment horizontal="center" vertical="center"/>
    </xf>
    <xf numFmtId="0" fontId="9" fillId="0" borderId="15" xfId="1" applyFont="1" applyBorder="1" applyAlignment="1">
      <alignment vertical="center"/>
    </xf>
    <xf numFmtId="0" fontId="11" fillId="0" borderId="0" xfId="1" applyFont="1" applyAlignment="1">
      <alignment vertical="center"/>
    </xf>
    <xf numFmtId="0" fontId="9" fillId="0" borderId="14" xfId="1" applyFont="1" applyBorder="1" applyAlignment="1">
      <alignment horizontal="center" vertical="center"/>
    </xf>
    <xf numFmtId="0" fontId="9" fillId="0" borderId="13" xfId="1" applyFont="1" applyBorder="1" applyAlignment="1">
      <alignment horizontal="left" vertical="center"/>
    </xf>
    <xf numFmtId="0" fontId="10" fillId="0" borderId="18" xfId="1" applyFont="1" applyBorder="1" applyAlignment="1">
      <alignment horizontal="centerContinuous" vertical="center"/>
    </xf>
    <xf numFmtId="0" fontId="9" fillId="0" borderId="0" xfId="1" applyFont="1" applyAlignment="1">
      <alignment horizontal="center" vertical="center"/>
    </xf>
    <xf numFmtId="164" fontId="9" fillId="0" borderId="12" xfId="1" applyNumberFormat="1" applyFont="1" applyBorder="1" applyAlignment="1">
      <alignment horizontal="center" vertical="center"/>
    </xf>
    <xf numFmtId="0" fontId="1" fillId="0" borderId="0" xfId="1" applyAlignment="1">
      <alignment vertical="center"/>
    </xf>
    <xf numFmtId="2" fontId="1" fillId="0" borderId="1" xfId="1" applyNumberFormat="1" applyBorder="1"/>
    <xf numFmtId="164" fontId="1" fillId="0" borderId="1" xfId="1" applyNumberFormat="1" applyBorder="1"/>
    <xf numFmtId="164" fontId="18" fillId="0" borderId="1" xfId="1" applyNumberFormat="1" applyFont="1" applyBorder="1"/>
    <xf numFmtId="0" fontId="17" fillId="0" borderId="22" xfId="1" applyFont="1" applyBorder="1" applyAlignment="1">
      <alignment horizontal="left"/>
    </xf>
    <xf numFmtId="0" fontId="1" fillId="0" borderId="0" xfId="1"/>
    <xf numFmtId="164" fontId="1" fillId="0" borderId="1" xfId="1" quotePrefix="1" applyNumberFormat="1" applyBorder="1" applyAlignment="1">
      <alignment horizontal="center"/>
    </xf>
    <xf numFmtId="2" fontId="1" fillId="0" borderId="2" xfId="1" applyNumberFormat="1" applyBorder="1" applyAlignment="1">
      <alignment horizontal="center"/>
    </xf>
    <xf numFmtId="2" fontId="24" fillId="0" borderId="24" xfId="1" applyNumberFormat="1" applyFont="1" applyBorder="1" applyAlignment="1">
      <alignment horizontal="left"/>
    </xf>
    <xf numFmtId="164" fontId="1" fillId="0" borderId="23" xfId="1" applyNumberFormat="1" applyBorder="1" applyAlignment="1">
      <alignment horizontal="right"/>
    </xf>
    <xf numFmtId="164" fontId="23" fillId="0" borderId="2" xfId="1" applyNumberFormat="1" applyFont="1" applyBorder="1" applyAlignment="1">
      <alignment horizontal="center"/>
    </xf>
    <xf numFmtId="164" fontId="1" fillId="0" borderId="2" xfId="1" applyNumberFormat="1" applyBorder="1"/>
    <xf numFmtId="164" fontId="1" fillId="0" borderId="0" xfId="1" applyNumberFormat="1" applyAlignment="1">
      <alignment horizontal="center"/>
    </xf>
    <xf numFmtId="0" fontId="1" fillId="0" borderId="0" xfId="1" applyAlignment="1">
      <alignment horizontal="center"/>
    </xf>
    <xf numFmtId="0" fontId="12" fillId="0" borderId="0" xfId="1" applyFont="1" applyAlignment="1">
      <alignment horizontal="right"/>
    </xf>
    <xf numFmtId="0" fontId="5" fillId="0" borderId="0" xfId="1" applyFont="1"/>
    <xf numFmtId="0" fontId="1" fillId="0" borderId="0" xfId="1" applyAlignment="1">
      <alignment horizontal="right"/>
    </xf>
    <xf numFmtId="164" fontId="1" fillId="0" borderId="0" xfId="1" applyNumberFormat="1"/>
    <xf numFmtId="2" fontId="1" fillId="0" borderId="0" xfId="1" applyNumberFormat="1" applyAlignment="1">
      <alignment horizontal="center"/>
    </xf>
    <xf numFmtId="2" fontId="1" fillId="0" borderId="0" xfId="1" applyNumberFormat="1"/>
    <xf numFmtId="0" fontId="17" fillId="0" borderId="24" xfId="1" applyFont="1" applyBorder="1" applyAlignment="1">
      <alignment horizontal="center"/>
    </xf>
    <xf numFmtId="0" fontId="27" fillId="0" borderId="21" xfId="1" applyFont="1" applyBorder="1" applyAlignment="1">
      <alignment horizontal="left"/>
    </xf>
    <xf numFmtId="0" fontId="1" fillId="0" borderId="20" xfId="1" applyBorder="1" applyAlignment="1">
      <alignment horizontal="left"/>
    </xf>
    <xf numFmtId="164" fontId="1" fillId="0" borderId="22" xfId="1" applyNumberFormat="1" applyBorder="1" applyAlignment="1">
      <alignment horizontal="center"/>
    </xf>
    <xf numFmtId="164" fontId="1" fillId="0" borderId="1" xfId="1" applyNumberFormat="1" applyBorder="1" applyAlignment="1">
      <alignment horizontal="center" vertical="center"/>
    </xf>
    <xf numFmtId="164" fontId="28" fillId="0" borderId="1" xfId="1" applyNumberFormat="1" applyFont="1" applyBorder="1" applyAlignment="1">
      <alignment horizontal="center"/>
    </xf>
    <xf numFmtId="164" fontId="29" fillId="0" borderId="1" xfId="1" applyNumberFormat="1" applyFont="1" applyBorder="1" applyAlignment="1">
      <alignment horizontal="center"/>
    </xf>
    <xf numFmtId="14" fontId="1" fillId="0" borderId="0" xfId="1" applyNumberFormat="1" applyAlignment="1">
      <alignment horizontal="center"/>
    </xf>
    <xf numFmtId="0" fontId="1" fillId="0" borderId="20" xfId="1" applyBorder="1" applyAlignment="1">
      <alignment horizontal="right"/>
    </xf>
    <xf numFmtId="164" fontId="1" fillId="0" borderId="1" xfId="1" applyNumberFormat="1" applyBorder="1" applyAlignment="1">
      <alignment horizontal="right"/>
    </xf>
    <xf numFmtId="164" fontId="25" fillId="0" borderId="1" xfId="1" applyNumberFormat="1" applyFont="1" applyBorder="1" applyAlignment="1">
      <alignment horizontal="center"/>
    </xf>
    <xf numFmtId="2" fontId="24" fillId="0" borderId="1" xfId="1" applyNumberFormat="1" applyFont="1" applyBorder="1" applyAlignment="1">
      <alignment horizontal="center"/>
    </xf>
    <xf numFmtId="164" fontId="17" fillId="0" borderId="21" xfId="1" applyNumberFormat="1" applyFont="1" applyBorder="1" applyAlignment="1">
      <alignment horizontal="left"/>
    </xf>
    <xf numFmtId="2" fontId="24" fillId="0" borderId="21" xfId="1" applyNumberFormat="1" applyFont="1" applyBorder="1" applyAlignment="1">
      <alignment horizontal="left"/>
    </xf>
    <xf numFmtId="164" fontId="24" fillId="0" borderId="1" xfId="1" applyNumberFormat="1" applyFont="1" applyBorder="1"/>
    <xf numFmtId="0" fontId="1" fillId="0" borderId="1" xfId="1" applyBorder="1"/>
    <xf numFmtId="0" fontId="24" fillId="0" borderId="20" xfId="1" applyFont="1" applyBorder="1" applyAlignment="1">
      <alignment horizontal="center"/>
    </xf>
    <xf numFmtId="164" fontId="31" fillId="2" borderId="1" xfId="2" applyNumberFormat="1" applyBorder="1" applyAlignment="1">
      <alignment horizontal="center"/>
    </xf>
    <xf numFmtId="164" fontId="32" fillId="0" borderId="1" xfId="1" applyNumberFormat="1" applyFont="1" applyBorder="1" applyAlignment="1">
      <alignment horizontal="center"/>
    </xf>
    <xf numFmtId="49" fontId="1" fillId="0" borderId="1" xfId="1" applyNumberFormat="1" applyBorder="1" applyAlignment="1">
      <alignment horizontal="center"/>
    </xf>
    <xf numFmtId="49" fontId="1" fillId="0" borderId="20" xfId="1" applyNumberFormat="1" applyBorder="1" applyAlignment="1">
      <alignment horizontal="right"/>
    </xf>
    <xf numFmtId="49" fontId="1" fillId="0" borderId="21" xfId="1" applyNumberFormat="1" applyBorder="1" applyAlignment="1">
      <alignment horizontal="left"/>
    </xf>
    <xf numFmtId="49" fontId="32" fillId="0" borderId="1" xfId="1" applyNumberFormat="1" applyFont="1" applyBorder="1" applyAlignment="1">
      <alignment horizontal="center"/>
    </xf>
    <xf numFmtId="0" fontId="26" fillId="0" borderId="21" xfId="1" applyFont="1" applyBorder="1" applyAlignment="1">
      <alignment horizontal="left"/>
    </xf>
    <xf numFmtId="22" fontId="17" fillId="0" borderId="0" xfId="1" applyNumberFormat="1" applyFont="1" applyAlignment="1">
      <alignment horizontal="left"/>
    </xf>
    <xf numFmtId="0" fontId="9" fillId="2" borderId="12" xfId="2" applyFont="1" applyBorder="1" applyAlignment="1">
      <alignment horizontal="center" vertical="center"/>
    </xf>
    <xf numFmtId="0" fontId="9" fillId="0" borderId="12" xfId="2" applyFont="1" applyFill="1" applyBorder="1" applyAlignment="1">
      <alignment horizontal="center" vertical="center"/>
    </xf>
    <xf numFmtId="164" fontId="31" fillId="0" borderId="1" xfId="2" applyNumberFormat="1" applyFill="1" applyBorder="1" applyAlignment="1">
      <alignment horizontal="center"/>
    </xf>
    <xf numFmtId="14" fontId="17" fillId="0" borderId="0" xfId="1" applyNumberFormat="1" applyFont="1" applyAlignment="1">
      <alignment horizontal="left"/>
    </xf>
    <xf numFmtId="14" fontId="17" fillId="0" borderId="4" xfId="1" applyNumberFormat="1" applyFont="1" applyBorder="1" applyAlignment="1">
      <alignment horizontal="left"/>
    </xf>
    <xf numFmtId="0" fontId="26" fillId="0" borderId="24" xfId="1" applyFont="1" applyBorder="1" applyAlignment="1">
      <alignment horizontal="left"/>
    </xf>
    <xf numFmtId="49" fontId="1" fillId="0" borderId="24" xfId="1" applyNumberFormat="1" applyBorder="1" applyAlignment="1">
      <alignment horizontal="left"/>
    </xf>
    <xf numFmtId="49" fontId="12" fillId="0" borderId="23" xfId="1" applyNumberFormat="1" applyFont="1" applyBorder="1" applyAlignment="1">
      <alignment horizontal="left"/>
    </xf>
    <xf numFmtId="2" fontId="1" fillId="0" borderId="2" xfId="1" applyNumberFormat="1" applyBorder="1" applyAlignment="1">
      <alignment horizontal="left"/>
    </xf>
    <xf numFmtId="49" fontId="1" fillId="0" borderId="2" xfId="1" applyNumberFormat="1" applyBorder="1" applyAlignment="1">
      <alignment horizontal="center"/>
    </xf>
    <xf numFmtId="0" fontId="1" fillId="0" borderId="21" xfId="1" applyBorder="1" applyAlignment="1">
      <alignment horizontal="left"/>
    </xf>
    <xf numFmtId="14" fontId="1" fillId="0" borderId="0" xfId="1" applyNumberFormat="1"/>
    <xf numFmtId="164" fontId="1" fillId="0" borderId="0" xfId="1" applyNumberFormat="1" applyAlignment="1">
      <alignment horizontal="right"/>
    </xf>
    <xf numFmtId="164" fontId="33" fillId="0" borderId="0" xfId="1" applyNumberFormat="1" applyFont="1" applyBorder="1" applyAlignment="1">
      <alignment horizontal="center"/>
    </xf>
    <xf numFmtId="0" fontId="33" fillId="0" borderId="0" xfId="1" applyFont="1" applyBorder="1" applyAlignment="1">
      <alignment horizontal="center"/>
    </xf>
    <xf numFmtId="14" fontId="33" fillId="0" borderId="0" xfId="1" applyNumberFormat="1" applyFont="1" applyBorder="1" applyAlignment="1">
      <alignment horizontal="center"/>
    </xf>
    <xf numFmtId="0" fontId="1" fillId="0" borderId="30" xfId="1" applyBorder="1" applyAlignment="1">
      <alignment horizontal="center"/>
    </xf>
    <xf numFmtId="2" fontId="1" fillId="0" borderId="31" xfId="1" applyNumberFormat="1" applyBorder="1" applyAlignment="1">
      <alignment horizontal="center"/>
    </xf>
    <xf numFmtId="2" fontId="1" fillId="0" borderId="32" xfId="1" applyNumberFormat="1" applyBorder="1" applyAlignment="1">
      <alignment horizontal="left"/>
    </xf>
    <xf numFmtId="164" fontId="1" fillId="0" borderId="30" xfId="1" applyNumberFormat="1" applyBorder="1" applyAlignment="1">
      <alignment horizontal="right"/>
    </xf>
    <xf numFmtId="164" fontId="1" fillId="0" borderId="31" xfId="1" applyNumberFormat="1" applyBorder="1" applyAlignment="1">
      <alignment horizontal="center"/>
    </xf>
    <xf numFmtId="164" fontId="32" fillId="0" borderId="31" xfId="1" applyNumberFormat="1" applyFont="1" applyBorder="1" applyAlignment="1">
      <alignment horizontal="center"/>
    </xf>
    <xf numFmtId="164" fontId="1" fillId="0" borderId="31" xfId="1" applyNumberFormat="1" applyBorder="1"/>
    <xf numFmtId="0" fontId="17" fillId="0" borderId="32" xfId="1" applyFont="1" applyBorder="1" applyAlignment="1">
      <alignment horizontal="left"/>
    </xf>
    <xf numFmtId="14" fontId="17" fillId="0" borderId="29" xfId="1" applyNumberFormat="1" applyFont="1" applyBorder="1" applyAlignment="1">
      <alignment horizontal="left"/>
    </xf>
    <xf numFmtId="0" fontId="9" fillId="0" borderId="27" xfId="1" applyFont="1" applyBorder="1" applyAlignment="1">
      <alignment horizontal="center" vertical="distributed" textRotation="90"/>
    </xf>
    <xf numFmtId="0" fontId="1" fillId="0" borderId="14" xfId="1" applyBorder="1" applyAlignment="1">
      <alignment horizontal="center" vertical="distributed" textRotation="90"/>
    </xf>
    <xf numFmtId="0" fontId="1" fillId="0" borderId="18" xfId="1" applyBorder="1" applyAlignment="1">
      <alignment horizontal="center" vertical="distributed" textRotation="90"/>
    </xf>
    <xf numFmtId="0" fontId="9" fillId="0" borderId="13" xfId="1" applyFont="1" applyBorder="1" applyAlignment="1">
      <alignment horizontal="center" vertical="center"/>
    </xf>
    <xf numFmtId="0" fontId="9" fillId="0" borderId="0" xfId="1" applyFont="1" applyAlignment="1">
      <alignment horizontal="center" vertical="center"/>
    </xf>
    <xf numFmtId="164" fontId="33" fillId="0" borderId="0" xfId="1" applyNumberFormat="1" applyFont="1" applyBorder="1" applyAlignment="1">
      <alignment horizontal="center"/>
    </xf>
    <xf numFmtId="164" fontId="1" fillId="0" borderId="33" xfId="1" applyNumberFormat="1" applyBorder="1" applyAlignment="1">
      <alignment horizontal="center" vertical="center"/>
    </xf>
    <xf numFmtId="164" fontId="1" fillId="0" borderId="34" xfId="1" applyNumberFormat="1" applyBorder="1" applyAlignment="1">
      <alignment horizontal="center" vertical="center"/>
    </xf>
    <xf numFmtId="164" fontId="1" fillId="0" borderId="35" xfId="1" applyNumberFormat="1" applyBorder="1" applyAlignment="1">
      <alignment horizontal="center" vertical="center"/>
    </xf>
    <xf numFmtId="164" fontId="18" fillId="0" borderId="0" xfId="1" applyNumberFormat="1" applyFont="1" applyAlignment="1">
      <alignment horizontal="left"/>
    </xf>
    <xf numFmtId="0" fontId="1" fillId="0" borderId="0" xfId="1" applyAlignment="1">
      <alignment horizontal="right" shrinkToFit="1"/>
    </xf>
    <xf numFmtId="0" fontId="32" fillId="0" borderId="0" xfId="1" applyFont="1" applyAlignment="1">
      <alignment horizontal="right" shrinkToFit="1"/>
    </xf>
    <xf numFmtId="0" fontId="32" fillId="0" borderId="0" xfId="1" applyFont="1" applyAlignment="1">
      <alignment horizontal="right"/>
    </xf>
    <xf numFmtId="164" fontId="29" fillId="0" borderId="0" xfId="1" applyNumberFormat="1" applyFont="1" applyAlignment="1">
      <alignment horizontal="right"/>
    </xf>
    <xf numFmtId="0" fontId="29" fillId="0" borderId="0" xfId="1" applyFont="1" applyAlignment="1">
      <alignment horizontal="right"/>
    </xf>
    <xf numFmtId="164" fontId="29" fillId="0" borderId="0" xfId="1" applyNumberFormat="1" applyFont="1"/>
    <xf numFmtId="164" fontId="1" fillId="0" borderId="36" xfId="1" applyNumberFormat="1" applyBorder="1" applyAlignment="1">
      <alignment horizontal="center" vertical="center"/>
    </xf>
    <xf numFmtId="164" fontId="1" fillId="0" borderId="38" xfId="1" applyNumberFormat="1" applyBorder="1" applyAlignment="1">
      <alignment horizontal="center" vertical="center"/>
    </xf>
    <xf numFmtId="164" fontId="1" fillId="0" borderId="39" xfId="1" applyNumberFormat="1" applyBorder="1" applyAlignment="1">
      <alignment horizontal="center" vertical="center"/>
    </xf>
    <xf numFmtId="164" fontId="1" fillId="0" borderId="40" xfId="1" applyNumberFormat="1" applyBorder="1" applyAlignment="1">
      <alignment horizontal="center" vertical="center"/>
    </xf>
    <xf numFmtId="164" fontId="1" fillId="0" borderId="41" xfId="1" applyNumberFormat="1" applyBorder="1" applyAlignment="1">
      <alignment horizontal="center" vertical="center"/>
    </xf>
    <xf numFmtId="164" fontId="1" fillId="0" borderId="37" xfId="1" applyNumberFormat="1" applyBorder="1" applyAlignment="1">
      <alignment horizontal="center" vertical="center"/>
    </xf>
  </cellXfs>
  <cellStyles count="3">
    <cellStyle name="Good" xfId="2" builtinId="26"/>
    <cellStyle name="Normal" xfId="0" builtinId="0"/>
    <cellStyle name="Normal 2" xfId="1" xr:uid="{00000000-0005-0000-0000-000001000000}"/>
  </cellStyles>
  <dxfs count="11"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</dxfs>
  <tableStyles count="0" defaultTableStyle="TableStyleMedium9" defaultPivotStyle="PivotStyleLight16"/>
  <colors>
    <mruColors>
      <color rgb="FFFF7C80"/>
      <color rgb="FFFF5050"/>
      <color rgb="FFFF9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238125</xdr:colOff>
      <xdr:row>1</xdr:row>
      <xdr:rowOff>142875</xdr:rowOff>
    </xdr:from>
    <xdr:to>
      <xdr:col>8</xdr:col>
      <xdr:colOff>541401</xdr:colOff>
      <xdr:row>27</xdr:row>
      <xdr:rowOff>123825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8125" y="304800"/>
          <a:ext cx="5180076" cy="4191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76200</xdr:colOff>
          <xdr:row>0</xdr:row>
          <xdr:rowOff>142875</xdr:rowOff>
        </xdr:from>
        <xdr:to>
          <xdr:col>19</xdr:col>
          <xdr:colOff>47625</xdr:colOff>
          <xdr:row>2</xdr:row>
          <xdr:rowOff>104775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1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 level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66675</xdr:colOff>
          <xdr:row>2</xdr:row>
          <xdr:rowOff>133350</xdr:rowOff>
        </xdr:from>
        <xdr:to>
          <xdr:col>19</xdr:col>
          <xdr:colOff>38100</xdr:colOff>
          <xdr:row>4</xdr:row>
          <xdr:rowOff>95250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1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From SLIP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66675</xdr:colOff>
          <xdr:row>4</xdr:row>
          <xdr:rowOff>123825</xdr:rowOff>
        </xdr:from>
        <xdr:to>
          <xdr:col>19</xdr:col>
          <xdr:colOff>38100</xdr:colOff>
          <xdr:row>6</xdr:row>
          <xdr:rowOff>85725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1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Formula's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85725</xdr:colOff>
          <xdr:row>2</xdr:row>
          <xdr:rowOff>123825</xdr:rowOff>
        </xdr:from>
        <xdr:to>
          <xdr:col>19</xdr:col>
          <xdr:colOff>476250</xdr:colOff>
          <xdr:row>4</xdr:row>
          <xdr:rowOff>85725</xdr:rowOff>
        </xdr:to>
        <xdr:sp macro="" textlink="">
          <xdr:nvSpPr>
            <xdr:cNvPr id="11268" name="GES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1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114300</xdr:colOff>
          <xdr:row>0</xdr:row>
          <xdr:rowOff>142875</xdr:rowOff>
        </xdr:from>
        <xdr:to>
          <xdr:col>18</xdr:col>
          <xdr:colOff>0</xdr:colOff>
          <xdr:row>2</xdr:row>
          <xdr:rowOff>104775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 level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114300</xdr:colOff>
          <xdr:row>2</xdr:row>
          <xdr:rowOff>142875</xdr:rowOff>
        </xdr:from>
        <xdr:to>
          <xdr:col>18</xdr:col>
          <xdr:colOff>0</xdr:colOff>
          <xdr:row>4</xdr:row>
          <xdr:rowOff>104775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From SLIP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114300</xdr:colOff>
          <xdr:row>4</xdr:row>
          <xdr:rowOff>133350</xdr:rowOff>
        </xdr:from>
        <xdr:to>
          <xdr:col>18</xdr:col>
          <xdr:colOff>0</xdr:colOff>
          <xdr:row>6</xdr:row>
          <xdr:rowOff>95250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Formula's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47625</xdr:colOff>
          <xdr:row>2</xdr:row>
          <xdr:rowOff>133350</xdr:rowOff>
        </xdr:from>
        <xdr:to>
          <xdr:col>18</xdr:col>
          <xdr:colOff>438150</xdr:colOff>
          <xdr:row>4</xdr:row>
          <xdr:rowOff>95250</xdr:rowOff>
        </xdr:to>
        <xdr:sp macro="" textlink="">
          <xdr:nvSpPr>
            <xdr:cNvPr id="2052" name="GES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609600</xdr:colOff>
      <xdr:row>10</xdr:row>
      <xdr:rowOff>95250</xdr:rowOff>
    </xdr:from>
    <xdr:to>
      <xdr:col>10</xdr:col>
      <xdr:colOff>723900</xdr:colOff>
      <xdr:row>12</xdr:row>
      <xdr:rowOff>142875</xdr:rowOff>
    </xdr:to>
    <xdr:sp macro="" textlink="">
      <xdr:nvSpPr>
        <xdr:cNvPr id="2" name="AutoShape 2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>
          <a:spLocks/>
        </xdr:cNvSpPr>
      </xdr:nvSpPr>
      <xdr:spPr bwMode="auto">
        <a:xfrm>
          <a:off x="6705600" y="1714500"/>
          <a:ext cx="0" cy="371475"/>
        </a:xfrm>
        <a:prstGeom prst="rightBrace">
          <a:avLst>
            <a:gd name="adj1" fmla="val 31250"/>
            <a:gd name="adj2" fmla="val 83333"/>
          </a:avLst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C93755-32C7-44E1-A351-BE91A806773A}">
  <sheetPr codeName="Sheet1">
    <pageSetUpPr fitToPage="1"/>
  </sheetPr>
  <dimension ref="B4:M16"/>
  <sheetViews>
    <sheetView workbookViewId="0">
      <selection activeCell="N31" sqref="N31"/>
    </sheetView>
  </sheetViews>
  <sheetFormatPr defaultColWidth="9.140625" defaultRowHeight="12.75"/>
  <cols>
    <col min="1" max="16384" width="9.140625" style="118"/>
  </cols>
  <sheetData>
    <row r="4" spans="2:13">
      <c r="M4"/>
    </row>
    <row r="16" spans="2:13">
      <c r="B16"/>
    </row>
  </sheetData>
  <pageMargins left="0.70866141732283472" right="0.70866141732283472" top="0.74803149606299213" bottom="0.74803149606299213" header="0.31496062992125984" footer="0.31496062992125984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CE76B2-A062-40CF-9D1E-0629C5910D92}">
  <sheetPr codeName="Sheet17"/>
  <dimension ref="A1:Y38"/>
  <sheetViews>
    <sheetView tabSelected="1" zoomScaleNormal="100" workbookViewId="0"/>
  </sheetViews>
  <sheetFormatPr defaultColWidth="9.140625" defaultRowHeight="12.75"/>
  <cols>
    <col min="1" max="1" width="3.5703125" style="6" customWidth="1"/>
    <col min="2" max="2" width="7.28515625" style="6" customWidth="1"/>
    <col min="3" max="3" width="10.42578125" style="6" customWidth="1"/>
    <col min="4" max="4" width="10.42578125" style="74" customWidth="1"/>
    <col min="5" max="5" width="7.28515625" style="6" customWidth="1"/>
    <col min="6" max="9" width="9.28515625" style="75" customWidth="1"/>
    <col min="10" max="10" width="9.28515625" style="6" customWidth="1"/>
    <col min="11" max="11" width="11.140625" style="6" customWidth="1"/>
    <col min="12" max="12" width="11.42578125" style="6" customWidth="1"/>
    <col min="13" max="13" width="11.140625" style="5" customWidth="1"/>
    <col min="14" max="14" width="14.5703125" style="6" customWidth="1"/>
    <col min="15" max="15" width="6.28515625" style="6" hidden="1" customWidth="1"/>
    <col min="16" max="16" width="6.7109375" style="6" customWidth="1"/>
    <col min="17" max="17" width="5.42578125" style="7" customWidth="1"/>
    <col min="18" max="16384" width="9.140625" style="6"/>
  </cols>
  <sheetData>
    <row r="1" spans="1:25">
      <c r="A1" s="1"/>
      <c r="B1" s="2"/>
      <c r="C1" s="2"/>
      <c r="D1" s="3"/>
      <c r="E1" s="2"/>
      <c r="F1" s="4"/>
      <c r="G1" s="2"/>
      <c r="H1" s="2"/>
      <c r="I1" s="5"/>
      <c r="J1" s="2"/>
      <c r="K1" s="2"/>
      <c r="L1" s="2"/>
      <c r="N1" s="2"/>
    </row>
    <row r="2" spans="1:25">
      <c r="A2" s="8" t="s">
        <v>30</v>
      </c>
      <c r="B2" s="8"/>
      <c r="C2" s="8"/>
      <c r="D2" s="9"/>
      <c r="E2" s="5"/>
      <c r="F2" s="10" t="s">
        <v>0</v>
      </c>
      <c r="G2" s="8"/>
      <c r="H2" s="5"/>
      <c r="I2" s="5"/>
      <c r="J2" s="5"/>
      <c r="K2" s="8"/>
      <c r="M2" s="8" t="s">
        <v>31</v>
      </c>
      <c r="N2" s="8"/>
      <c r="O2" s="5"/>
    </row>
    <row r="3" spans="1:25">
      <c r="A3" s="8"/>
      <c r="B3" s="8"/>
      <c r="C3" s="8"/>
      <c r="D3" s="9"/>
      <c r="E3" s="5"/>
      <c r="F3" s="11"/>
      <c r="G3" s="5"/>
      <c r="H3" s="5"/>
      <c r="I3" s="5"/>
      <c r="J3" s="5"/>
      <c r="K3" s="5"/>
      <c r="L3" s="5"/>
      <c r="N3" s="5"/>
    </row>
    <row r="4" spans="1:25">
      <c r="A4" s="8" t="s">
        <v>32</v>
      </c>
      <c r="B4" s="5"/>
      <c r="C4" s="5"/>
      <c r="D4" s="12"/>
      <c r="E4" s="5"/>
      <c r="F4" s="10" t="s">
        <v>33</v>
      </c>
      <c r="G4" s="5"/>
      <c r="H4" s="5"/>
      <c r="I4" s="5"/>
      <c r="J4" s="5"/>
      <c r="K4" s="8"/>
      <c r="M4" s="8" t="s">
        <v>34</v>
      </c>
      <c r="N4" s="8"/>
      <c r="O4" s="5"/>
    </row>
    <row r="5" spans="1:25">
      <c r="A5" s="5"/>
      <c r="B5" s="5"/>
      <c r="C5" s="5"/>
      <c r="D5" s="12"/>
      <c r="E5" s="5"/>
      <c r="F5" s="11"/>
      <c r="G5" s="5"/>
      <c r="H5" s="5"/>
      <c r="I5" s="5"/>
      <c r="J5" s="5"/>
      <c r="K5" s="5"/>
      <c r="L5" s="5"/>
      <c r="N5" s="5"/>
    </row>
    <row r="6" spans="1:25">
      <c r="A6" s="8" t="s">
        <v>35</v>
      </c>
      <c r="B6" s="5"/>
      <c r="C6" s="5"/>
      <c r="D6" s="12"/>
      <c r="E6" s="5"/>
      <c r="F6" s="10" t="s">
        <v>36</v>
      </c>
      <c r="G6" s="8"/>
      <c r="H6" s="13" t="s">
        <v>19</v>
      </c>
      <c r="I6" s="14">
        <v>1</v>
      </c>
      <c r="K6" s="15" t="s">
        <v>37</v>
      </c>
      <c r="L6" s="8"/>
      <c r="M6" s="8" t="s">
        <v>38</v>
      </c>
      <c r="N6" s="8"/>
      <c r="O6" s="5"/>
    </row>
    <row r="7" spans="1:25" ht="12.75" customHeight="1">
      <c r="A7" s="16"/>
      <c r="B7" s="16"/>
      <c r="C7" s="16"/>
      <c r="D7" s="17"/>
      <c r="E7" s="16"/>
      <c r="F7" s="18"/>
      <c r="G7" s="18"/>
      <c r="H7" s="19" t="s">
        <v>20</v>
      </c>
      <c r="I7" s="20">
        <v>1.0000000000000001E-5</v>
      </c>
      <c r="J7" s="16"/>
      <c r="K7" s="21" t="s">
        <v>56</v>
      </c>
      <c r="L7" s="22">
        <v>25</v>
      </c>
      <c r="M7" s="16"/>
      <c r="N7" s="16"/>
      <c r="P7" s="7"/>
    </row>
    <row r="8" spans="1:25" s="25" customFormat="1" ht="15.6" customHeight="1">
      <c r="A8" s="183" t="s">
        <v>21</v>
      </c>
      <c r="B8" s="23"/>
      <c r="C8" s="24"/>
      <c r="E8" s="23" t="s">
        <v>2</v>
      </c>
      <c r="F8" s="26" t="s">
        <v>3</v>
      </c>
      <c r="G8" s="27"/>
      <c r="H8" s="28"/>
      <c r="I8" s="29"/>
      <c r="J8" s="30" t="s">
        <v>4</v>
      </c>
      <c r="K8" s="31" t="s">
        <v>5</v>
      </c>
      <c r="L8" s="32"/>
      <c r="M8" s="33"/>
      <c r="N8" s="34"/>
      <c r="P8" s="35"/>
      <c r="Q8" s="35"/>
      <c r="R8" s="6"/>
      <c r="S8" s="6"/>
      <c r="T8" s="6"/>
      <c r="U8" s="6"/>
      <c r="V8" s="6"/>
      <c r="W8" s="6"/>
      <c r="X8" s="6"/>
      <c r="Y8" s="6"/>
    </row>
    <row r="9" spans="1:25" s="43" customFormat="1" ht="15.6" customHeight="1">
      <c r="A9" s="184"/>
      <c r="B9" s="36" t="s">
        <v>6</v>
      </c>
      <c r="C9" s="37" t="s">
        <v>1</v>
      </c>
      <c r="D9" s="38" t="s">
        <v>12</v>
      </c>
      <c r="E9" s="36" t="s">
        <v>6</v>
      </c>
      <c r="F9" s="39" t="s">
        <v>7</v>
      </c>
      <c r="G9" s="40" t="s">
        <v>8</v>
      </c>
      <c r="H9" s="39"/>
      <c r="I9" s="39" t="s">
        <v>9</v>
      </c>
      <c r="J9" s="41"/>
      <c r="K9" s="41"/>
      <c r="L9" s="41"/>
      <c r="M9" s="41"/>
      <c r="N9" s="186" t="s">
        <v>10</v>
      </c>
      <c r="O9" s="187"/>
      <c r="P9" s="187"/>
      <c r="Q9" s="42"/>
      <c r="R9" s="6"/>
      <c r="S9" s="6"/>
      <c r="T9" s="6"/>
      <c r="U9" s="6"/>
      <c r="V9" s="6"/>
      <c r="W9" s="6"/>
      <c r="X9" s="6"/>
      <c r="Y9" s="6"/>
    </row>
    <row r="10" spans="1:25" s="43" customFormat="1" ht="15.6" customHeight="1">
      <c r="A10" s="185"/>
      <c r="B10" s="158" t="s">
        <v>11</v>
      </c>
      <c r="C10" s="45"/>
      <c r="D10" s="46"/>
      <c r="E10" s="44" t="s">
        <v>13</v>
      </c>
      <c r="F10" s="150"/>
      <c r="G10" s="40" t="s">
        <v>7</v>
      </c>
      <c r="H10" s="47" t="s">
        <v>14</v>
      </c>
      <c r="I10" s="47" t="s">
        <v>14</v>
      </c>
      <c r="J10" s="48" t="s">
        <v>15</v>
      </c>
      <c r="K10" s="44" t="s">
        <v>16</v>
      </c>
      <c r="L10" s="158" t="s">
        <v>17</v>
      </c>
      <c r="M10" s="44" t="s">
        <v>18</v>
      </c>
      <c r="N10" s="49"/>
      <c r="P10" s="50"/>
      <c r="Q10" s="50"/>
      <c r="R10" s="6"/>
      <c r="S10" s="6"/>
      <c r="T10" s="6"/>
      <c r="U10" s="6"/>
      <c r="V10" s="6"/>
      <c r="W10" s="6"/>
      <c r="X10" s="6"/>
      <c r="Y10" s="6"/>
    </row>
    <row r="11" spans="1:25" ht="15.4" customHeight="1">
      <c r="A11" s="51"/>
      <c r="B11" s="60"/>
      <c r="C11" s="168"/>
      <c r="D11" s="141"/>
      <c r="E11" s="60"/>
      <c r="F11" s="55"/>
      <c r="G11" s="55"/>
      <c r="H11" s="55"/>
      <c r="I11" s="55"/>
      <c r="J11" s="55"/>
      <c r="K11" s="55"/>
      <c r="L11" s="155"/>
      <c r="M11" s="151"/>
      <c r="N11" s="156"/>
      <c r="O11" s="58"/>
      <c r="P11" s="59"/>
      <c r="Q11" s="59"/>
    </row>
    <row r="12" spans="1:25" ht="15.6" customHeight="1">
      <c r="A12" s="51"/>
      <c r="B12" s="60"/>
      <c r="C12" s="154"/>
      <c r="D12" s="153"/>
      <c r="E12" s="60"/>
      <c r="F12" s="55"/>
      <c r="G12" s="55"/>
      <c r="H12" s="55"/>
      <c r="I12" s="55"/>
      <c r="J12" s="55"/>
      <c r="K12" s="55"/>
      <c r="L12" s="155"/>
      <c r="M12" s="151"/>
      <c r="N12" s="156"/>
      <c r="O12" s="161"/>
      <c r="P12" s="59"/>
      <c r="Q12" s="59"/>
    </row>
    <row r="13" spans="1:25" ht="15.6" customHeight="1">
      <c r="A13" s="51"/>
      <c r="B13" s="60"/>
      <c r="C13" s="61"/>
      <c r="D13" s="62"/>
      <c r="E13" s="60"/>
      <c r="F13" s="55"/>
      <c r="G13" s="55"/>
      <c r="H13" s="55"/>
      <c r="I13" s="55"/>
      <c r="J13" s="55"/>
      <c r="K13" s="55"/>
      <c r="L13" s="55"/>
      <c r="M13" s="55"/>
      <c r="N13" s="57"/>
      <c r="O13" s="58"/>
      <c r="P13" s="59"/>
      <c r="Q13" s="59"/>
    </row>
    <row r="14" spans="1:25" ht="15.6" customHeight="1">
      <c r="A14" s="51"/>
      <c r="B14" s="60"/>
      <c r="C14" s="61"/>
      <c r="D14" s="62"/>
      <c r="E14" s="60"/>
      <c r="F14" s="55"/>
      <c r="G14" s="55"/>
      <c r="H14" s="55"/>
      <c r="I14" s="55"/>
      <c r="J14" s="55"/>
      <c r="K14" s="55"/>
      <c r="L14" s="155"/>
      <c r="M14" s="151"/>
      <c r="N14" s="156"/>
      <c r="O14" s="58"/>
      <c r="P14" s="59"/>
      <c r="Q14" s="59"/>
    </row>
    <row r="15" spans="1:25" ht="15.6" customHeight="1">
      <c r="A15" s="51"/>
      <c r="B15" s="60"/>
      <c r="C15" s="154"/>
      <c r="D15" s="153"/>
      <c r="E15" s="60"/>
      <c r="F15" s="55"/>
      <c r="G15" s="55"/>
      <c r="H15" s="55"/>
      <c r="I15" s="55"/>
      <c r="J15" s="55"/>
      <c r="K15" s="55"/>
      <c r="L15" s="155"/>
      <c r="M15" s="151"/>
      <c r="N15" s="156"/>
      <c r="O15" s="161"/>
      <c r="P15" s="59"/>
      <c r="Q15" s="59"/>
    </row>
    <row r="16" spans="1:25" ht="15.6" customHeight="1">
      <c r="A16" s="51"/>
      <c r="B16" s="60"/>
      <c r="C16" s="61"/>
      <c r="D16" s="62"/>
      <c r="E16" s="60"/>
      <c r="F16" s="55"/>
      <c r="G16" s="55"/>
      <c r="H16" s="55"/>
      <c r="I16" s="55"/>
      <c r="J16" s="55"/>
      <c r="K16" s="55"/>
      <c r="L16" s="55"/>
      <c r="M16" s="55"/>
      <c r="N16" s="57"/>
      <c r="O16" s="58"/>
      <c r="P16" s="59"/>
      <c r="Q16" s="59"/>
    </row>
    <row r="17" spans="1:17" ht="15.6" customHeight="1">
      <c r="A17" s="51"/>
      <c r="B17" s="60"/>
      <c r="C17" s="61"/>
      <c r="D17" s="62"/>
      <c r="E17" s="60"/>
      <c r="F17" s="55"/>
      <c r="G17" s="55"/>
      <c r="H17" s="55"/>
      <c r="I17" s="55"/>
      <c r="J17" s="55"/>
      <c r="K17" s="55"/>
      <c r="L17" s="155"/>
      <c r="M17" s="151"/>
      <c r="N17" s="156"/>
      <c r="O17" s="58"/>
      <c r="P17" s="59"/>
      <c r="Q17" s="59"/>
    </row>
    <row r="18" spans="1:17" ht="15.6" customHeight="1">
      <c r="A18" s="51"/>
      <c r="B18" s="60"/>
      <c r="C18" s="154"/>
      <c r="D18" s="153"/>
      <c r="E18" s="60"/>
      <c r="F18" s="55"/>
      <c r="G18" s="55"/>
      <c r="H18" s="55"/>
      <c r="I18" s="55"/>
      <c r="J18" s="55"/>
      <c r="K18" s="55"/>
      <c r="L18" s="155"/>
      <c r="M18" s="151"/>
      <c r="N18" s="156"/>
      <c r="O18" s="161"/>
      <c r="P18" s="59"/>
      <c r="Q18" s="59"/>
    </row>
    <row r="19" spans="1:17" ht="15.6" customHeight="1">
      <c r="A19" s="51"/>
      <c r="B19" s="60"/>
      <c r="C19" s="61"/>
      <c r="D19" s="62"/>
      <c r="E19" s="60"/>
      <c r="F19" s="55"/>
      <c r="G19" s="55"/>
      <c r="H19" s="55"/>
      <c r="I19" s="55"/>
      <c r="J19" s="55"/>
      <c r="K19" s="55"/>
      <c r="L19" s="55"/>
      <c r="M19" s="55"/>
      <c r="N19" s="57"/>
      <c r="O19" s="58"/>
      <c r="P19" s="59"/>
      <c r="Q19" s="59"/>
    </row>
    <row r="20" spans="1:17" ht="15.6" customHeight="1">
      <c r="A20" s="51"/>
      <c r="B20" s="60"/>
      <c r="C20" s="61"/>
      <c r="D20" s="62"/>
      <c r="E20" s="60"/>
      <c r="F20" s="55"/>
      <c r="G20" s="55"/>
      <c r="H20" s="55"/>
      <c r="I20" s="55"/>
      <c r="J20" s="55"/>
      <c r="K20" s="55"/>
      <c r="L20" s="152"/>
      <c r="M20" s="55"/>
      <c r="N20" s="156"/>
      <c r="O20" s="58"/>
      <c r="P20" s="59"/>
      <c r="Q20" s="59"/>
    </row>
    <row r="21" spans="1:17" ht="15.6" customHeight="1">
      <c r="A21" s="51"/>
      <c r="B21" s="60"/>
      <c r="C21" s="154"/>
      <c r="D21" s="153"/>
      <c r="E21" s="60"/>
      <c r="F21" s="55"/>
      <c r="G21" s="55"/>
      <c r="H21" s="55"/>
      <c r="I21" s="55"/>
      <c r="J21" s="55"/>
      <c r="K21" s="55"/>
      <c r="L21" s="152"/>
      <c r="M21" s="55"/>
      <c r="N21" s="156"/>
      <c r="O21" s="157"/>
      <c r="P21" s="59"/>
      <c r="Q21" s="59"/>
    </row>
    <row r="22" spans="1:17" ht="15.6" customHeight="1">
      <c r="A22" s="51"/>
      <c r="B22" s="60"/>
      <c r="C22" s="61"/>
      <c r="D22" s="62"/>
      <c r="E22" s="60"/>
      <c r="F22" s="55"/>
      <c r="G22" s="55"/>
      <c r="H22" s="55"/>
      <c r="I22" s="55"/>
      <c r="J22" s="55"/>
      <c r="K22" s="55"/>
      <c r="L22" s="55"/>
      <c r="M22" s="55"/>
      <c r="N22" s="57"/>
      <c r="O22" s="58"/>
      <c r="P22" s="59"/>
      <c r="Q22" s="59"/>
    </row>
    <row r="23" spans="1:17" ht="15.6" customHeight="1">
      <c r="A23" s="51"/>
      <c r="B23" s="60"/>
      <c r="C23" s="61"/>
      <c r="D23" s="62"/>
      <c r="E23" s="60"/>
      <c r="F23" s="55"/>
      <c r="G23" s="55"/>
      <c r="H23" s="55"/>
      <c r="I23" s="55"/>
      <c r="J23" s="55"/>
      <c r="K23" s="55"/>
      <c r="L23" s="152"/>
      <c r="M23" s="55"/>
      <c r="N23" s="156"/>
      <c r="O23" s="58"/>
      <c r="P23" s="59"/>
      <c r="Q23" s="59"/>
    </row>
    <row r="24" spans="1:17" ht="15.6" customHeight="1">
      <c r="A24" s="51"/>
      <c r="B24" s="60"/>
      <c r="C24" s="154"/>
      <c r="D24" s="153"/>
      <c r="E24" s="60"/>
      <c r="F24" s="55"/>
      <c r="G24" s="55"/>
      <c r="H24" s="55"/>
      <c r="I24" s="55"/>
      <c r="J24" s="55"/>
      <c r="K24" s="55"/>
      <c r="L24" s="152"/>
      <c r="M24" s="55"/>
      <c r="N24" s="156"/>
      <c r="O24" s="157"/>
      <c r="P24" s="59"/>
      <c r="Q24" s="59"/>
    </row>
    <row r="25" spans="1:17" ht="15.6" customHeight="1">
      <c r="A25" s="51"/>
      <c r="B25" s="60"/>
      <c r="C25" s="61"/>
      <c r="D25" s="62"/>
      <c r="E25" s="60"/>
      <c r="F25" s="55"/>
      <c r="G25" s="55"/>
      <c r="H25" s="55"/>
      <c r="I25" s="55"/>
      <c r="J25" s="55"/>
      <c r="K25" s="55"/>
      <c r="L25" s="55"/>
      <c r="M25" s="55"/>
      <c r="N25" s="57"/>
      <c r="O25" s="58"/>
      <c r="P25" s="59"/>
      <c r="Q25" s="59"/>
    </row>
    <row r="26" spans="1:17" ht="15.6" customHeight="1">
      <c r="A26" s="51"/>
      <c r="B26" s="60"/>
      <c r="C26" s="61"/>
      <c r="D26" s="62"/>
      <c r="E26" s="60"/>
      <c r="F26" s="55"/>
      <c r="G26" s="55"/>
      <c r="H26" s="55"/>
      <c r="I26" s="55"/>
      <c r="J26" s="55"/>
      <c r="K26" s="55"/>
      <c r="L26" s="152"/>
      <c r="M26" s="55"/>
      <c r="N26" s="156"/>
      <c r="O26" s="58"/>
      <c r="P26" s="59"/>
      <c r="Q26" s="59"/>
    </row>
    <row r="27" spans="1:17" ht="15.6" customHeight="1">
      <c r="A27" s="51"/>
      <c r="B27" s="60"/>
      <c r="C27" s="154"/>
      <c r="D27" s="153"/>
      <c r="E27" s="60"/>
      <c r="F27" s="55"/>
      <c r="G27" s="55"/>
      <c r="H27" s="55"/>
      <c r="I27" s="55"/>
      <c r="J27" s="55"/>
      <c r="K27" s="55"/>
      <c r="L27" s="152"/>
      <c r="M27" s="55"/>
      <c r="N27" s="156"/>
      <c r="O27" s="157"/>
      <c r="P27" s="59"/>
      <c r="Q27" s="59"/>
    </row>
    <row r="28" spans="1:17" ht="15.6" customHeight="1">
      <c r="A28" s="51"/>
      <c r="B28" s="60"/>
      <c r="C28" s="61"/>
      <c r="D28" s="62"/>
      <c r="E28" s="60"/>
      <c r="F28" s="55"/>
      <c r="G28" s="55"/>
      <c r="H28" s="55"/>
      <c r="I28" s="55"/>
      <c r="J28" s="55"/>
      <c r="K28" s="55"/>
      <c r="L28" s="55"/>
      <c r="M28" s="55"/>
      <c r="N28" s="57"/>
      <c r="O28" s="58"/>
      <c r="P28" s="59"/>
      <c r="Q28" s="59"/>
    </row>
    <row r="29" spans="1:17" ht="15.6" customHeight="1">
      <c r="A29" s="51"/>
      <c r="B29" s="60"/>
      <c r="C29" s="61"/>
      <c r="D29" s="62"/>
      <c r="E29" s="60"/>
      <c r="F29" s="55"/>
      <c r="G29" s="55"/>
      <c r="H29" s="55"/>
      <c r="I29" s="55"/>
      <c r="J29" s="55"/>
      <c r="K29" s="55"/>
      <c r="L29" s="152"/>
      <c r="M29" s="55"/>
      <c r="N29" s="156"/>
      <c r="O29" s="58"/>
      <c r="P29" s="59"/>
      <c r="Q29" s="59"/>
    </row>
    <row r="30" spans="1:17" ht="15.6" customHeight="1">
      <c r="A30" s="51"/>
      <c r="B30" s="60"/>
      <c r="C30" s="154"/>
      <c r="D30" s="153"/>
      <c r="E30" s="60"/>
      <c r="F30" s="55"/>
      <c r="G30" s="55"/>
      <c r="H30" s="55"/>
      <c r="I30" s="55"/>
      <c r="J30" s="55"/>
      <c r="K30" s="55"/>
      <c r="L30" s="152"/>
      <c r="M30" s="55"/>
      <c r="N30" s="156"/>
      <c r="O30" s="161"/>
      <c r="P30" s="59"/>
      <c r="Q30" s="59"/>
    </row>
    <row r="31" spans="1:17" ht="15.6" customHeight="1">
      <c r="A31" s="51"/>
      <c r="B31" s="60"/>
      <c r="C31" s="61"/>
      <c r="D31" s="62"/>
      <c r="E31" s="60"/>
      <c r="F31" s="55"/>
      <c r="G31" s="55"/>
      <c r="H31" s="55"/>
      <c r="I31" s="55"/>
      <c r="J31" s="55"/>
      <c r="K31" s="55"/>
      <c r="L31" s="55"/>
      <c r="M31" s="55"/>
      <c r="N31" s="57"/>
      <c r="O31" s="58"/>
      <c r="P31" s="59"/>
      <c r="Q31" s="59"/>
    </row>
    <row r="32" spans="1:17" ht="15.6" customHeight="1">
      <c r="A32" s="51"/>
      <c r="B32" s="60"/>
      <c r="C32" s="61"/>
      <c r="D32" s="62"/>
      <c r="E32" s="60"/>
      <c r="F32" s="55"/>
      <c r="G32" s="55"/>
      <c r="H32" s="55"/>
      <c r="I32" s="55"/>
      <c r="J32" s="55"/>
      <c r="K32" s="55"/>
      <c r="L32" s="152"/>
      <c r="M32" s="55"/>
      <c r="N32" s="156"/>
      <c r="O32" s="58"/>
      <c r="P32" s="59"/>
      <c r="Q32" s="59"/>
    </row>
    <row r="33" spans="1:17" ht="15.6" customHeight="1">
      <c r="A33" s="51"/>
      <c r="B33" s="60"/>
      <c r="C33" s="154"/>
      <c r="D33" s="153"/>
      <c r="E33" s="60"/>
      <c r="F33" s="55"/>
      <c r="G33" s="55"/>
      <c r="H33" s="55"/>
      <c r="I33" s="55"/>
      <c r="J33" s="55"/>
      <c r="K33" s="55"/>
      <c r="L33" s="152"/>
      <c r="M33" s="55"/>
      <c r="N33" s="156"/>
      <c r="O33" s="161"/>
      <c r="P33" s="59"/>
      <c r="Q33" s="59"/>
    </row>
    <row r="34" spans="1:17" ht="15.6" customHeight="1">
      <c r="A34" s="51"/>
      <c r="B34" s="60"/>
      <c r="C34" s="61"/>
      <c r="D34" s="62"/>
      <c r="E34" s="60"/>
      <c r="F34" s="55"/>
      <c r="G34" s="55"/>
      <c r="H34" s="55"/>
      <c r="I34" s="55"/>
      <c r="J34" s="55"/>
      <c r="K34" s="55"/>
      <c r="L34" s="55"/>
      <c r="M34" s="55"/>
      <c r="N34" s="57"/>
      <c r="O34" s="58"/>
      <c r="P34" s="59"/>
      <c r="Q34" s="59"/>
    </row>
    <row r="35" spans="1:17" ht="15.6" customHeight="1">
      <c r="A35" s="51"/>
      <c r="B35" s="60"/>
      <c r="C35" s="61"/>
      <c r="D35" s="62"/>
      <c r="E35" s="60"/>
      <c r="F35" s="55"/>
      <c r="G35" s="55"/>
      <c r="H35" s="55"/>
      <c r="I35" s="55"/>
      <c r="J35" s="55"/>
      <c r="K35" s="55"/>
      <c r="L35" s="152"/>
      <c r="M35" s="55"/>
      <c r="N35" s="156"/>
      <c r="O35" s="58"/>
      <c r="P35" s="59"/>
      <c r="Q35" s="59"/>
    </row>
    <row r="36" spans="1:17" ht="15.6" customHeight="1">
      <c r="A36" s="65"/>
      <c r="B36" s="66"/>
      <c r="C36" s="164"/>
      <c r="D36" s="165"/>
      <c r="E36" s="166"/>
      <c r="F36" s="69"/>
      <c r="G36" s="69"/>
      <c r="H36" s="69"/>
      <c r="I36" s="69"/>
      <c r="J36" s="69"/>
      <c r="K36" s="69"/>
      <c r="L36" s="167"/>
      <c r="M36" s="69"/>
      <c r="N36" s="163"/>
      <c r="O36" s="162"/>
      <c r="P36" s="72"/>
      <c r="Q36" s="72"/>
    </row>
    <row r="38" spans="1:17">
      <c r="F38" s="6"/>
    </row>
  </sheetData>
  <mergeCells count="2">
    <mergeCell ref="A8:A10"/>
    <mergeCell ref="N9:P9"/>
  </mergeCells>
  <printOptions horizontalCentered="1" verticalCentered="1"/>
  <pageMargins left="3.937007874015748E-2" right="3.937007874015748E-2" top="0.19685039370078741" bottom="0" header="0.19685039370078741" footer="0.23622047244094491"/>
  <pageSetup paperSize="9" orientation="landscape" r:id="rId1"/>
  <headerFooter alignWithMargins="0">
    <oddFooter>&amp;LFile &amp;F        Date &amp;D&amp;RPage 1 of 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Import_DNA_btn">
                <anchor moveWithCells="1" sizeWithCells="1">
                  <from>
                    <xdr:col>17</xdr:col>
                    <xdr:colOff>76200</xdr:colOff>
                    <xdr:row>0</xdr:row>
                    <xdr:rowOff>142875</xdr:rowOff>
                  </from>
                  <to>
                    <xdr:col>19</xdr:col>
                    <xdr:colOff>47625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Update_From_SLIP_btn">
                <anchor moveWithCells="1" sizeWithCells="1">
                  <from>
                    <xdr:col>17</xdr:col>
                    <xdr:colOff>66675</xdr:colOff>
                    <xdr:row>2</xdr:row>
                    <xdr:rowOff>133350</xdr:rowOff>
                  </from>
                  <to>
                    <xdr:col>19</xdr:col>
                    <xdr:colOff>38100</xdr:colOff>
                    <xdr:row>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6" name="Button 3">
              <controlPr defaultSize="0" print="0" autoFill="0" autoPict="0" macro="[0]!Update_Formulas_btn">
                <anchor moveWithCells="1" sizeWithCells="1">
                  <from>
                    <xdr:col>17</xdr:col>
                    <xdr:colOff>66675</xdr:colOff>
                    <xdr:row>4</xdr:row>
                    <xdr:rowOff>123825</xdr:rowOff>
                  </from>
                  <to>
                    <xdr:col>19</xdr:col>
                    <xdr:colOff>38100</xdr:colOff>
                    <xdr:row>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7" name="GES">
              <controlPr defaultSize="0" print="0" autoFill="0" autoPict="0" macro="[0]!Update_From_GES_btn">
                <anchor moveWithCells="1" sizeWithCells="1">
                  <from>
                    <xdr:col>19</xdr:col>
                    <xdr:colOff>85725</xdr:colOff>
                    <xdr:row>2</xdr:row>
                    <xdr:rowOff>123825</xdr:rowOff>
                  </from>
                  <to>
                    <xdr:col>19</xdr:col>
                    <xdr:colOff>476250</xdr:colOff>
                    <xdr:row>4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AA36"/>
  <sheetViews>
    <sheetView zoomScaleNormal="100" workbookViewId="0"/>
  </sheetViews>
  <sheetFormatPr defaultColWidth="9.140625" defaultRowHeight="12.75"/>
  <cols>
    <col min="1" max="1" width="3.5703125" style="6" customWidth="1"/>
    <col min="2" max="2" width="7.28515625" style="126" customWidth="1"/>
    <col min="3" max="3" width="10.42578125" style="126" customWidth="1"/>
    <col min="4" max="4" width="10.42578125" style="127" customWidth="1"/>
    <col min="5" max="5" width="7.28515625" style="126" customWidth="1"/>
    <col min="6" max="6" width="9.28515625" style="125" customWidth="1"/>
    <col min="7" max="10" width="9.28515625" style="126" customWidth="1"/>
    <col min="11" max="11" width="11.140625" style="118" customWidth="1"/>
    <col min="12" max="12" width="11.42578125" style="118" customWidth="1"/>
    <col min="13" max="13" width="11.140625" style="128" customWidth="1"/>
    <col min="14" max="14" width="26.140625" style="118" customWidth="1"/>
    <col min="15" max="15" width="6.28515625" style="118" hidden="1" customWidth="1"/>
    <col min="16" max="16" width="0" style="118" hidden="1" customWidth="1"/>
    <col min="17" max="17" width="10" style="169" customWidth="1"/>
    <col min="18" max="18" width="9.140625" style="170"/>
    <col min="19" max="19" width="9.140625" style="118"/>
    <col min="20" max="20" width="9.140625" style="170"/>
    <col min="21" max="21" width="9.140625" style="118"/>
    <col min="22" max="22" width="11.7109375" style="118" bestFit="1" customWidth="1"/>
    <col min="23" max="23" width="9.85546875" style="170" bestFit="1" customWidth="1"/>
    <col min="24" max="24" width="9.140625" style="130"/>
    <col min="25" max="16384" width="9.140625" style="118"/>
  </cols>
  <sheetData>
    <row r="1" spans="1:27" s="6" customFormat="1">
      <c r="A1" s="1"/>
      <c r="B1" s="2"/>
      <c r="C1" s="2"/>
      <c r="D1" s="3"/>
      <c r="E1" s="2"/>
      <c r="F1" s="4"/>
      <c r="G1" s="2"/>
      <c r="H1" s="2"/>
      <c r="I1" s="5"/>
      <c r="J1" s="2"/>
      <c r="K1" s="2"/>
      <c r="L1" s="2"/>
      <c r="M1" s="5"/>
      <c r="N1" s="2"/>
      <c r="Q1" s="161"/>
      <c r="R1" s="170"/>
      <c r="S1" s="118"/>
      <c r="T1" s="170"/>
      <c r="U1" s="118"/>
      <c r="V1" s="118"/>
      <c r="W1" s="170"/>
      <c r="X1" s="130"/>
    </row>
    <row r="2" spans="1:27" s="6" customFormat="1">
      <c r="A2" s="8" t="s">
        <v>30</v>
      </c>
      <c r="B2" s="8"/>
      <c r="C2" s="8"/>
      <c r="D2" s="9"/>
      <c r="E2" s="5"/>
      <c r="F2" s="10" t="s">
        <v>0</v>
      </c>
      <c r="G2" s="8"/>
      <c r="H2" s="5"/>
      <c r="I2" s="5"/>
      <c r="J2" s="5"/>
      <c r="K2" s="8"/>
      <c r="M2" s="8" t="s">
        <v>31</v>
      </c>
      <c r="N2" s="8"/>
      <c r="O2" s="5"/>
      <c r="Q2" s="161"/>
      <c r="R2" s="170"/>
      <c r="S2" s="118"/>
      <c r="T2" s="170"/>
      <c r="U2" s="118"/>
      <c r="V2" s="118"/>
      <c r="W2" s="170"/>
      <c r="X2" s="130"/>
    </row>
    <row r="3" spans="1:27" s="6" customFormat="1">
      <c r="A3" s="8"/>
      <c r="B3" s="8"/>
      <c r="C3" s="8"/>
      <c r="D3" s="9"/>
      <c r="E3" s="5"/>
      <c r="F3" s="11"/>
      <c r="G3" s="5"/>
      <c r="H3" s="5"/>
      <c r="I3" s="5"/>
      <c r="J3" s="5"/>
      <c r="K3" s="5"/>
      <c r="L3" s="5"/>
      <c r="M3" s="5"/>
      <c r="N3" s="5"/>
      <c r="Q3" s="161"/>
      <c r="R3" s="170"/>
      <c r="S3" s="118"/>
      <c r="T3" s="170"/>
      <c r="U3" s="118"/>
      <c r="V3" s="118"/>
      <c r="W3" s="170"/>
      <c r="X3" s="130"/>
    </row>
    <row r="4" spans="1:27" s="6" customFormat="1">
      <c r="A4" s="8" t="s">
        <v>32</v>
      </c>
      <c r="B4" s="5"/>
      <c r="C4" s="5"/>
      <c r="D4" s="12"/>
      <c r="E4" s="5"/>
      <c r="F4" s="10" t="s">
        <v>33</v>
      </c>
      <c r="G4" s="5"/>
      <c r="H4" s="5"/>
      <c r="I4" s="5"/>
      <c r="J4" s="5"/>
      <c r="K4" s="8"/>
      <c r="M4" s="8" t="s">
        <v>34</v>
      </c>
      <c r="N4" s="8"/>
      <c r="O4" s="5"/>
      <c r="Q4" s="161"/>
      <c r="R4" s="170"/>
      <c r="S4" s="118"/>
      <c r="T4" s="170"/>
      <c r="U4" s="118"/>
      <c r="V4" s="118"/>
      <c r="W4" s="170"/>
      <c r="X4" s="130"/>
    </row>
    <row r="5" spans="1:27" s="6" customFormat="1">
      <c r="A5" s="5"/>
      <c r="B5" s="5"/>
      <c r="C5" s="5"/>
      <c r="D5" s="12"/>
      <c r="E5" s="5"/>
      <c r="F5" s="11"/>
      <c r="G5" s="5"/>
      <c r="H5" s="5"/>
      <c r="I5" s="5"/>
      <c r="J5" s="5"/>
      <c r="K5" s="5"/>
      <c r="L5" s="5"/>
      <c r="M5" s="5"/>
      <c r="N5" s="5"/>
      <c r="Q5" s="161"/>
      <c r="R5" s="170"/>
      <c r="S5" s="118"/>
      <c r="T5" s="170"/>
      <c r="U5" s="118"/>
      <c r="V5" s="118"/>
      <c r="W5" s="170"/>
      <c r="X5" s="130"/>
    </row>
    <row r="6" spans="1:27" s="6" customFormat="1">
      <c r="A6" s="8" t="s">
        <v>35</v>
      </c>
      <c r="B6" s="5"/>
      <c r="C6" s="5"/>
      <c r="D6" s="12"/>
      <c r="E6" s="5"/>
      <c r="F6" s="10" t="s">
        <v>36</v>
      </c>
      <c r="G6" s="8"/>
      <c r="H6" s="13" t="s">
        <v>19</v>
      </c>
      <c r="I6" s="14">
        <v>1</v>
      </c>
      <c r="K6" s="15" t="s">
        <v>37</v>
      </c>
      <c r="L6" s="8"/>
      <c r="M6" s="8" t="s">
        <v>38</v>
      </c>
      <c r="N6" s="8"/>
      <c r="O6" s="5"/>
      <c r="Q6" s="161"/>
      <c r="R6" s="170"/>
      <c r="S6" s="118"/>
      <c r="T6" s="170"/>
      <c r="U6" s="118"/>
      <c r="V6" s="118"/>
      <c r="W6" s="170"/>
      <c r="X6" s="130"/>
    </row>
    <row r="7" spans="1:27" s="6" customFormat="1" ht="12.75" customHeight="1">
      <c r="A7" s="16"/>
      <c r="B7" s="16"/>
      <c r="C7" s="16"/>
      <c r="D7" s="17"/>
      <c r="E7" s="16"/>
      <c r="F7" s="18"/>
      <c r="G7" s="18"/>
      <c r="H7" s="19" t="s">
        <v>20</v>
      </c>
      <c r="I7" s="20">
        <v>1.0000000000000001E-5</v>
      </c>
      <c r="J7" s="16"/>
      <c r="K7" s="21" t="s">
        <v>56</v>
      </c>
      <c r="L7" s="22">
        <v>25</v>
      </c>
      <c r="M7" s="16"/>
      <c r="N7" s="16"/>
      <c r="P7" s="7"/>
      <c r="Q7" s="161"/>
      <c r="R7" s="170"/>
      <c r="S7" s="118"/>
      <c r="T7" s="170"/>
      <c r="U7" s="118"/>
      <c r="V7" s="118"/>
      <c r="W7" s="170"/>
      <c r="X7" s="130"/>
    </row>
    <row r="8" spans="1:27" s="100" customFormat="1" ht="15.6" customHeight="1">
      <c r="A8" s="88" t="s">
        <v>22</v>
      </c>
      <c r="B8" s="89"/>
      <c r="C8" s="90"/>
      <c r="D8" s="91"/>
      <c r="E8" s="92" t="s">
        <v>2</v>
      </c>
      <c r="F8" s="93" t="s">
        <v>3</v>
      </c>
      <c r="G8" s="94"/>
      <c r="H8" s="95"/>
      <c r="I8" s="96"/>
      <c r="J8" s="97"/>
      <c r="K8" s="94" t="s">
        <v>5</v>
      </c>
      <c r="L8" s="98"/>
      <c r="M8" s="98"/>
      <c r="N8" s="99"/>
      <c r="Q8" s="161"/>
      <c r="R8" s="170"/>
      <c r="S8" s="118"/>
      <c r="T8" s="170"/>
      <c r="U8" s="118"/>
      <c r="V8" s="118"/>
      <c r="W8" s="170"/>
      <c r="X8" s="130"/>
      <c r="Y8" s="6"/>
    </row>
    <row r="9" spans="1:27" s="107" customFormat="1" ht="15.6" customHeight="1">
      <c r="A9" s="101" t="s">
        <v>22</v>
      </c>
      <c r="B9" s="36" t="s">
        <v>6</v>
      </c>
      <c r="C9" s="102" t="s">
        <v>1</v>
      </c>
      <c r="D9" s="103" t="s">
        <v>23</v>
      </c>
      <c r="E9" s="36" t="s">
        <v>6</v>
      </c>
      <c r="F9" s="104" t="s">
        <v>7</v>
      </c>
      <c r="G9" s="105" t="s">
        <v>8</v>
      </c>
      <c r="H9" s="41"/>
      <c r="I9" s="41" t="s">
        <v>9</v>
      </c>
      <c r="J9" s="41" t="s">
        <v>24</v>
      </c>
      <c r="K9" s="106"/>
      <c r="L9" s="106"/>
      <c r="M9" s="106"/>
      <c r="N9" s="37" t="s">
        <v>10</v>
      </c>
      <c r="Q9" s="161"/>
      <c r="R9" s="170"/>
      <c r="S9" s="118"/>
      <c r="T9" s="170"/>
      <c r="U9" s="118"/>
      <c r="V9" s="118"/>
      <c r="W9" s="170"/>
      <c r="X9" s="130"/>
      <c r="Y9" s="6"/>
    </row>
    <row r="10" spans="1:27" s="107" customFormat="1" ht="15.6" customHeight="1">
      <c r="A10" s="108" t="s">
        <v>22</v>
      </c>
      <c r="B10" s="159" t="s">
        <v>11</v>
      </c>
      <c r="C10" s="109"/>
      <c r="D10" s="110"/>
      <c r="E10" s="111" t="s">
        <v>13</v>
      </c>
      <c r="F10" s="160"/>
      <c r="G10" s="41" t="s">
        <v>7</v>
      </c>
      <c r="H10" s="36" t="s">
        <v>14</v>
      </c>
      <c r="I10" s="111" t="s">
        <v>14</v>
      </c>
      <c r="J10" s="36" t="s">
        <v>25</v>
      </c>
      <c r="K10" s="108" t="s">
        <v>26</v>
      </c>
      <c r="L10" s="36" t="s">
        <v>17</v>
      </c>
      <c r="M10" s="36" t="s">
        <v>18</v>
      </c>
      <c r="N10" s="113"/>
      <c r="Q10" s="173"/>
      <c r="R10" s="171" t="s">
        <v>62</v>
      </c>
      <c r="S10" s="172" t="s">
        <v>63</v>
      </c>
      <c r="T10" s="171" t="s">
        <v>64</v>
      </c>
      <c r="U10" s="172" t="s">
        <v>65</v>
      </c>
      <c r="V10" s="172" t="s">
        <v>66</v>
      </c>
      <c r="W10" s="171" t="s">
        <v>67</v>
      </c>
      <c r="X10" s="171" t="s">
        <v>68</v>
      </c>
      <c r="Y10" s="188" t="s">
        <v>69</v>
      </c>
      <c r="Z10" s="188"/>
      <c r="AA10" s="188"/>
    </row>
    <row r="11" spans="1:27" ht="15.6" customHeight="1">
      <c r="A11" s="51"/>
      <c r="B11" s="60"/>
      <c r="C11" s="61"/>
      <c r="D11" s="62"/>
      <c r="E11" s="60"/>
      <c r="F11" s="55"/>
      <c r="G11" s="55"/>
      <c r="H11" s="55"/>
      <c r="I11" s="55"/>
      <c r="J11" s="55"/>
      <c r="K11" s="151"/>
      <c r="L11" s="55"/>
      <c r="M11" s="115"/>
      <c r="N11" s="57"/>
      <c r="O11" s="51"/>
      <c r="P11" s="60"/>
      <c r="Q11" s="161"/>
    </row>
    <row r="12" spans="1:27" ht="15.6" customHeight="1">
      <c r="A12" s="51"/>
      <c r="B12" s="60"/>
      <c r="C12" s="61"/>
      <c r="D12" s="62"/>
      <c r="E12" s="60"/>
      <c r="F12" s="55"/>
      <c r="G12" s="55"/>
      <c r="H12" s="55"/>
      <c r="I12" s="55"/>
      <c r="J12" s="55"/>
      <c r="K12" s="151"/>
      <c r="L12" s="55"/>
      <c r="M12" s="115"/>
      <c r="N12" s="57"/>
      <c r="O12" s="51"/>
      <c r="P12" s="60"/>
      <c r="Q12" s="161"/>
    </row>
    <row r="13" spans="1:27" ht="15.6" customHeight="1">
      <c r="A13" s="51"/>
      <c r="B13" s="60"/>
      <c r="C13" s="61"/>
      <c r="D13" s="62"/>
      <c r="E13" s="60"/>
      <c r="F13" s="55"/>
      <c r="G13" s="55"/>
      <c r="H13" s="55"/>
      <c r="I13" s="55"/>
      <c r="J13" s="55"/>
      <c r="K13" s="151"/>
      <c r="L13" s="55"/>
      <c r="M13" s="115"/>
      <c r="N13" s="57"/>
      <c r="O13" s="51"/>
      <c r="P13" s="60"/>
      <c r="Q13" s="161"/>
    </row>
    <row r="14" spans="1:27" ht="15.6" customHeight="1">
      <c r="A14" s="51"/>
      <c r="B14" s="60"/>
      <c r="C14" s="61"/>
      <c r="D14" s="62"/>
      <c r="E14" s="60"/>
      <c r="F14" s="55"/>
      <c r="G14" s="55"/>
      <c r="H14" s="55"/>
      <c r="I14" s="55"/>
      <c r="J14" s="55"/>
      <c r="K14" s="151"/>
      <c r="L14" s="55"/>
      <c r="M14" s="115"/>
      <c r="N14" s="57"/>
      <c r="O14" s="51"/>
      <c r="P14" s="60"/>
      <c r="Q14" s="161"/>
    </row>
    <row r="15" spans="1:27" ht="15.6" customHeight="1">
      <c r="A15" s="51"/>
      <c r="B15" s="60"/>
      <c r="C15" s="61"/>
      <c r="D15" s="62"/>
      <c r="E15" s="60"/>
      <c r="F15" s="55"/>
      <c r="G15" s="55"/>
      <c r="H15" s="55"/>
      <c r="I15" s="55"/>
      <c r="J15" s="55"/>
      <c r="K15" s="151"/>
      <c r="L15" s="55"/>
      <c r="M15" s="115"/>
      <c r="N15" s="57"/>
      <c r="O15" s="51"/>
      <c r="P15" s="60"/>
      <c r="Q15" s="161"/>
    </row>
    <row r="16" spans="1:27" ht="15.6" customHeight="1">
      <c r="A16" s="51"/>
      <c r="B16" s="60"/>
      <c r="C16" s="61"/>
      <c r="D16" s="62"/>
      <c r="E16" s="60"/>
      <c r="F16" s="55"/>
      <c r="G16" s="55"/>
      <c r="H16" s="55"/>
      <c r="I16" s="55"/>
      <c r="J16" s="55"/>
      <c r="K16" s="151"/>
      <c r="L16" s="55"/>
      <c r="M16" s="115"/>
      <c r="N16" s="57"/>
      <c r="O16" s="51"/>
      <c r="P16" s="60"/>
      <c r="Q16" s="161"/>
    </row>
    <row r="17" spans="1:17" ht="15.6" customHeight="1">
      <c r="A17" s="51"/>
      <c r="B17" s="60"/>
      <c r="C17" s="61"/>
      <c r="D17" s="62"/>
      <c r="E17" s="60"/>
      <c r="F17" s="55"/>
      <c r="G17" s="55"/>
      <c r="H17" s="55"/>
      <c r="I17" s="55"/>
      <c r="J17" s="55"/>
      <c r="K17" s="151"/>
      <c r="L17" s="55"/>
      <c r="M17" s="115"/>
      <c r="N17" s="57"/>
      <c r="O17" s="51"/>
      <c r="P17" s="60"/>
      <c r="Q17" s="161"/>
    </row>
    <row r="18" spans="1:17" ht="15.6" customHeight="1">
      <c r="A18" s="51"/>
      <c r="B18" s="60"/>
      <c r="C18" s="61"/>
      <c r="D18" s="62"/>
      <c r="E18" s="60"/>
      <c r="F18" s="55"/>
      <c r="G18" s="55"/>
      <c r="H18" s="55"/>
      <c r="I18" s="55"/>
      <c r="J18" s="55"/>
      <c r="K18" s="151"/>
      <c r="L18" s="55"/>
      <c r="M18" s="115"/>
      <c r="N18" s="57"/>
      <c r="O18" s="51"/>
      <c r="P18" s="60"/>
      <c r="Q18" s="161"/>
    </row>
    <row r="19" spans="1:17" ht="15.6" customHeight="1">
      <c r="A19" s="51"/>
      <c r="B19" s="60"/>
      <c r="C19" s="61"/>
      <c r="D19" s="62"/>
      <c r="E19" s="60"/>
      <c r="F19" s="55"/>
      <c r="G19" s="55"/>
      <c r="H19" s="55"/>
      <c r="I19" s="55"/>
      <c r="J19" s="55"/>
      <c r="K19" s="151"/>
      <c r="L19" s="55"/>
      <c r="M19" s="115"/>
      <c r="N19" s="57"/>
      <c r="O19" s="51"/>
      <c r="P19" s="60"/>
      <c r="Q19" s="161"/>
    </row>
    <row r="20" spans="1:17" ht="15.6" customHeight="1">
      <c r="A20" s="51"/>
      <c r="B20" s="60"/>
      <c r="C20" s="61"/>
      <c r="D20" s="62"/>
      <c r="E20" s="60"/>
      <c r="F20" s="55"/>
      <c r="G20" s="55"/>
      <c r="H20" s="55"/>
      <c r="I20" s="55"/>
      <c r="J20" s="55"/>
      <c r="K20" s="151"/>
      <c r="L20" s="55"/>
      <c r="M20" s="115"/>
      <c r="N20" s="57"/>
      <c r="O20" s="51"/>
      <c r="P20" s="60"/>
      <c r="Q20" s="161"/>
    </row>
    <row r="21" spans="1:17" ht="15.6" customHeight="1">
      <c r="A21" s="51"/>
      <c r="B21" s="60"/>
      <c r="C21" s="61"/>
      <c r="D21" s="62"/>
      <c r="E21" s="60"/>
      <c r="F21" s="55"/>
      <c r="G21" s="55"/>
      <c r="H21" s="55"/>
      <c r="I21" s="55"/>
      <c r="J21" s="55"/>
      <c r="K21" s="151"/>
      <c r="L21" s="55"/>
      <c r="M21" s="115"/>
      <c r="N21" s="57"/>
      <c r="O21" s="51"/>
      <c r="P21" s="60"/>
      <c r="Q21" s="161"/>
    </row>
    <row r="22" spans="1:17" ht="15.6" customHeight="1">
      <c r="A22" s="51"/>
      <c r="B22" s="60"/>
      <c r="C22" s="61"/>
      <c r="D22" s="62"/>
      <c r="E22" s="60"/>
      <c r="F22" s="55"/>
      <c r="G22" s="55"/>
      <c r="H22" s="55"/>
      <c r="I22" s="55"/>
      <c r="J22" s="55"/>
      <c r="K22" s="151"/>
      <c r="L22" s="55"/>
      <c r="M22" s="115"/>
      <c r="N22" s="57"/>
      <c r="O22" s="51"/>
      <c r="P22" s="60"/>
      <c r="Q22" s="161"/>
    </row>
    <row r="23" spans="1:17" ht="15.6" customHeight="1">
      <c r="A23" s="51"/>
      <c r="B23" s="60"/>
      <c r="C23" s="61"/>
      <c r="D23" s="62"/>
      <c r="E23" s="60"/>
      <c r="F23" s="55"/>
      <c r="G23" s="55"/>
      <c r="H23" s="55"/>
      <c r="I23" s="55"/>
      <c r="J23" s="55"/>
      <c r="K23" s="151"/>
      <c r="L23" s="55"/>
      <c r="M23" s="115"/>
      <c r="N23" s="57"/>
      <c r="O23" s="51"/>
      <c r="P23" s="60"/>
      <c r="Q23" s="161"/>
    </row>
    <row r="24" spans="1:17" ht="15.6" customHeight="1">
      <c r="A24" s="51"/>
      <c r="B24" s="60"/>
      <c r="C24" s="61"/>
      <c r="D24" s="62"/>
      <c r="E24" s="60"/>
      <c r="F24" s="55"/>
      <c r="G24" s="55"/>
      <c r="H24" s="55"/>
      <c r="I24" s="55"/>
      <c r="J24" s="55"/>
      <c r="K24" s="151"/>
      <c r="L24" s="55"/>
      <c r="M24" s="115"/>
      <c r="N24" s="57"/>
      <c r="O24" s="51"/>
      <c r="P24" s="60"/>
      <c r="Q24" s="161"/>
    </row>
    <row r="25" spans="1:17" ht="15.6" customHeight="1">
      <c r="A25" s="51"/>
      <c r="B25" s="60"/>
      <c r="C25" s="61"/>
      <c r="D25" s="62"/>
      <c r="E25" s="60"/>
      <c r="F25" s="55"/>
      <c r="G25" s="55"/>
      <c r="H25" s="55"/>
      <c r="I25" s="55"/>
      <c r="J25" s="55"/>
      <c r="K25" s="151"/>
      <c r="L25" s="55"/>
      <c r="M25" s="115"/>
      <c r="N25" s="57"/>
      <c r="O25" s="51"/>
      <c r="P25" s="60"/>
      <c r="Q25" s="161"/>
    </row>
    <row r="26" spans="1:17" ht="15.6" customHeight="1">
      <c r="A26" s="51"/>
      <c r="B26" s="60"/>
      <c r="C26" s="61"/>
      <c r="D26" s="62"/>
      <c r="E26" s="60"/>
      <c r="F26" s="55"/>
      <c r="G26" s="55"/>
      <c r="H26" s="55"/>
      <c r="I26" s="55"/>
      <c r="J26" s="55"/>
      <c r="K26" s="151"/>
      <c r="L26" s="55"/>
      <c r="M26" s="115"/>
      <c r="N26" s="57"/>
      <c r="O26" s="51"/>
      <c r="P26" s="60"/>
      <c r="Q26" s="161"/>
    </row>
    <row r="27" spans="1:17" ht="15.6" customHeight="1">
      <c r="A27" s="51"/>
      <c r="B27" s="60"/>
      <c r="C27" s="61"/>
      <c r="D27" s="62"/>
      <c r="E27" s="60"/>
      <c r="F27" s="55"/>
      <c r="G27" s="55"/>
      <c r="H27" s="55"/>
      <c r="I27" s="55"/>
      <c r="J27" s="55"/>
      <c r="K27" s="151"/>
      <c r="L27" s="55"/>
      <c r="M27" s="115"/>
      <c r="N27" s="57"/>
      <c r="O27" s="51"/>
      <c r="P27" s="60"/>
      <c r="Q27" s="161"/>
    </row>
    <row r="28" spans="1:17" ht="15.6" customHeight="1">
      <c r="A28" s="51"/>
      <c r="B28" s="60"/>
      <c r="C28" s="61"/>
      <c r="D28" s="62"/>
      <c r="E28" s="60"/>
      <c r="F28" s="55"/>
      <c r="G28" s="55"/>
      <c r="H28" s="55"/>
      <c r="I28" s="55"/>
      <c r="J28" s="55"/>
      <c r="K28" s="151"/>
      <c r="L28" s="55"/>
      <c r="M28" s="115"/>
      <c r="N28" s="57"/>
      <c r="O28" s="51"/>
      <c r="P28" s="60"/>
      <c r="Q28" s="161"/>
    </row>
    <row r="29" spans="1:17" ht="15.6" customHeight="1">
      <c r="A29" s="51"/>
      <c r="B29" s="60"/>
      <c r="C29" s="61"/>
      <c r="D29" s="62"/>
      <c r="E29" s="60"/>
      <c r="F29" s="55"/>
      <c r="G29" s="55"/>
      <c r="H29" s="55"/>
      <c r="I29" s="55"/>
      <c r="J29" s="55"/>
      <c r="K29" s="151"/>
      <c r="L29" s="55"/>
      <c r="M29" s="115"/>
      <c r="N29" s="57"/>
      <c r="O29" s="51"/>
      <c r="P29" s="60"/>
      <c r="Q29" s="161"/>
    </row>
    <row r="30" spans="1:17" ht="15.6" customHeight="1">
      <c r="A30" s="51"/>
      <c r="B30" s="60"/>
      <c r="C30" s="61"/>
      <c r="D30" s="62"/>
      <c r="E30" s="60"/>
      <c r="F30" s="55"/>
      <c r="G30" s="55"/>
      <c r="H30" s="55"/>
      <c r="I30" s="55"/>
      <c r="J30" s="55"/>
      <c r="K30" s="151"/>
      <c r="L30" s="55"/>
      <c r="M30" s="115"/>
      <c r="N30" s="57"/>
      <c r="O30" s="51"/>
      <c r="P30" s="60"/>
      <c r="Q30" s="161"/>
    </row>
    <row r="31" spans="1:17" ht="15.6" customHeight="1">
      <c r="A31" s="51"/>
      <c r="B31" s="60"/>
      <c r="C31" s="61"/>
      <c r="D31" s="62"/>
      <c r="E31" s="60"/>
      <c r="F31" s="55"/>
      <c r="G31" s="55"/>
      <c r="H31" s="55"/>
      <c r="I31" s="55"/>
      <c r="J31" s="55"/>
      <c r="K31" s="151"/>
      <c r="L31" s="55"/>
      <c r="M31" s="115"/>
      <c r="N31" s="57"/>
      <c r="O31" s="51"/>
      <c r="P31" s="60"/>
      <c r="Q31" s="161"/>
    </row>
    <row r="32" spans="1:17" ht="15.6" customHeight="1">
      <c r="A32" s="51"/>
      <c r="B32" s="60"/>
      <c r="C32" s="61"/>
      <c r="D32" s="62"/>
      <c r="E32" s="60"/>
      <c r="F32" s="55"/>
      <c r="G32" s="55"/>
      <c r="H32" s="55"/>
      <c r="I32" s="55"/>
      <c r="J32" s="55"/>
      <c r="K32" s="151"/>
      <c r="L32" s="55"/>
      <c r="M32" s="115"/>
      <c r="N32" s="57"/>
      <c r="O32" s="51"/>
      <c r="P32" s="60"/>
      <c r="Q32" s="161"/>
    </row>
    <row r="33" spans="1:17" ht="15.6" customHeight="1">
      <c r="A33" s="51"/>
      <c r="B33" s="60"/>
      <c r="C33" s="61"/>
      <c r="D33" s="62"/>
      <c r="E33" s="60"/>
      <c r="F33" s="55"/>
      <c r="G33" s="55"/>
      <c r="H33" s="55"/>
      <c r="I33" s="55"/>
      <c r="J33" s="55"/>
      <c r="K33" s="151"/>
      <c r="L33" s="55"/>
      <c r="M33" s="115"/>
      <c r="N33" s="57"/>
      <c r="O33" s="51"/>
      <c r="P33" s="60"/>
      <c r="Q33" s="161"/>
    </row>
    <row r="34" spans="1:17" ht="15.6" customHeight="1">
      <c r="A34" s="51"/>
      <c r="B34" s="60"/>
      <c r="C34" s="61"/>
      <c r="D34" s="62"/>
      <c r="E34" s="60"/>
      <c r="F34" s="55"/>
      <c r="G34" s="55"/>
      <c r="H34" s="55"/>
      <c r="I34" s="55"/>
      <c r="J34" s="55"/>
      <c r="K34" s="151"/>
      <c r="L34" s="55"/>
      <c r="M34" s="115"/>
      <c r="N34" s="57"/>
      <c r="O34" s="51"/>
      <c r="P34" s="60"/>
      <c r="Q34" s="161"/>
    </row>
    <row r="35" spans="1:17" ht="15.6" customHeight="1">
      <c r="A35" s="51"/>
      <c r="B35" s="60"/>
      <c r="C35" s="61"/>
      <c r="D35" s="62"/>
      <c r="E35" s="60"/>
      <c r="F35" s="55"/>
      <c r="G35" s="55"/>
      <c r="H35" s="55"/>
      <c r="I35" s="55"/>
      <c r="J35" s="55"/>
      <c r="K35" s="151"/>
      <c r="L35" s="55"/>
      <c r="M35" s="115"/>
      <c r="N35" s="57"/>
      <c r="O35" s="51"/>
      <c r="P35" s="60"/>
      <c r="Q35" s="161"/>
    </row>
    <row r="36" spans="1:17" ht="15.6" customHeight="1">
      <c r="A36" s="174"/>
      <c r="B36" s="175"/>
      <c r="C36" s="176"/>
      <c r="D36" s="177"/>
      <c r="E36" s="175"/>
      <c r="F36" s="178"/>
      <c r="G36" s="178"/>
      <c r="H36" s="178"/>
      <c r="I36" s="178"/>
      <c r="J36" s="178"/>
      <c r="K36" s="179"/>
      <c r="L36" s="178"/>
      <c r="M36" s="180"/>
      <c r="N36" s="181"/>
      <c r="O36" s="174"/>
      <c r="P36" s="175"/>
      <c r="Q36" s="182"/>
    </row>
  </sheetData>
  <mergeCells count="1">
    <mergeCell ref="Y10:AA10"/>
  </mergeCells>
  <phoneticPr fontId="0" type="noConversion"/>
  <conditionalFormatting sqref="J1:J1048576">
    <cfRule type="expression" dxfId="10" priority="2">
      <formula>ABS(W1)&gt;0.01</formula>
    </cfRule>
  </conditionalFormatting>
  <conditionalFormatting sqref="W1:W9 W11:W1048576">
    <cfRule type="expression" dxfId="9" priority="3">
      <formula>ABS(W1)&gt;0.01</formula>
    </cfRule>
  </conditionalFormatting>
  <conditionalFormatting sqref="X1:X9 X11:X1048576">
    <cfRule type="expression" dxfId="8" priority="4">
      <formula>ABS(W1)&gt;0.01</formula>
    </cfRule>
  </conditionalFormatting>
  <conditionalFormatting sqref="W10:Y10">
    <cfRule type="expression" dxfId="0" priority="1">
      <formula>ABS(W10)&gt;0.01</formula>
    </cfRule>
  </conditionalFormatting>
  <printOptions horizontalCentered="1" verticalCentered="1"/>
  <pageMargins left="3.937007874015748E-2" right="3.937007874015748E-2" top="0.19685039370078741" bottom="0.19685039370078741" header="0.19685039370078741" footer="0.19685039370078741"/>
  <pageSetup paperSize="9" scale="93" orientation="landscape" r:id="rId1"/>
  <headerFooter alignWithMargins="0">
    <oddFooter>&amp;LFile &amp;F        Date &amp;D&amp;RPage 2 of 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Import_DNA_btn">
                <anchor moveWithCells="1" sizeWithCells="1">
                  <from>
                    <xdr:col>16</xdr:col>
                    <xdr:colOff>114300</xdr:colOff>
                    <xdr:row>0</xdr:row>
                    <xdr:rowOff>142875</xdr:rowOff>
                  </from>
                  <to>
                    <xdr:col>18</xdr:col>
                    <xdr:colOff>0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Update_From_SLIP_btn">
                <anchor moveWithCells="1" sizeWithCells="1">
                  <from>
                    <xdr:col>16</xdr:col>
                    <xdr:colOff>114300</xdr:colOff>
                    <xdr:row>2</xdr:row>
                    <xdr:rowOff>142875</xdr:rowOff>
                  </from>
                  <to>
                    <xdr:col>18</xdr:col>
                    <xdr:colOff>0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Update_Formulas_btn">
                <anchor moveWithCells="1" sizeWithCells="1">
                  <from>
                    <xdr:col>16</xdr:col>
                    <xdr:colOff>114300</xdr:colOff>
                    <xdr:row>4</xdr:row>
                    <xdr:rowOff>133350</xdr:rowOff>
                  </from>
                  <to>
                    <xdr:col>18</xdr:col>
                    <xdr:colOff>0</xdr:colOff>
                    <xdr:row>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GES">
              <controlPr defaultSize="0" print="0" autoFill="0" autoPict="0" macro="[0]!Update_From_GES_btn">
                <anchor moveWithCells="1" sizeWithCells="1">
                  <from>
                    <xdr:col>18</xdr:col>
                    <xdr:colOff>47625</xdr:colOff>
                    <xdr:row>2</xdr:row>
                    <xdr:rowOff>133350</xdr:rowOff>
                  </from>
                  <to>
                    <xdr:col>18</xdr:col>
                    <xdr:colOff>438150</xdr:colOff>
                    <xdr:row>4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6"/>
  <dimension ref="A1:Q41"/>
  <sheetViews>
    <sheetView workbookViewId="0"/>
  </sheetViews>
  <sheetFormatPr defaultColWidth="9.140625" defaultRowHeight="12.75"/>
  <cols>
    <col min="1" max="1" width="3.5703125" style="6" customWidth="1"/>
    <col min="2" max="2" width="7.28515625" style="6" customWidth="1"/>
    <col min="3" max="3" width="10.42578125" style="6" customWidth="1"/>
    <col min="4" max="4" width="10.42578125" style="74" customWidth="1"/>
    <col min="5" max="5" width="7.28515625" style="6" customWidth="1"/>
    <col min="6" max="9" width="9.28515625" style="75" customWidth="1"/>
    <col min="10" max="10" width="9.28515625" style="6" customWidth="1"/>
    <col min="11" max="11" width="11.140625" style="6" customWidth="1"/>
    <col min="12" max="12" width="11.42578125" style="6" customWidth="1"/>
    <col min="13" max="13" width="11.140625" style="5" customWidth="1"/>
    <col min="14" max="14" width="14.5703125" style="6" customWidth="1"/>
    <col min="15" max="15" width="6.28515625" style="6" hidden="1" customWidth="1"/>
    <col min="16" max="16" width="6.7109375" style="6" customWidth="1"/>
    <col min="17" max="17" width="5.42578125" style="7" customWidth="1"/>
    <col min="18" max="16384" width="9.140625" style="6"/>
  </cols>
  <sheetData>
    <row r="1" spans="1:17">
      <c r="A1" s="1"/>
      <c r="B1" s="2"/>
      <c r="C1" s="2"/>
      <c r="D1" s="3"/>
      <c r="E1" s="2"/>
      <c r="F1" s="4"/>
      <c r="G1" s="2"/>
      <c r="H1" s="2"/>
      <c r="I1" s="5"/>
      <c r="J1" s="2"/>
      <c r="K1" s="2"/>
      <c r="L1" s="2"/>
      <c r="N1" s="2"/>
    </row>
    <row r="2" spans="1:17">
      <c r="A2" s="8" t="s">
        <v>30</v>
      </c>
      <c r="B2" s="8"/>
      <c r="C2" s="8"/>
      <c r="D2" s="9"/>
      <c r="E2" s="5"/>
      <c r="F2" s="10" t="s">
        <v>0</v>
      </c>
      <c r="G2" s="8"/>
      <c r="H2" s="5"/>
      <c r="I2" s="5"/>
      <c r="J2" s="5"/>
      <c r="K2" s="8"/>
      <c r="M2" s="8" t="s">
        <v>31</v>
      </c>
      <c r="N2" s="8"/>
      <c r="O2" s="5"/>
    </row>
    <row r="3" spans="1:17">
      <c r="A3" s="8"/>
      <c r="B3" s="8"/>
      <c r="C3" s="8"/>
      <c r="D3" s="9"/>
      <c r="E3" s="5"/>
      <c r="F3" s="11"/>
      <c r="G3" s="5"/>
      <c r="H3" s="5"/>
      <c r="I3" s="5"/>
      <c r="J3" s="5"/>
      <c r="K3" s="5"/>
      <c r="L3" s="5"/>
      <c r="N3" s="5"/>
    </row>
    <row r="4" spans="1:17">
      <c r="A4" s="8" t="s">
        <v>32</v>
      </c>
      <c r="B4" s="5"/>
      <c r="C4" s="5"/>
      <c r="D4" s="12"/>
      <c r="E4" s="5"/>
      <c r="F4" s="10" t="s">
        <v>33</v>
      </c>
      <c r="G4" s="5"/>
      <c r="H4" s="5"/>
      <c r="I4" s="5"/>
      <c r="J4" s="5"/>
      <c r="K4" s="8"/>
      <c r="M4" s="8" t="s">
        <v>34</v>
      </c>
      <c r="N4" s="8"/>
      <c r="O4" s="5"/>
    </row>
    <row r="5" spans="1:17">
      <c r="A5" s="5"/>
      <c r="B5" s="5"/>
      <c r="C5" s="5"/>
      <c r="D5" s="12"/>
      <c r="E5" s="5"/>
      <c r="F5" s="11"/>
      <c r="G5" s="5"/>
      <c r="H5" s="5"/>
      <c r="I5" s="5"/>
      <c r="J5" s="5"/>
      <c r="K5" s="5"/>
      <c r="L5" s="5"/>
      <c r="N5" s="5"/>
    </row>
    <row r="6" spans="1:17">
      <c r="A6" s="8" t="s">
        <v>35</v>
      </c>
      <c r="B6" s="5"/>
      <c r="C6" s="5"/>
      <c r="D6" s="12"/>
      <c r="E6" s="5"/>
      <c r="F6" s="10" t="s">
        <v>36</v>
      </c>
      <c r="G6" s="8"/>
      <c r="H6" s="13" t="s">
        <v>19</v>
      </c>
      <c r="I6" s="14">
        <v>1</v>
      </c>
      <c r="K6" s="15" t="s">
        <v>37</v>
      </c>
      <c r="L6" s="8"/>
      <c r="M6" s="8" t="s">
        <v>38</v>
      </c>
      <c r="N6" s="8"/>
      <c r="O6" s="5"/>
    </row>
    <row r="7" spans="1:17" ht="12.75" customHeight="1">
      <c r="A7" s="16"/>
      <c r="B7" s="16"/>
      <c r="C7" s="16"/>
      <c r="D7" s="17"/>
      <c r="E7" s="16"/>
      <c r="F7" s="18"/>
      <c r="G7" s="18"/>
      <c r="H7" s="19" t="s">
        <v>20</v>
      </c>
      <c r="I7" s="20">
        <v>1.0000000000000001E-5</v>
      </c>
      <c r="J7" s="16"/>
      <c r="K7" s="21" t="s">
        <v>56</v>
      </c>
      <c r="L7" s="22">
        <v>25</v>
      </c>
      <c r="M7" s="16"/>
      <c r="N7" s="16"/>
      <c r="P7" s="7"/>
    </row>
    <row r="8" spans="1:17" s="25" customFormat="1" ht="15.6" customHeight="1">
      <c r="A8" s="183" t="s">
        <v>21</v>
      </c>
      <c r="B8" s="23"/>
      <c r="C8" s="24"/>
      <c r="E8" s="23" t="s">
        <v>2</v>
      </c>
      <c r="F8" s="26" t="s">
        <v>3</v>
      </c>
      <c r="G8" s="27"/>
      <c r="H8" s="28"/>
      <c r="I8" s="29"/>
      <c r="J8" s="30" t="s">
        <v>4</v>
      </c>
      <c r="K8" s="31" t="s">
        <v>5</v>
      </c>
      <c r="L8" s="32"/>
      <c r="M8" s="33"/>
      <c r="N8" s="34"/>
      <c r="P8" s="35"/>
      <c r="Q8" s="35"/>
    </row>
    <row r="9" spans="1:17" s="43" customFormat="1" ht="15.6" customHeight="1">
      <c r="A9" s="184"/>
      <c r="B9" s="36" t="s">
        <v>6</v>
      </c>
      <c r="C9" s="37" t="s">
        <v>1</v>
      </c>
      <c r="D9" s="38" t="s">
        <v>12</v>
      </c>
      <c r="E9" s="36" t="s">
        <v>6</v>
      </c>
      <c r="F9" s="39" t="s">
        <v>7</v>
      </c>
      <c r="G9" s="40" t="s">
        <v>8</v>
      </c>
      <c r="H9" s="39"/>
      <c r="I9" s="39" t="s">
        <v>9</v>
      </c>
      <c r="J9" s="41"/>
      <c r="K9" s="41"/>
      <c r="L9" s="41"/>
      <c r="M9" s="41"/>
      <c r="N9" s="186" t="s">
        <v>10</v>
      </c>
      <c r="O9" s="187"/>
      <c r="P9" s="187"/>
      <c r="Q9" s="42"/>
    </row>
    <row r="10" spans="1:17" s="43" customFormat="1" ht="15.6" customHeight="1">
      <c r="A10" s="185"/>
      <c r="B10" s="44" t="s">
        <v>11</v>
      </c>
      <c r="C10" s="45"/>
      <c r="D10" s="46"/>
      <c r="E10" s="44" t="s">
        <v>13</v>
      </c>
      <c r="F10" s="47"/>
      <c r="G10" s="40" t="s">
        <v>7</v>
      </c>
      <c r="H10" s="47" t="s">
        <v>14</v>
      </c>
      <c r="I10" s="47" t="s">
        <v>14</v>
      </c>
      <c r="J10" s="48" t="s">
        <v>15</v>
      </c>
      <c r="K10" s="44" t="s">
        <v>16</v>
      </c>
      <c r="L10" s="44" t="s">
        <v>17</v>
      </c>
      <c r="M10" s="44" t="s">
        <v>18</v>
      </c>
      <c r="N10" s="49"/>
      <c r="P10" s="50"/>
      <c r="Q10" s="50"/>
    </row>
    <row r="11" spans="1:17" ht="15.4" customHeight="1">
      <c r="A11" s="51"/>
      <c r="B11" s="51"/>
      <c r="C11" s="52"/>
      <c r="D11" s="53"/>
      <c r="E11" s="54"/>
      <c r="F11" s="55"/>
      <c r="G11" s="55"/>
      <c r="H11" s="55"/>
      <c r="I11" s="55"/>
      <c r="J11" s="55"/>
      <c r="K11" s="55"/>
      <c r="L11" s="56" t="s">
        <v>27</v>
      </c>
      <c r="M11" s="56">
        <v>100</v>
      </c>
      <c r="N11" s="57"/>
      <c r="O11" s="58"/>
      <c r="P11" s="59"/>
      <c r="Q11" s="59"/>
    </row>
    <row r="12" spans="1:17" ht="15.4" customHeight="1">
      <c r="A12" s="51">
        <v>23</v>
      </c>
      <c r="B12" s="60">
        <v>1</v>
      </c>
      <c r="C12" s="61" t="str">
        <f>L11</f>
        <v>SSM A</v>
      </c>
      <c r="D12" s="62" t="str">
        <f>L12</f>
        <v>SSM B</v>
      </c>
      <c r="E12" s="60">
        <f>B12</f>
        <v>1</v>
      </c>
      <c r="F12" s="55">
        <v>1</v>
      </c>
      <c r="G12" s="55">
        <v>-1</v>
      </c>
      <c r="H12" s="55">
        <f>(F12-G12)/2</f>
        <v>1</v>
      </c>
      <c r="I12" s="55">
        <f>((((A12-$L$7)*$I$7)+1)*$I$6)*H12</f>
        <v>0.99997999999999998</v>
      </c>
      <c r="J12" s="55">
        <f>(E12/E13)*J13</f>
        <v>3.3200000000022101E-3</v>
      </c>
      <c r="K12" s="55">
        <f>M11+I12</f>
        <v>100.99997999999999</v>
      </c>
      <c r="L12" s="55" t="s">
        <v>28</v>
      </c>
      <c r="M12" s="55">
        <f>J12+K12</f>
        <v>101.0033</v>
      </c>
      <c r="N12" s="57"/>
      <c r="O12" s="58"/>
      <c r="P12" s="59"/>
      <c r="Q12" s="59"/>
    </row>
    <row r="13" spans="1:17" ht="15.4" customHeight="1">
      <c r="A13" s="51">
        <v>23</v>
      </c>
      <c r="B13" s="60">
        <v>2</v>
      </c>
      <c r="C13" s="61" t="str">
        <f>L12</f>
        <v>SSM B</v>
      </c>
      <c r="D13" s="62" t="str">
        <f>L13</f>
        <v>SSM C</v>
      </c>
      <c r="E13" s="60">
        <f>E12+B13</f>
        <v>3</v>
      </c>
      <c r="F13" s="55">
        <v>-3</v>
      </c>
      <c r="G13" s="55">
        <v>3</v>
      </c>
      <c r="H13" s="55">
        <f>(F13-G13)/2</f>
        <v>-3</v>
      </c>
      <c r="I13" s="55">
        <f>((((A13-$L$7)*$I$7)+1)*$I$6)*H13</f>
        <v>-2.9999400000000001</v>
      </c>
      <c r="J13" s="55">
        <f>M13-K13</f>
        <v>9.9600000000066302E-3</v>
      </c>
      <c r="K13" s="55">
        <f>K12+I13</f>
        <v>98.000039999999998</v>
      </c>
      <c r="L13" s="151" t="s">
        <v>29</v>
      </c>
      <c r="M13" s="151">
        <v>98.01</v>
      </c>
      <c r="N13" s="63"/>
      <c r="O13" s="58"/>
      <c r="P13" s="64" t="s">
        <v>55</v>
      </c>
      <c r="Q13" s="59">
        <f>0.012*SQRT(E13)</f>
        <v>2.0784609690826527E-2</v>
      </c>
    </row>
    <row r="14" spans="1:17" ht="15.4" customHeight="1">
      <c r="A14" s="51"/>
      <c r="B14" s="60"/>
      <c r="C14" s="61"/>
      <c r="D14" s="62"/>
      <c r="E14" s="60"/>
      <c r="F14" s="55"/>
      <c r="G14" s="55"/>
      <c r="H14" s="55"/>
      <c r="I14" s="55"/>
      <c r="J14" s="55"/>
      <c r="K14" s="55"/>
      <c r="L14" s="55"/>
      <c r="M14" s="55"/>
      <c r="N14" s="57"/>
      <c r="O14" s="58"/>
      <c r="P14" s="59"/>
      <c r="Q14" s="59"/>
    </row>
    <row r="15" spans="1:17" ht="15.4" customHeight="1">
      <c r="A15" s="51"/>
      <c r="B15" s="51"/>
      <c r="C15" s="52"/>
      <c r="D15" s="53"/>
      <c r="E15" s="54"/>
      <c r="F15" s="55"/>
      <c r="G15" s="55"/>
      <c r="H15" s="55"/>
      <c r="I15" s="55"/>
      <c r="J15" s="55"/>
      <c r="K15" s="55"/>
      <c r="L15" s="55" t="s">
        <v>28</v>
      </c>
      <c r="M15" s="55">
        <f>M12</f>
        <v>101.0033</v>
      </c>
      <c r="N15" s="57" t="s">
        <v>57</v>
      </c>
      <c r="O15" s="58"/>
      <c r="P15" s="59"/>
      <c r="Q15" s="59"/>
    </row>
    <row r="16" spans="1:17" ht="15.4" customHeight="1">
      <c r="A16" s="51">
        <v>23</v>
      </c>
      <c r="B16" s="60">
        <v>1</v>
      </c>
      <c r="C16" s="61" t="str">
        <f>L15</f>
        <v>SSM B</v>
      </c>
      <c r="D16" s="62" t="str">
        <f>L16</f>
        <v>SSM D</v>
      </c>
      <c r="E16" s="60">
        <f>E15+B16</f>
        <v>1</v>
      </c>
      <c r="F16" s="55">
        <v>1</v>
      </c>
      <c r="G16" s="55">
        <v>-1</v>
      </c>
      <c r="H16" s="55">
        <f>(F16-G16)/2</f>
        <v>1</v>
      </c>
      <c r="I16" s="55">
        <f>((((A16-$L$7)*$I$7)+1)*$I$6)*H16</f>
        <v>0.99997999999999998</v>
      </c>
      <c r="J16" s="55"/>
      <c r="K16" s="55">
        <f>K15+I16</f>
        <v>0.99997999999999998</v>
      </c>
      <c r="L16" s="55" t="s">
        <v>58</v>
      </c>
      <c r="M16" s="55"/>
      <c r="N16" s="57"/>
      <c r="O16" s="58"/>
      <c r="P16" s="59"/>
      <c r="Q16" s="59"/>
    </row>
    <row r="17" spans="1:17" ht="15.4" customHeight="1">
      <c r="A17" s="51"/>
      <c r="B17" s="60"/>
      <c r="C17" s="61"/>
      <c r="D17" s="62"/>
      <c r="E17" s="60"/>
      <c r="F17" s="55"/>
      <c r="G17" s="55"/>
      <c r="H17" s="55"/>
      <c r="I17" s="55"/>
      <c r="J17" s="55"/>
      <c r="K17" s="55"/>
      <c r="L17" s="56"/>
      <c r="M17" s="56"/>
      <c r="N17" s="63"/>
      <c r="O17" s="58"/>
      <c r="P17" s="64"/>
      <c r="Q17" s="59"/>
    </row>
    <row r="18" spans="1:17" ht="15.4" customHeight="1">
      <c r="A18" s="51"/>
      <c r="B18" s="51"/>
      <c r="C18" s="52"/>
      <c r="D18" s="53"/>
      <c r="E18" s="54"/>
      <c r="F18" s="55"/>
      <c r="G18" s="55"/>
      <c r="H18" s="55"/>
      <c r="I18" s="55"/>
      <c r="J18" s="55"/>
      <c r="K18" s="55"/>
      <c r="L18" s="56" t="s">
        <v>59</v>
      </c>
      <c r="M18" s="56">
        <v>100</v>
      </c>
      <c r="N18" s="156" t="s">
        <v>60</v>
      </c>
      <c r="O18" s="58"/>
      <c r="P18" s="59"/>
      <c r="Q18" s="59"/>
    </row>
    <row r="19" spans="1:17" ht="15.4" customHeight="1">
      <c r="A19" s="51">
        <v>23</v>
      </c>
      <c r="B19" s="60">
        <v>1</v>
      </c>
      <c r="C19" s="61" t="str">
        <f>L18</f>
        <v>SSM E</v>
      </c>
      <c r="D19" s="62" t="str">
        <f>L19</f>
        <v>SSM F</v>
      </c>
      <c r="E19" s="60">
        <f>B19</f>
        <v>1</v>
      </c>
      <c r="F19" s="55">
        <v>1</v>
      </c>
      <c r="G19" s="55">
        <v>-1</v>
      </c>
      <c r="H19" s="55">
        <f>(F19-G19)/2</f>
        <v>1</v>
      </c>
      <c r="I19" s="55">
        <f>((((A19-$L$7)*$I$7)+1)*$I$6)*H19</f>
        <v>0.99997999999999998</v>
      </c>
      <c r="J19" s="55"/>
      <c r="K19" s="55">
        <f>M18+I19</f>
        <v>100.99997999999999</v>
      </c>
      <c r="L19" s="55" t="s">
        <v>61</v>
      </c>
      <c r="M19" s="55"/>
      <c r="N19" s="57"/>
      <c r="O19" s="58"/>
      <c r="P19" s="59"/>
      <c r="Q19" s="59"/>
    </row>
    <row r="20" spans="1:17" ht="15.4" customHeight="1">
      <c r="A20" s="51"/>
      <c r="B20" s="60"/>
      <c r="C20" s="61"/>
      <c r="D20" s="62"/>
      <c r="E20" s="60"/>
      <c r="F20" s="55"/>
      <c r="G20" s="55"/>
      <c r="H20" s="55"/>
      <c r="I20" s="55"/>
      <c r="J20" s="55"/>
      <c r="K20" s="55"/>
      <c r="L20" s="55"/>
      <c r="M20" s="55"/>
      <c r="N20" s="57"/>
      <c r="O20" s="58"/>
      <c r="P20" s="59"/>
      <c r="Q20" s="59"/>
    </row>
    <row r="21" spans="1:17" ht="15.4" customHeight="1">
      <c r="A21" s="51"/>
      <c r="B21" s="60"/>
      <c r="C21" s="61"/>
      <c r="D21" s="62"/>
      <c r="E21" s="60"/>
      <c r="F21" s="55"/>
      <c r="G21" s="55"/>
      <c r="H21" s="55"/>
      <c r="I21" s="55"/>
      <c r="J21" s="55"/>
      <c r="K21" s="55"/>
      <c r="L21" s="55"/>
      <c r="M21" s="55"/>
      <c r="N21" s="57"/>
      <c r="O21" s="58"/>
      <c r="P21" s="59"/>
      <c r="Q21" s="59"/>
    </row>
    <row r="22" spans="1:17" ht="15.4" customHeight="1">
      <c r="A22" s="51"/>
      <c r="B22" s="60"/>
      <c r="C22" s="61"/>
      <c r="D22" s="62"/>
      <c r="E22" s="60"/>
      <c r="F22" s="55"/>
      <c r="G22" s="55"/>
      <c r="H22" s="55"/>
      <c r="I22" s="55"/>
      <c r="J22" s="55"/>
      <c r="K22" s="55"/>
      <c r="L22" s="55"/>
      <c r="M22" s="55"/>
      <c r="N22" s="57"/>
      <c r="O22" s="58"/>
      <c r="P22" s="59"/>
      <c r="Q22" s="59"/>
    </row>
    <row r="23" spans="1:17" ht="15.4" customHeight="1">
      <c r="A23" s="51"/>
      <c r="B23" s="60"/>
      <c r="C23" s="61"/>
      <c r="D23" s="62"/>
      <c r="E23" s="60"/>
      <c r="F23" s="55"/>
      <c r="G23" s="55"/>
      <c r="H23" s="55"/>
      <c r="I23" s="55"/>
      <c r="J23" s="55"/>
      <c r="K23" s="55"/>
      <c r="L23" s="55"/>
      <c r="M23" s="55"/>
      <c r="N23" s="57"/>
      <c r="O23" s="58"/>
      <c r="P23" s="59"/>
      <c r="Q23" s="59"/>
    </row>
    <row r="24" spans="1:17" ht="15.4" customHeight="1">
      <c r="A24" s="51"/>
      <c r="B24" s="60"/>
      <c r="C24" s="61"/>
      <c r="D24" s="62"/>
      <c r="E24" s="60"/>
      <c r="F24" s="55"/>
      <c r="G24" s="55"/>
      <c r="H24" s="55"/>
      <c r="I24" s="55"/>
      <c r="J24" s="55"/>
      <c r="K24" s="55"/>
      <c r="L24" s="55"/>
      <c r="M24" s="55"/>
      <c r="N24" s="57"/>
      <c r="O24" s="58"/>
      <c r="P24" s="59"/>
      <c r="Q24" s="59"/>
    </row>
    <row r="25" spans="1:17" ht="15.4" customHeight="1">
      <c r="A25" s="51"/>
      <c r="B25" s="60"/>
      <c r="C25" s="61"/>
      <c r="D25" s="62"/>
      <c r="E25" s="60"/>
      <c r="F25" s="55"/>
      <c r="G25" s="55"/>
      <c r="H25" s="55"/>
      <c r="I25" s="55"/>
      <c r="J25" s="55"/>
      <c r="K25" s="55"/>
      <c r="L25" s="55"/>
      <c r="M25" s="55"/>
      <c r="N25" s="57"/>
      <c r="O25" s="58"/>
      <c r="P25" s="59"/>
      <c r="Q25" s="59"/>
    </row>
    <row r="26" spans="1:17" ht="15.4" customHeight="1">
      <c r="A26" s="51"/>
      <c r="B26" s="60"/>
      <c r="C26" s="61"/>
      <c r="D26" s="62"/>
      <c r="E26" s="60"/>
      <c r="F26" s="55"/>
      <c r="G26" s="55"/>
      <c r="H26" s="55"/>
      <c r="I26" s="55"/>
      <c r="J26" s="55"/>
      <c r="K26" s="55"/>
      <c r="L26" s="55"/>
      <c r="M26" s="55"/>
      <c r="N26" s="57"/>
      <c r="O26" s="58"/>
      <c r="P26" s="59"/>
      <c r="Q26" s="59" t="s">
        <v>22</v>
      </c>
    </row>
    <row r="27" spans="1:17" ht="15.4" customHeight="1">
      <c r="A27" s="51"/>
      <c r="B27" s="60"/>
      <c r="C27" s="61"/>
      <c r="D27" s="62"/>
      <c r="E27" s="60"/>
      <c r="F27" s="55"/>
      <c r="G27" s="55"/>
      <c r="H27" s="55"/>
      <c r="I27" s="55"/>
      <c r="J27" s="55"/>
      <c r="K27" s="55"/>
      <c r="L27" s="55"/>
      <c r="M27" s="55"/>
      <c r="N27" s="57"/>
      <c r="O27" s="58"/>
      <c r="P27" s="59"/>
      <c r="Q27" s="59"/>
    </row>
    <row r="28" spans="1:17" ht="15.4" customHeight="1">
      <c r="A28" s="51"/>
      <c r="B28" s="60"/>
      <c r="C28" s="61"/>
      <c r="D28" s="62"/>
      <c r="E28" s="60"/>
      <c r="F28" s="55"/>
      <c r="G28" s="55"/>
      <c r="H28" s="55"/>
      <c r="I28" s="55"/>
      <c r="J28" s="55"/>
      <c r="K28" s="55"/>
      <c r="L28" s="55"/>
      <c r="M28" s="55"/>
      <c r="N28" s="57"/>
      <c r="O28" s="58"/>
      <c r="P28" s="59"/>
      <c r="Q28" s="59"/>
    </row>
    <row r="29" spans="1:17" ht="15.4" customHeight="1">
      <c r="A29" s="51"/>
      <c r="B29" s="60"/>
      <c r="C29" s="61"/>
      <c r="D29" s="62"/>
      <c r="E29" s="60"/>
      <c r="F29" s="55"/>
      <c r="G29" s="55"/>
      <c r="H29" s="55"/>
      <c r="I29" s="55"/>
      <c r="J29" s="55"/>
      <c r="K29" s="55"/>
      <c r="L29" s="55"/>
      <c r="M29" s="55"/>
      <c r="N29" s="57"/>
      <c r="O29" s="58"/>
      <c r="P29" s="59"/>
      <c r="Q29" s="59"/>
    </row>
    <row r="30" spans="1:17" ht="15.4" customHeight="1">
      <c r="A30" s="51"/>
      <c r="B30" s="60"/>
      <c r="C30" s="61"/>
      <c r="D30" s="62"/>
      <c r="E30" s="60"/>
      <c r="F30" s="55"/>
      <c r="G30" s="55"/>
      <c r="H30" s="55"/>
      <c r="I30" s="55"/>
      <c r="J30" s="55"/>
      <c r="K30" s="55"/>
      <c r="L30" s="55"/>
      <c r="M30" s="55"/>
      <c r="N30" s="57"/>
      <c r="O30" s="58"/>
      <c r="P30" s="59"/>
      <c r="Q30" s="59"/>
    </row>
    <row r="31" spans="1:17" ht="15.4" customHeight="1">
      <c r="A31" s="51"/>
      <c r="B31" s="60"/>
      <c r="C31" s="61"/>
      <c r="D31" s="62"/>
      <c r="E31" s="60"/>
      <c r="F31" s="55"/>
      <c r="G31" s="55"/>
      <c r="H31" s="55"/>
      <c r="I31" s="55"/>
      <c r="J31" s="55"/>
      <c r="K31" s="55"/>
      <c r="L31" s="55"/>
      <c r="M31" s="55"/>
      <c r="N31" s="57"/>
      <c r="O31" s="58"/>
      <c r="P31" s="59"/>
      <c r="Q31" s="59"/>
    </row>
    <row r="32" spans="1:17" ht="15.4" customHeight="1">
      <c r="A32" s="51"/>
      <c r="B32" s="60"/>
      <c r="C32" s="61"/>
      <c r="D32" s="62"/>
      <c r="E32" s="60"/>
      <c r="F32" s="55"/>
      <c r="G32" s="55"/>
      <c r="H32" s="55"/>
      <c r="I32" s="55"/>
      <c r="J32" s="55"/>
      <c r="K32" s="55"/>
      <c r="L32" s="55"/>
      <c r="M32" s="55"/>
      <c r="N32" s="57"/>
      <c r="O32" s="58"/>
      <c r="P32" s="59"/>
      <c r="Q32" s="59"/>
    </row>
    <row r="33" spans="1:17" ht="15.4" customHeight="1">
      <c r="A33" s="51"/>
      <c r="B33" s="60"/>
      <c r="C33" s="61"/>
      <c r="D33" s="62"/>
      <c r="E33" s="60"/>
      <c r="F33" s="55"/>
      <c r="G33" s="55"/>
      <c r="H33" s="55"/>
      <c r="I33" s="55"/>
      <c r="J33" s="55"/>
      <c r="K33" s="55"/>
      <c r="L33" s="55"/>
      <c r="M33" s="55"/>
      <c r="N33" s="57"/>
      <c r="O33" s="58"/>
      <c r="P33" s="59"/>
      <c r="Q33" s="59"/>
    </row>
    <row r="34" spans="1:17" ht="15.4" customHeight="1">
      <c r="A34" s="51"/>
      <c r="B34" s="60"/>
      <c r="C34" s="61"/>
      <c r="D34" s="62"/>
      <c r="E34" s="60"/>
      <c r="F34" s="55"/>
      <c r="G34" s="55"/>
      <c r="H34" s="55"/>
      <c r="I34" s="55"/>
      <c r="J34" s="55"/>
      <c r="K34" s="55"/>
      <c r="L34" s="55"/>
      <c r="M34" s="55"/>
      <c r="N34" s="57"/>
      <c r="O34" s="58"/>
      <c r="P34" s="59"/>
      <c r="Q34" s="59"/>
    </row>
    <row r="35" spans="1:17" ht="15.4" customHeight="1">
      <c r="A35" s="51"/>
      <c r="B35" s="60"/>
      <c r="C35" s="61"/>
      <c r="D35" s="62"/>
      <c r="E35" s="60"/>
      <c r="F35" s="55"/>
      <c r="G35" s="55"/>
      <c r="H35" s="55"/>
      <c r="I35" s="55"/>
      <c r="J35" s="55"/>
      <c r="K35" s="55"/>
      <c r="L35" s="55"/>
      <c r="M35" s="55"/>
      <c r="N35" s="57"/>
      <c r="O35" s="58"/>
      <c r="P35" s="59"/>
      <c r="Q35" s="59"/>
    </row>
    <row r="36" spans="1:17" ht="15.4" customHeight="1">
      <c r="A36" s="65"/>
      <c r="B36" s="66"/>
      <c r="C36" s="67"/>
      <c r="D36" s="68"/>
      <c r="E36" s="66"/>
      <c r="F36" s="69"/>
      <c r="G36" s="69"/>
      <c r="H36" s="69"/>
      <c r="I36" s="69"/>
      <c r="J36" s="69"/>
      <c r="K36" s="69"/>
      <c r="L36" s="69"/>
      <c r="M36" s="69"/>
      <c r="N36" s="70"/>
      <c r="O36" s="71"/>
      <c r="P36" s="72"/>
      <c r="Q36" s="72"/>
    </row>
    <row r="37" spans="1:17" ht="15.4" customHeight="1">
      <c r="B37" s="73"/>
      <c r="C37" s="73"/>
      <c r="E37" s="73"/>
      <c r="J37" s="76"/>
      <c r="K37" s="76"/>
      <c r="L37" s="77"/>
      <c r="M37" s="78"/>
      <c r="N37" s="79"/>
    </row>
    <row r="38" spans="1:17" ht="15.4" customHeight="1">
      <c r="B38" s="73"/>
      <c r="C38" s="73"/>
      <c r="D38" s="80"/>
      <c r="E38" s="73"/>
      <c r="J38" s="76"/>
      <c r="K38" s="76"/>
      <c r="L38" s="81"/>
      <c r="M38" s="76"/>
      <c r="N38" s="79"/>
    </row>
    <row r="39" spans="1:17" ht="15.4" customHeight="1">
      <c r="B39" s="73"/>
      <c r="C39" s="73"/>
      <c r="D39" s="80"/>
      <c r="E39" s="73"/>
      <c r="F39" s="82"/>
      <c r="J39" s="76"/>
      <c r="K39" s="76"/>
      <c r="L39" s="77"/>
      <c r="M39" s="78"/>
      <c r="N39" s="83"/>
    </row>
    <row r="40" spans="1:17" ht="14.1" customHeight="1">
      <c r="A40" s="79"/>
      <c r="B40" s="84"/>
      <c r="C40" s="84"/>
      <c r="E40" s="85"/>
      <c r="F40" s="86"/>
      <c r="G40" s="86"/>
      <c r="H40" s="86"/>
      <c r="J40" s="87"/>
      <c r="K40" s="87"/>
      <c r="L40" s="87"/>
      <c r="M40" s="4"/>
      <c r="N40" s="79"/>
    </row>
    <row r="41" spans="1:17" ht="14.1" customHeight="1">
      <c r="A41" s="79"/>
      <c r="B41" s="84"/>
      <c r="C41" s="84"/>
      <c r="E41" s="85"/>
      <c r="F41" s="86"/>
      <c r="G41" s="86"/>
      <c r="H41" s="86"/>
      <c r="J41" s="87"/>
      <c r="K41" s="87"/>
      <c r="L41" s="87"/>
      <c r="M41" s="4"/>
      <c r="N41" s="79"/>
    </row>
  </sheetData>
  <mergeCells count="2">
    <mergeCell ref="A8:A10"/>
    <mergeCell ref="N9:P9"/>
  </mergeCells>
  <printOptions horizontalCentered="1" verticalCentered="1"/>
  <pageMargins left="3.937007874015748E-2" right="3.937007874015748E-2" top="0.19685039370078741" bottom="0" header="0.19685039370078741" footer="0.23622047244094491"/>
  <pageSetup paperSize="9" orientation="landscape" r:id="rId1"/>
  <headerFooter alignWithMargins="0">
    <oddFooter>&amp;LFile &amp;F        Date &amp;D&amp;RPage 1 of 2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866F25-029C-4428-9677-A140CBE94D77}">
  <sheetPr codeName="Sheet4">
    <pageSetUpPr fitToPage="1"/>
  </sheetPr>
  <dimension ref="A1:AA40"/>
  <sheetViews>
    <sheetView workbookViewId="0">
      <selection activeCell="W40" sqref="W40"/>
    </sheetView>
  </sheetViews>
  <sheetFormatPr defaultColWidth="9.140625" defaultRowHeight="12.75"/>
  <cols>
    <col min="1" max="1" width="3.5703125" style="6" customWidth="1"/>
    <col min="2" max="2" width="7.28515625" style="126" customWidth="1"/>
    <col min="3" max="3" width="10.42578125" style="126" customWidth="1"/>
    <col min="4" max="4" width="10.42578125" style="127" customWidth="1"/>
    <col min="5" max="5" width="7.28515625" style="126" customWidth="1"/>
    <col min="6" max="6" width="9.28515625" style="125" customWidth="1"/>
    <col min="7" max="10" width="9.28515625" style="126" customWidth="1"/>
    <col min="11" max="11" width="11.140625" style="118" customWidth="1"/>
    <col min="12" max="12" width="11.42578125" style="118" customWidth="1"/>
    <col min="13" max="13" width="11.140625" style="128" customWidth="1"/>
    <col min="14" max="14" width="26.140625" style="118" customWidth="1"/>
    <col min="15" max="15" width="6.28515625" style="118" hidden="1" customWidth="1"/>
    <col min="16" max="16" width="0" style="118" hidden="1" customWidth="1"/>
    <col min="17" max="17" width="10" style="118" customWidth="1"/>
    <col min="18" max="16384" width="9.140625" style="118"/>
  </cols>
  <sheetData>
    <row r="1" spans="1:27" s="6" customFormat="1">
      <c r="A1" s="1"/>
      <c r="B1" s="2"/>
      <c r="C1" s="2"/>
      <c r="D1" s="3"/>
      <c r="E1" s="2"/>
      <c r="F1" s="4"/>
      <c r="G1" s="2"/>
      <c r="H1" s="2"/>
      <c r="I1" s="5"/>
      <c r="J1" s="2"/>
      <c r="K1" s="2"/>
      <c r="L1" s="2"/>
      <c r="M1" s="5"/>
      <c r="N1" s="2"/>
      <c r="Q1" s="7"/>
    </row>
    <row r="2" spans="1:27" s="6" customFormat="1">
      <c r="A2" s="8" t="s">
        <v>30</v>
      </c>
      <c r="B2" s="8"/>
      <c r="C2" s="8"/>
      <c r="D2" s="9"/>
      <c r="E2" s="5"/>
      <c r="F2" s="10" t="s">
        <v>0</v>
      </c>
      <c r="G2" s="8"/>
      <c r="H2" s="5"/>
      <c r="I2" s="5"/>
      <c r="J2" s="5"/>
      <c r="K2" s="8"/>
      <c r="M2" s="8" t="s">
        <v>31</v>
      </c>
      <c r="N2" s="8"/>
      <c r="O2" s="5"/>
      <c r="Q2" s="7"/>
    </row>
    <row r="3" spans="1:27" s="6" customFormat="1">
      <c r="A3" s="8"/>
      <c r="B3" s="8"/>
      <c r="C3" s="8"/>
      <c r="D3" s="9"/>
      <c r="E3" s="5"/>
      <c r="F3" s="11"/>
      <c r="G3" s="5"/>
      <c r="H3" s="5"/>
      <c r="I3" s="5"/>
      <c r="J3" s="5"/>
      <c r="K3" s="5"/>
      <c r="L3" s="5"/>
      <c r="M3" s="5"/>
      <c r="N3" s="5"/>
      <c r="Q3" s="7"/>
    </row>
    <row r="4" spans="1:27" s="6" customFormat="1">
      <c r="A4" s="8" t="s">
        <v>32</v>
      </c>
      <c r="B4" s="5"/>
      <c r="C4" s="5"/>
      <c r="D4" s="12"/>
      <c r="E4" s="5"/>
      <c r="F4" s="10" t="s">
        <v>33</v>
      </c>
      <c r="G4" s="5"/>
      <c r="H4" s="5"/>
      <c r="I4" s="5"/>
      <c r="J4" s="5"/>
      <c r="K4" s="8"/>
      <c r="M4" s="8" t="s">
        <v>34</v>
      </c>
      <c r="N4" s="8"/>
      <c r="O4" s="5"/>
      <c r="Q4" s="7"/>
    </row>
    <row r="5" spans="1:27" s="6" customFormat="1">
      <c r="A5" s="5"/>
      <c r="B5" s="5"/>
      <c r="C5" s="5"/>
      <c r="D5" s="12"/>
      <c r="E5" s="5"/>
      <c r="F5" s="11"/>
      <c r="G5" s="5"/>
      <c r="H5" s="5"/>
      <c r="I5" s="5"/>
      <c r="J5" s="5"/>
      <c r="K5" s="5"/>
      <c r="L5" s="5"/>
      <c r="M5" s="5"/>
      <c r="N5" s="5"/>
      <c r="Q5" s="7"/>
    </row>
    <row r="6" spans="1:27" s="6" customFormat="1">
      <c r="A6" s="8" t="s">
        <v>35</v>
      </c>
      <c r="B6" s="5"/>
      <c r="C6" s="5"/>
      <c r="D6" s="12"/>
      <c r="E6" s="5"/>
      <c r="F6" s="10" t="s">
        <v>36</v>
      </c>
      <c r="G6" s="8"/>
      <c r="H6" s="13" t="s">
        <v>19</v>
      </c>
      <c r="I6" s="14">
        <v>1</v>
      </c>
      <c r="K6" s="15" t="s">
        <v>37</v>
      </c>
      <c r="L6" s="8"/>
      <c r="M6" s="8" t="s">
        <v>38</v>
      </c>
      <c r="N6" s="8"/>
      <c r="O6" s="5"/>
      <c r="Q6" s="7"/>
    </row>
    <row r="7" spans="1:27" s="6" customFormat="1" ht="12.75" customHeight="1">
      <c r="A7" s="16"/>
      <c r="B7" s="16"/>
      <c r="C7" s="16"/>
      <c r="D7" s="17"/>
      <c r="E7" s="16"/>
      <c r="F7" s="18"/>
      <c r="G7" s="18"/>
      <c r="H7" s="19" t="s">
        <v>20</v>
      </c>
      <c r="I7" s="20">
        <v>1.0000000000000001E-5</v>
      </c>
      <c r="J7" s="16"/>
      <c r="K7" s="21" t="s">
        <v>56</v>
      </c>
      <c r="L7" s="22">
        <v>25</v>
      </c>
      <c r="M7" s="16"/>
      <c r="N7" s="16"/>
      <c r="P7" s="7"/>
      <c r="Q7" s="7"/>
    </row>
    <row r="8" spans="1:27" s="100" customFormat="1" ht="15.6" customHeight="1">
      <c r="A8" s="88" t="s">
        <v>22</v>
      </c>
      <c r="B8" s="89"/>
      <c r="C8" s="90"/>
      <c r="D8" s="91"/>
      <c r="E8" s="92" t="s">
        <v>2</v>
      </c>
      <c r="F8" s="93" t="s">
        <v>3</v>
      </c>
      <c r="G8" s="94"/>
      <c r="H8" s="95"/>
      <c r="I8" s="96"/>
      <c r="J8" s="97"/>
      <c r="K8" s="94" t="s">
        <v>5</v>
      </c>
      <c r="L8" s="98"/>
      <c r="M8" s="98"/>
      <c r="N8" s="99"/>
    </row>
    <row r="9" spans="1:27" s="107" customFormat="1" ht="15.6" customHeight="1">
      <c r="A9" s="101" t="s">
        <v>22</v>
      </c>
      <c r="B9" s="36" t="s">
        <v>6</v>
      </c>
      <c r="C9" s="102" t="s">
        <v>1</v>
      </c>
      <c r="D9" s="103" t="s">
        <v>23</v>
      </c>
      <c r="E9" s="36" t="s">
        <v>6</v>
      </c>
      <c r="F9" s="104" t="s">
        <v>7</v>
      </c>
      <c r="G9" s="105" t="s">
        <v>8</v>
      </c>
      <c r="H9" s="41"/>
      <c r="I9" s="41" t="s">
        <v>9</v>
      </c>
      <c r="J9" s="41" t="s">
        <v>24</v>
      </c>
      <c r="K9" s="106"/>
      <c r="L9" s="106"/>
      <c r="M9" s="106"/>
      <c r="N9" s="37" t="s">
        <v>10</v>
      </c>
    </row>
    <row r="10" spans="1:27" s="107" customFormat="1" ht="15.6" customHeight="1">
      <c r="A10" s="108" t="s">
        <v>22</v>
      </c>
      <c r="B10" s="36" t="s">
        <v>11</v>
      </c>
      <c r="C10" s="109"/>
      <c r="D10" s="110"/>
      <c r="E10" s="111" t="s">
        <v>13</v>
      </c>
      <c r="F10" s="112"/>
      <c r="G10" s="41" t="s">
        <v>7</v>
      </c>
      <c r="H10" s="36" t="s">
        <v>14</v>
      </c>
      <c r="I10" s="111" t="s">
        <v>14</v>
      </c>
      <c r="J10" s="36" t="s">
        <v>25</v>
      </c>
      <c r="K10" s="108" t="s">
        <v>26</v>
      </c>
      <c r="L10" s="36" t="s">
        <v>17</v>
      </c>
      <c r="M10" s="36" t="s">
        <v>18</v>
      </c>
      <c r="N10" s="113"/>
      <c r="R10" s="171" t="s">
        <v>62</v>
      </c>
      <c r="S10" s="172" t="s">
        <v>63</v>
      </c>
      <c r="T10" s="171" t="s">
        <v>64</v>
      </c>
      <c r="U10" s="172" t="s">
        <v>65</v>
      </c>
      <c r="V10" s="172" t="s">
        <v>66</v>
      </c>
      <c r="W10" s="171" t="s">
        <v>67</v>
      </c>
      <c r="X10" s="171" t="s">
        <v>68</v>
      </c>
      <c r="Y10" s="188" t="s">
        <v>69</v>
      </c>
      <c r="Z10" s="188"/>
      <c r="AA10" s="188"/>
    </row>
    <row r="11" spans="1:27" ht="15.4" customHeight="1">
      <c r="A11" s="51"/>
      <c r="B11" s="60"/>
      <c r="C11" s="61"/>
      <c r="D11" s="141"/>
      <c r="E11" s="114"/>
      <c r="F11" s="55"/>
      <c r="G11" s="55"/>
      <c r="H11" s="142"/>
      <c r="I11" s="142"/>
      <c r="J11" s="143"/>
      <c r="K11" s="115"/>
      <c r="L11" s="55" t="s">
        <v>27</v>
      </c>
      <c r="M11" s="116"/>
      <c r="N11" s="117"/>
      <c r="S11" s="193"/>
      <c r="V11" s="193"/>
    </row>
    <row r="12" spans="1:27" ht="15.4" customHeight="1">
      <c r="A12" s="51"/>
      <c r="B12" s="60"/>
      <c r="C12" s="61" t="str">
        <f>L11</f>
        <v>SSM A</v>
      </c>
      <c r="D12" s="62" t="str">
        <f>L12</f>
        <v>RM 1</v>
      </c>
      <c r="E12" s="60"/>
      <c r="F12" s="55">
        <v>-0.123</v>
      </c>
      <c r="G12" s="55">
        <v>-0.125</v>
      </c>
      <c r="H12" s="55">
        <f>AVERAGE(F12,G12)</f>
        <v>-0.124</v>
      </c>
      <c r="I12" s="55"/>
      <c r="J12" s="55">
        <f>H12-K12</f>
        <v>1.0000000000000009E-3</v>
      </c>
      <c r="K12" s="56">
        <v>-0.125</v>
      </c>
      <c r="L12" s="55" t="s">
        <v>49</v>
      </c>
      <c r="M12" s="115"/>
      <c r="N12" s="57" t="s">
        <v>87</v>
      </c>
      <c r="R12" s="170">
        <v>4.8140000000000001</v>
      </c>
      <c r="T12" s="170">
        <v>4.819</v>
      </c>
      <c r="U12" s="129" t="s">
        <v>81</v>
      </c>
      <c r="V12" s="129"/>
      <c r="W12" s="170">
        <f>R12-T12</f>
        <v>-4.9999999999998934E-3</v>
      </c>
      <c r="Y12" s="189" cm="1">
        <f t="array" ref="Y12">Law_of_Cosine(T12,T13,hmsminus(U13,U12))</f>
        <v>6.7589957979182111</v>
      </c>
      <c r="AA12" s="200" cm="1">
        <f t="array" ref="AA12">Law_of_Cosine(T12,T14,hmsminus(U14,U12))</f>
        <v>9.6109996134580644</v>
      </c>
    </row>
    <row r="13" spans="1:27" ht="15.4" customHeight="1">
      <c r="A13" s="51"/>
      <c r="B13" s="144"/>
      <c r="C13" s="61"/>
      <c r="D13" s="62" t="str">
        <f>L13</f>
        <v>RM 2</v>
      </c>
      <c r="E13" s="60"/>
      <c r="F13" s="55">
        <v>-0.23400000000000001</v>
      </c>
      <c r="G13" s="55">
        <v>-0.23599999999999999</v>
      </c>
      <c r="H13" s="55">
        <f>AVERAGE(F13,G13)</f>
        <v>-0.23499999999999999</v>
      </c>
      <c r="I13" s="55"/>
      <c r="J13" s="55">
        <f>H13-K13</f>
        <v>2.0000000000000018E-3</v>
      </c>
      <c r="K13" s="56">
        <v>-0.23699999999999999</v>
      </c>
      <c r="L13" s="55" t="s">
        <v>50</v>
      </c>
      <c r="M13" s="115"/>
      <c r="N13" s="57"/>
      <c r="R13" s="170">
        <v>4.742</v>
      </c>
      <c r="T13" s="170">
        <v>4.7380000000000004</v>
      </c>
      <c r="U13" s="129" t="s">
        <v>82</v>
      </c>
      <c r="V13" s="129"/>
      <c r="W13" s="170">
        <f>R13-T13</f>
        <v>3.9999999999995595E-3</v>
      </c>
      <c r="Y13" s="199"/>
      <c r="Z13" s="202" cm="1">
        <f t="array" ref="Z13">Law_of_Cosine(T13,T14,hmsminus(U14,U13))</f>
        <v>6.7398157942301298</v>
      </c>
      <c r="AA13" s="204"/>
    </row>
    <row r="14" spans="1:27" ht="15.4" customHeight="1">
      <c r="A14" s="51"/>
      <c r="B14" s="144"/>
      <c r="C14" s="61"/>
      <c r="D14" s="62" t="str">
        <f>L14</f>
        <v>RM 3</v>
      </c>
      <c r="E14" s="60"/>
      <c r="F14" s="119">
        <v>-0.34499999999999997</v>
      </c>
      <c r="G14" s="55">
        <v>-0.34300000000000003</v>
      </c>
      <c r="H14" s="55">
        <f>AVERAGE(F14,G14)</f>
        <v>-0.34399999999999997</v>
      </c>
      <c r="I14" s="55"/>
      <c r="J14" s="55">
        <f>H14-K14</f>
        <v>3.0000000000000027E-3</v>
      </c>
      <c r="K14" s="56">
        <v>-0.34699999999999998</v>
      </c>
      <c r="L14" s="55" t="s">
        <v>51</v>
      </c>
      <c r="M14" s="116"/>
      <c r="N14" s="145"/>
      <c r="R14" s="170">
        <v>4.7930000000000001</v>
      </c>
      <c r="T14" s="170">
        <v>4.7919999999999998</v>
      </c>
      <c r="U14" s="129" t="s">
        <v>83</v>
      </c>
      <c r="V14" s="129"/>
      <c r="W14" s="170">
        <f>R14-T14</f>
        <v>1.000000000000334E-3</v>
      </c>
      <c r="Z14" s="203"/>
      <c r="AA14" s="201"/>
    </row>
    <row r="15" spans="1:27" ht="15.4" customHeight="1">
      <c r="A15" s="51"/>
      <c r="B15" s="144"/>
      <c r="C15" s="146"/>
      <c r="D15" s="62"/>
      <c r="E15" s="60"/>
      <c r="F15" s="55"/>
      <c r="G15" s="55"/>
      <c r="H15" s="55"/>
      <c r="I15" s="147"/>
      <c r="J15" s="143"/>
      <c r="K15" s="148"/>
      <c r="L15" s="54"/>
      <c r="M15" s="115"/>
      <c r="N15" s="117"/>
      <c r="S15" s="193"/>
      <c r="V15" s="193"/>
    </row>
    <row r="16" spans="1:27" ht="15.4" customHeight="1">
      <c r="A16" s="51"/>
      <c r="B16" s="144"/>
      <c r="C16" s="61"/>
      <c r="D16" s="141"/>
      <c r="E16" s="60"/>
      <c r="F16" s="55"/>
      <c r="G16" s="55"/>
      <c r="H16" s="55"/>
      <c r="I16" s="142"/>
      <c r="J16" s="143"/>
      <c r="K16" s="115"/>
      <c r="L16" s="55" t="s">
        <v>28</v>
      </c>
      <c r="M16" s="115"/>
      <c r="N16" s="117" t="s">
        <v>84</v>
      </c>
      <c r="R16" s="192" t="s">
        <v>75</v>
      </c>
      <c r="S16" s="194" t="s">
        <v>74</v>
      </c>
      <c r="T16" s="170"/>
      <c r="V16" s="193" t="s">
        <v>70</v>
      </c>
      <c r="W16" s="170"/>
      <c r="X16" s="170"/>
      <c r="Y16" s="130"/>
    </row>
    <row r="17" spans="1:27" ht="15.4" customHeight="1">
      <c r="A17" s="51"/>
      <c r="B17" s="144"/>
      <c r="C17" s="61" t="str">
        <f>L16</f>
        <v>SSM B</v>
      </c>
      <c r="D17" s="62" t="str">
        <f>L17</f>
        <v>RM 1</v>
      </c>
      <c r="E17" s="60"/>
      <c r="F17" s="55">
        <v>-0.123</v>
      </c>
      <c r="G17" s="55">
        <v>-0.125</v>
      </c>
      <c r="H17" s="55">
        <f>AVERAGE(F17,G17)</f>
        <v>-0.124</v>
      </c>
      <c r="I17" s="55"/>
      <c r="J17" s="55"/>
      <c r="K17" s="56"/>
      <c r="L17" s="55" t="s">
        <v>49</v>
      </c>
      <c r="M17" s="115"/>
      <c r="N17" s="57" t="s">
        <v>85</v>
      </c>
      <c r="R17" s="170">
        <v>2.6259999999999999</v>
      </c>
      <c r="S17" s="193" t="str" cm="1">
        <f t="array" ref="S17">hmsplus(hmsminus(V17,V16),S16)</f>
        <v>54 34 51.48</v>
      </c>
      <c r="T17" s="170"/>
      <c r="V17" s="193" t="s">
        <v>71</v>
      </c>
      <c r="W17" s="170"/>
      <c r="X17" s="170"/>
      <c r="Y17" s="189" cm="1">
        <f t="array" ref="Y17">Law_of_Cosine(R17,R18,hmsminus(S18,S17))</f>
        <v>4.9219863715012799</v>
      </c>
      <c r="Z17" s="6"/>
      <c r="AA17" s="189" cm="1">
        <f t="array" ref="AA17">Law_of_Cosine(R17,R19,hmsminus(S19,S17))</f>
        <v>4.3871347749211695</v>
      </c>
    </row>
    <row r="18" spans="1:27" ht="15.4" customHeight="1">
      <c r="A18" s="51"/>
      <c r="B18" s="144"/>
      <c r="C18" s="61"/>
      <c r="D18" s="62" t="str">
        <f>L18</f>
        <v>RM 2</v>
      </c>
      <c r="E18" s="60"/>
      <c r="F18" s="55">
        <v>-0.23400000000000001</v>
      </c>
      <c r="G18" s="55">
        <v>-0.23599999999999999</v>
      </c>
      <c r="H18" s="55">
        <f>AVERAGE(F18,G18)</f>
        <v>-0.23499999999999999</v>
      </c>
      <c r="I18" s="55"/>
      <c r="J18" s="55"/>
      <c r="K18" s="56"/>
      <c r="L18" s="55" t="s">
        <v>50</v>
      </c>
      <c r="M18" s="116"/>
      <c r="N18" s="57" t="s">
        <v>86</v>
      </c>
      <c r="R18" s="170">
        <v>3.7280000000000002</v>
      </c>
      <c r="S18" s="193" t="str" cm="1">
        <f t="array" ref="S18">hmsplus(hmsminus(V18,V17),S17)</f>
        <v>154 40 35.48</v>
      </c>
      <c r="T18" s="170"/>
      <c r="V18" s="193" t="s">
        <v>72</v>
      </c>
      <c r="W18" s="170"/>
      <c r="X18" s="170"/>
      <c r="Y18" s="190"/>
      <c r="Z18" s="189" cm="1">
        <f t="array" ref="Z18">Law_of_Cosine(R18,R19,hmsminus(S19,S18))</f>
        <v>6.7741522811244721</v>
      </c>
      <c r="AA18" s="191"/>
    </row>
    <row r="19" spans="1:27" ht="15.4" customHeight="1">
      <c r="A19" s="149"/>
      <c r="B19" s="144"/>
      <c r="C19" s="61"/>
      <c r="D19" s="62" t="str">
        <f>L19</f>
        <v>RM 3</v>
      </c>
      <c r="E19" s="60"/>
      <c r="F19" s="119">
        <v>-0.34499999999999997</v>
      </c>
      <c r="G19" s="55">
        <v>-0.34300000000000003</v>
      </c>
      <c r="H19" s="55">
        <f>AVERAGE(F19,G19)</f>
        <v>-0.34399999999999997</v>
      </c>
      <c r="I19" s="55"/>
      <c r="J19" s="55"/>
      <c r="K19" s="56"/>
      <c r="L19" s="55" t="s">
        <v>51</v>
      </c>
      <c r="M19" s="115"/>
      <c r="N19" s="57" t="s">
        <v>86</v>
      </c>
      <c r="R19" s="170">
        <v>3.1379999999999999</v>
      </c>
      <c r="S19" s="193" t="str" cm="1">
        <f t="array" ref="S19">hmsplus(hmsminus(V19,V18),S18)</f>
        <v>315 50 30.48</v>
      </c>
      <c r="T19" s="170"/>
      <c r="V19" s="193" t="s">
        <v>73</v>
      </c>
      <c r="W19" s="170"/>
      <c r="X19" s="170"/>
      <c r="Y19" s="6"/>
      <c r="Z19" s="190"/>
      <c r="AA19" s="190"/>
    </row>
    <row r="20" spans="1:27" ht="15.4" customHeight="1">
      <c r="A20" s="51"/>
      <c r="B20" s="60"/>
      <c r="C20" s="61"/>
      <c r="D20" s="62"/>
      <c r="E20" s="60"/>
      <c r="F20" s="55"/>
      <c r="G20" s="55"/>
      <c r="H20" s="55"/>
      <c r="I20" s="55"/>
      <c r="J20" s="55"/>
      <c r="K20" s="56"/>
      <c r="L20" s="55"/>
      <c r="M20" s="115"/>
      <c r="N20" s="57"/>
      <c r="S20" s="193"/>
      <c r="V20" s="193"/>
    </row>
    <row r="21" spans="1:27" ht="15.4" customHeight="1">
      <c r="A21" s="51"/>
      <c r="B21" s="60"/>
      <c r="C21" s="61"/>
      <c r="D21" s="141"/>
      <c r="E21" s="114"/>
      <c r="F21" s="55"/>
      <c r="G21" s="55"/>
      <c r="H21" s="142"/>
      <c r="I21" s="142"/>
      <c r="J21" s="143"/>
      <c r="K21" s="115"/>
      <c r="L21" s="55" t="s">
        <v>29</v>
      </c>
      <c r="M21" s="115"/>
      <c r="N21" s="57"/>
      <c r="S21" s="193"/>
      <c r="V21" s="193"/>
    </row>
    <row r="22" spans="1:27" ht="15.4" customHeight="1">
      <c r="A22" s="51"/>
      <c r="B22" s="60"/>
      <c r="C22" s="61" t="str">
        <f>L21</f>
        <v>SSM C</v>
      </c>
      <c r="D22" s="62" t="str">
        <f>L22</f>
        <v>RM 1</v>
      </c>
      <c r="E22" s="60"/>
      <c r="F22" s="55">
        <v>-0.123</v>
      </c>
      <c r="G22" s="55">
        <v>-0.125</v>
      </c>
      <c r="H22" s="55">
        <f>AVERAGE(F22,G22)</f>
        <v>-0.124</v>
      </c>
      <c r="I22" s="55"/>
      <c r="J22" s="55">
        <f>H22-K22</f>
        <v>1.0000000000000009E-3</v>
      </c>
      <c r="K22" s="56">
        <v>-0.125</v>
      </c>
      <c r="L22" s="55" t="s">
        <v>49</v>
      </c>
      <c r="M22" s="115"/>
      <c r="N22" s="57"/>
      <c r="R22" s="170">
        <v>4.1360000000000001</v>
      </c>
      <c r="S22" s="195" t="str" cm="1">
        <f t="array" ref="S22">hmsplus(U22,"0 3 28.81")</f>
        <v>192 24 29.81</v>
      </c>
      <c r="T22" s="170">
        <v>4.1379999999999999</v>
      </c>
      <c r="U22" s="195" t="s">
        <v>76</v>
      </c>
      <c r="V22" s="129" t="s">
        <v>70</v>
      </c>
      <c r="W22" s="170">
        <f>R22-T22</f>
        <v>-1.9999999999997797E-3</v>
      </c>
      <c r="X22" s="130">
        <f>TAN(RADIANS(dd(S22)-dd(U22))*R22)</f>
        <v>4.1870604231532991E-3</v>
      </c>
      <c r="Y22" s="189" cm="1">
        <f t="array" ref="Y22">Law_of_Cosine(T22,T23,hmsminus(U23,U22))</f>
        <v>6.0777607575550254</v>
      </c>
      <c r="AA22" s="200" cm="1">
        <f t="array" ref="AA22">Law_of_Cosine(T22,R24,hmsminus(S24,U22))</f>
        <v>6.8326818938939216</v>
      </c>
    </row>
    <row r="23" spans="1:27" ht="15.4" customHeight="1">
      <c r="A23" s="51"/>
      <c r="B23" s="60"/>
      <c r="C23" s="61"/>
      <c r="D23" s="62" t="str">
        <f>L23</f>
        <v>RM 2</v>
      </c>
      <c r="E23" s="60"/>
      <c r="F23" s="55">
        <v>-0.254</v>
      </c>
      <c r="G23" s="55">
        <v>-0.25600000000000001</v>
      </c>
      <c r="H23" s="55">
        <f>AVERAGE(F23,G23)</f>
        <v>-0.255</v>
      </c>
      <c r="I23" s="55"/>
      <c r="J23" s="139">
        <f>H23-K23</f>
        <v>-1.8000000000000016E-2</v>
      </c>
      <c r="K23" s="138">
        <v>-0.23699999999999999</v>
      </c>
      <c r="L23" s="55" t="s">
        <v>50</v>
      </c>
      <c r="M23" s="115"/>
      <c r="N23" s="57" t="s">
        <v>52</v>
      </c>
      <c r="R23" s="118">
        <v>3.9079999999999999</v>
      </c>
      <c r="S23" s="195" t="str" cm="1">
        <f t="array" ref="S23">hmsplus(S22,V23)</f>
        <v>94 12 58.81</v>
      </c>
      <c r="T23" s="170">
        <v>3.9079999999999999</v>
      </c>
      <c r="U23" s="195" t="s">
        <v>77</v>
      </c>
      <c r="V23" s="129" t="s">
        <v>78</v>
      </c>
      <c r="W23" s="170">
        <f>R23-T23</f>
        <v>0</v>
      </c>
      <c r="X23" s="130">
        <f>TAN(RADIANS(dd(S23)-dd(U23))*R23)</f>
        <v>-3.9560537334369823E-3</v>
      </c>
      <c r="Y23" s="199"/>
      <c r="Z23" s="202" cm="1">
        <f t="array" ref="Z23">Law_of_Cosine(T23,R24,hmsminus(S24,U23))</f>
        <v>7.4671220003561753</v>
      </c>
      <c r="AA23" s="204"/>
    </row>
    <row r="24" spans="1:27" ht="15.4" customHeight="1">
      <c r="A24" s="51"/>
      <c r="B24" s="60"/>
      <c r="C24" s="61"/>
      <c r="D24" s="62" t="str">
        <f>L24</f>
        <v>RM 3 4</v>
      </c>
      <c r="E24" s="60"/>
      <c r="F24" s="119">
        <v>-0.38500000000000001</v>
      </c>
      <c r="G24" s="55">
        <v>-0.38300000000000001</v>
      </c>
      <c r="H24" s="55">
        <f>AVERAGE(F24,G24)</f>
        <v>-0.38400000000000001</v>
      </c>
      <c r="I24" s="55"/>
      <c r="J24" s="139">
        <f>H24-K24</f>
        <v>-3.7000000000000033E-2</v>
      </c>
      <c r="K24" s="138">
        <v>-0.34699999999999998</v>
      </c>
      <c r="L24" s="55" t="s">
        <v>53</v>
      </c>
      <c r="M24" s="115"/>
      <c r="N24" s="57" t="s">
        <v>54</v>
      </c>
      <c r="R24" s="170">
        <v>3.907</v>
      </c>
      <c r="S24" s="129" t="str" cm="1">
        <f t="array" ref="S24">hmsplus(S22,V24)</f>
        <v>308 35 37.81</v>
      </c>
      <c r="T24" s="196">
        <v>3.8570000000000002</v>
      </c>
      <c r="U24" s="197" t="s">
        <v>80</v>
      </c>
      <c r="V24" s="129" t="s">
        <v>79</v>
      </c>
      <c r="W24" s="196">
        <f>R24-T24</f>
        <v>4.9999999999999822E-2</v>
      </c>
      <c r="X24" s="198">
        <f>TAN(RADIANS(dd(S24)-dd(U24))*R24)</f>
        <v>1.1324004054147968E-2</v>
      </c>
      <c r="Z24" s="203"/>
      <c r="AA24" s="201"/>
    </row>
    <row r="25" spans="1:27" ht="15.4" customHeight="1">
      <c r="A25" s="51"/>
      <c r="B25" s="60"/>
      <c r="C25" s="61"/>
      <c r="D25" s="62"/>
      <c r="E25" s="60"/>
      <c r="F25" s="55"/>
      <c r="G25" s="55"/>
      <c r="H25" s="55"/>
      <c r="I25" s="55"/>
      <c r="J25" s="55"/>
      <c r="K25" s="56"/>
      <c r="L25" s="55"/>
      <c r="M25" s="115"/>
      <c r="N25" s="57"/>
      <c r="S25" s="193"/>
      <c r="V25" s="193"/>
    </row>
    <row r="26" spans="1:27" ht="15.4" customHeight="1">
      <c r="A26" s="51"/>
      <c r="B26" s="60"/>
      <c r="C26" s="61"/>
      <c r="D26" s="62"/>
      <c r="E26" s="60"/>
      <c r="F26" s="55"/>
      <c r="G26" s="55"/>
      <c r="H26" s="55"/>
      <c r="I26" s="55"/>
      <c r="J26" s="55"/>
      <c r="K26" s="56"/>
      <c r="L26" s="55"/>
      <c r="M26" s="115"/>
      <c r="N26" s="57"/>
      <c r="S26" s="193"/>
      <c r="V26" s="193"/>
    </row>
    <row r="27" spans="1:27" ht="15.4" customHeight="1">
      <c r="A27" s="51"/>
      <c r="B27" s="60"/>
      <c r="C27" s="60"/>
      <c r="D27" s="60"/>
      <c r="E27" s="60"/>
      <c r="F27" s="60"/>
      <c r="G27" s="60"/>
      <c r="H27" s="60"/>
      <c r="I27" s="60"/>
      <c r="J27" s="60"/>
      <c r="K27" s="60"/>
      <c r="L27" s="60"/>
      <c r="M27" s="60"/>
      <c r="N27" s="57"/>
      <c r="S27" s="193"/>
      <c r="V27" s="193"/>
    </row>
    <row r="28" spans="1:27" ht="15.4" customHeight="1">
      <c r="A28" s="51"/>
      <c r="B28" s="60"/>
      <c r="C28" s="61"/>
      <c r="D28" s="62"/>
      <c r="E28" s="60"/>
      <c r="F28" s="55"/>
      <c r="G28" s="55"/>
      <c r="H28" s="55"/>
      <c r="I28" s="55"/>
      <c r="J28" s="55"/>
      <c r="K28" s="56"/>
      <c r="L28" s="55"/>
      <c r="M28" s="115"/>
      <c r="N28" s="57"/>
      <c r="S28" s="193"/>
      <c r="V28" s="193"/>
    </row>
    <row r="29" spans="1:27" ht="15.4" customHeight="1">
      <c r="A29" s="51"/>
      <c r="B29" s="60"/>
      <c r="C29" s="61"/>
      <c r="D29" s="62"/>
      <c r="E29" s="60"/>
      <c r="F29" s="55"/>
      <c r="G29" s="55"/>
      <c r="H29" s="55"/>
      <c r="I29" s="55"/>
      <c r="J29" s="55"/>
      <c r="K29" s="56"/>
      <c r="L29" s="55"/>
      <c r="M29" s="115"/>
      <c r="N29" s="57"/>
      <c r="S29" s="193"/>
      <c r="V29" s="193"/>
    </row>
    <row r="30" spans="1:27" ht="15.4" customHeight="1">
      <c r="A30" s="51"/>
      <c r="B30" s="60"/>
      <c r="C30" s="61"/>
      <c r="D30" s="62"/>
      <c r="E30" s="60"/>
      <c r="F30" s="55"/>
      <c r="G30" s="55"/>
      <c r="H30" s="55"/>
      <c r="I30" s="55"/>
      <c r="J30" s="55"/>
      <c r="K30" s="56"/>
      <c r="L30" s="55"/>
      <c r="M30" s="115"/>
      <c r="N30" s="57"/>
      <c r="S30" s="193"/>
      <c r="V30" s="193"/>
    </row>
    <row r="31" spans="1:27" ht="15.4" customHeight="1">
      <c r="A31" s="51"/>
      <c r="B31" s="60"/>
      <c r="C31" s="61"/>
      <c r="D31" s="62"/>
      <c r="E31" s="60"/>
      <c r="F31" s="55"/>
      <c r="G31" s="55"/>
      <c r="H31" s="55"/>
      <c r="I31" s="55"/>
      <c r="J31" s="55"/>
      <c r="K31" s="56"/>
      <c r="L31" s="55"/>
      <c r="M31" s="115"/>
      <c r="N31" s="57"/>
      <c r="S31" s="193"/>
      <c r="V31" s="193"/>
    </row>
    <row r="32" spans="1:27" ht="15.4" customHeight="1">
      <c r="A32" s="51"/>
      <c r="B32" s="60"/>
      <c r="C32" s="61"/>
      <c r="D32" s="62"/>
      <c r="E32" s="60"/>
      <c r="F32" s="55"/>
      <c r="G32" s="55"/>
      <c r="H32" s="55"/>
      <c r="I32" s="55"/>
      <c r="J32" s="55"/>
      <c r="K32" s="56"/>
      <c r="L32" s="55"/>
      <c r="M32" s="115"/>
      <c r="N32" s="57"/>
      <c r="S32" s="193"/>
      <c r="V32" s="193"/>
    </row>
    <row r="33" spans="1:22" ht="15.4" customHeight="1">
      <c r="A33" s="51"/>
      <c r="B33" s="60"/>
      <c r="C33" s="61"/>
      <c r="D33" s="62"/>
      <c r="E33" s="60"/>
      <c r="F33" s="55"/>
      <c r="G33" s="55"/>
      <c r="H33" s="55"/>
      <c r="I33" s="55"/>
      <c r="J33" s="55"/>
      <c r="K33" s="56"/>
      <c r="L33" s="55"/>
      <c r="M33" s="115"/>
      <c r="N33" s="57"/>
      <c r="S33" s="193"/>
      <c r="V33" s="193"/>
    </row>
    <row r="34" spans="1:22" ht="15.4" customHeight="1">
      <c r="A34" s="51"/>
      <c r="B34" s="60"/>
      <c r="C34" s="61"/>
      <c r="D34" s="62"/>
      <c r="E34" s="60"/>
      <c r="F34" s="55"/>
      <c r="G34" s="55"/>
      <c r="H34" s="55"/>
      <c r="I34" s="55"/>
      <c r="J34" s="55"/>
      <c r="K34" s="56"/>
      <c r="L34" s="55"/>
      <c r="M34" s="115"/>
      <c r="N34" s="57"/>
      <c r="S34" s="193"/>
      <c r="V34" s="193"/>
    </row>
    <row r="35" spans="1:22" ht="15.4" customHeight="1">
      <c r="A35" s="51"/>
      <c r="B35" s="60"/>
      <c r="C35" s="61"/>
      <c r="D35" s="62"/>
      <c r="E35" s="60"/>
      <c r="F35" s="55"/>
      <c r="G35" s="55"/>
      <c r="H35" s="55"/>
      <c r="I35" s="55"/>
      <c r="J35" s="55"/>
      <c r="K35" s="56"/>
      <c r="L35" s="55"/>
      <c r="M35" s="115"/>
      <c r="N35" s="57"/>
      <c r="S35" s="193"/>
      <c r="V35" s="193"/>
    </row>
    <row r="36" spans="1:22" ht="15.4" customHeight="1">
      <c r="A36" s="65"/>
      <c r="B36" s="120"/>
      <c r="C36" s="121"/>
      <c r="D36" s="122"/>
      <c r="E36" s="120"/>
      <c r="F36" s="69"/>
      <c r="G36" s="69"/>
      <c r="H36" s="69"/>
      <c r="I36" s="69"/>
      <c r="J36" s="69"/>
      <c r="K36" s="123"/>
      <c r="L36" s="69"/>
      <c r="M36" s="124"/>
      <c r="N36" s="70"/>
      <c r="S36" s="193"/>
      <c r="V36" s="193"/>
    </row>
    <row r="40" spans="1:22">
      <c r="C40" s="140"/>
    </row>
  </sheetData>
  <mergeCells count="10">
    <mergeCell ref="Y10:AA10"/>
    <mergeCell ref="Y17:Y18"/>
    <mergeCell ref="AA17:AA19"/>
    <mergeCell ref="Z18:Z19"/>
    <mergeCell ref="Y22:Y23"/>
    <mergeCell ref="AA22:AA24"/>
    <mergeCell ref="Z23:Z24"/>
    <mergeCell ref="Y12:Y13"/>
    <mergeCell ref="Z13:Z14"/>
    <mergeCell ref="AA12:AA14"/>
  </mergeCells>
  <conditionalFormatting sqref="G24:G26 G28:G36">
    <cfRule type="expression" dxfId="7" priority="7">
      <formula>IF(G24&lt;&gt;"",ABS(F24-G24)&gt;0.002,FALSE)</formula>
    </cfRule>
  </conditionalFormatting>
  <conditionalFormatting sqref="G11:G23">
    <cfRule type="expression" dxfId="6" priority="6">
      <formula>IF(G11&lt;&gt;"",ABS(F11-G11)&gt;0.002,FALSE)</formula>
    </cfRule>
  </conditionalFormatting>
  <conditionalFormatting sqref="W10:Y10">
    <cfRule type="expression" dxfId="4" priority="4">
      <formula>ABS(W10)&gt;0.01</formula>
    </cfRule>
  </conditionalFormatting>
  <conditionalFormatting sqref="Y16 W16:X19">
    <cfRule type="expression" dxfId="3" priority="3">
      <formula>ABS(W16)&gt;0.01</formula>
    </cfRule>
  </conditionalFormatting>
  <conditionalFormatting sqref="W22:X24">
    <cfRule type="expression" dxfId="2" priority="2">
      <formula>ABS(W22)&gt;0.01</formula>
    </cfRule>
  </conditionalFormatting>
  <conditionalFormatting sqref="W12:W14">
    <cfRule type="expression" dxfId="1" priority="1">
      <formula>ABS(W12)&gt;0.01</formula>
    </cfRule>
  </conditionalFormatting>
  <printOptions horizontalCentered="1" verticalCentered="1"/>
  <pageMargins left="3.937007874015748E-2" right="3.937007874015748E-2" top="0.19685039370078741" bottom="0.19685039370078741" header="0.19685039370078741" footer="0.19685039370078741"/>
  <pageSetup paperSize="9" scale="93" orientation="landscape" r:id="rId1"/>
  <headerFooter alignWithMargins="0">
    <oddFooter>&amp;LFile &amp;F        Date &amp;D&amp;RPage 2 of 2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Q80"/>
  <sheetViews>
    <sheetView workbookViewId="0"/>
  </sheetViews>
  <sheetFormatPr defaultColWidth="9.140625" defaultRowHeight="12.75"/>
  <cols>
    <col min="1" max="1" width="3.5703125" style="6" customWidth="1"/>
    <col min="2" max="2" width="7.28515625" style="126" customWidth="1"/>
    <col min="3" max="3" width="10.42578125" style="126" customWidth="1"/>
    <col min="4" max="4" width="10.42578125" style="127" customWidth="1"/>
    <col min="5" max="5" width="7.28515625" style="126" customWidth="1"/>
    <col min="6" max="6" width="9.28515625" style="125" customWidth="1"/>
    <col min="7" max="10" width="9.28515625" style="126" customWidth="1"/>
    <col min="11" max="11" width="11.140625" style="118" customWidth="1"/>
    <col min="12" max="12" width="11.42578125" style="118" customWidth="1"/>
    <col min="13" max="13" width="11.140625" style="128" customWidth="1"/>
    <col min="14" max="14" width="26.140625" style="118" customWidth="1"/>
    <col min="15" max="15" width="6.28515625" style="118" hidden="1" customWidth="1"/>
    <col min="16" max="16" width="0" style="118" hidden="1" customWidth="1"/>
    <col min="17" max="17" width="10" style="118" customWidth="1"/>
    <col min="18" max="16384" width="9.140625" style="118"/>
  </cols>
  <sheetData>
    <row r="1" spans="1:17" s="6" customFormat="1">
      <c r="A1" s="1"/>
      <c r="B1" s="2"/>
      <c r="C1" s="2"/>
      <c r="D1" s="3"/>
      <c r="E1" s="2"/>
      <c r="F1" s="4"/>
      <c r="G1" s="2"/>
      <c r="H1" s="2"/>
      <c r="I1" s="5"/>
      <c r="J1" s="2"/>
      <c r="K1" s="2"/>
      <c r="L1" s="2"/>
      <c r="M1" s="5"/>
      <c r="N1" s="2"/>
      <c r="Q1" s="7"/>
    </row>
    <row r="2" spans="1:17" s="6" customFormat="1">
      <c r="A2" s="8" t="s">
        <v>30</v>
      </c>
      <c r="B2" s="8"/>
      <c r="C2" s="8"/>
      <c r="D2" s="9"/>
      <c r="E2" s="5"/>
      <c r="F2" s="10" t="s">
        <v>0</v>
      </c>
      <c r="G2" s="8"/>
      <c r="H2" s="5"/>
      <c r="I2" s="5"/>
      <c r="J2" s="5"/>
      <c r="K2" s="8"/>
      <c r="M2" s="8" t="s">
        <v>31</v>
      </c>
      <c r="N2" s="8"/>
      <c r="O2" s="5"/>
      <c r="Q2" s="7"/>
    </row>
    <row r="3" spans="1:17" s="6" customFormat="1">
      <c r="A3" s="8"/>
      <c r="B3" s="8"/>
      <c r="C3" s="8"/>
      <c r="D3" s="9"/>
      <c r="E3" s="5"/>
      <c r="F3" s="11"/>
      <c r="G3" s="5"/>
      <c r="H3" s="5"/>
      <c r="I3" s="5"/>
      <c r="J3" s="5"/>
      <c r="K3" s="5"/>
      <c r="L3" s="5"/>
      <c r="M3" s="5"/>
      <c r="N3" s="5"/>
      <c r="Q3" s="7"/>
    </row>
    <row r="4" spans="1:17" s="6" customFormat="1">
      <c r="A4" s="8" t="s">
        <v>32</v>
      </c>
      <c r="B4" s="5"/>
      <c r="C4" s="5"/>
      <c r="D4" s="12"/>
      <c r="E4" s="5"/>
      <c r="F4" s="10" t="s">
        <v>33</v>
      </c>
      <c r="G4" s="5"/>
      <c r="H4" s="5"/>
      <c r="I4" s="5"/>
      <c r="J4" s="5"/>
      <c r="K4" s="8"/>
      <c r="M4" s="8" t="s">
        <v>34</v>
      </c>
      <c r="N4" s="8"/>
      <c r="O4" s="5"/>
      <c r="Q4" s="7"/>
    </row>
    <row r="5" spans="1:17" s="6" customFormat="1">
      <c r="A5" s="5"/>
      <c r="B5" s="5"/>
      <c r="C5" s="5"/>
      <c r="D5" s="12"/>
      <c r="E5" s="5"/>
      <c r="F5" s="11"/>
      <c r="G5" s="5"/>
      <c r="H5" s="5"/>
      <c r="I5" s="5"/>
      <c r="J5" s="5"/>
      <c r="K5" s="5"/>
      <c r="L5" s="5"/>
      <c r="M5" s="5"/>
      <c r="N5" s="5"/>
      <c r="Q5" s="7"/>
    </row>
    <row r="6" spans="1:17" s="6" customFormat="1">
      <c r="A6" s="8" t="s">
        <v>35</v>
      </c>
      <c r="B6" s="5"/>
      <c r="C6" s="5"/>
      <c r="D6" s="12"/>
      <c r="E6" s="5"/>
      <c r="F6" s="10" t="s">
        <v>36</v>
      </c>
      <c r="G6" s="8"/>
      <c r="H6" s="13" t="s">
        <v>19</v>
      </c>
      <c r="I6" s="14">
        <v>1</v>
      </c>
      <c r="K6" s="15" t="s">
        <v>37</v>
      </c>
      <c r="L6" s="8"/>
      <c r="M6" s="8" t="s">
        <v>38</v>
      </c>
      <c r="N6" s="8"/>
      <c r="O6" s="5"/>
      <c r="Q6" s="7"/>
    </row>
    <row r="7" spans="1:17" s="6" customFormat="1" ht="12.75" customHeight="1">
      <c r="A7" s="16"/>
      <c r="B7" s="16"/>
      <c r="C7" s="16"/>
      <c r="D7" s="17"/>
      <c r="E7" s="16"/>
      <c r="F7" s="18"/>
      <c r="G7" s="18"/>
      <c r="H7" s="19" t="s">
        <v>20</v>
      </c>
      <c r="I7" s="20">
        <v>1.0000000000000001E-5</v>
      </c>
      <c r="J7" s="16"/>
      <c r="K7" s="21" t="s">
        <v>56</v>
      </c>
      <c r="L7" s="22">
        <v>25</v>
      </c>
      <c r="M7" s="16"/>
      <c r="N7" s="16"/>
      <c r="Q7" s="7"/>
    </row>
    <row r="8" spans="1:17" s="100" customFormat="1" ht="15.6" customHeight="1">
      <c r="A8" s="88" t="s">
        <v>22</v>
      </c>
      <c r="B8" s="89"/>
      <c r="C8" s="90"/>
      <c r="D8" s="91"/>
      <c r="E8" s="92" t="s">
        <v>2</v>
      </c>
      <c r="F8" s="93" t="s">
        <v>3</v>
      </c>
      <c r="G8" s="94"/>
      <c r="H8" s="95"/>
      <c r="I8" s="96"/>
      <c r="J8" s="97"/>
      <c r="K8" s="94" t="s">
        <v>5</v>
      </c>
      <c r="L8" s="98"/>
      <c r="M8" s="98"/>
      <c r="N8" s="99"/>
    </row>
    <row r="9" spans="1:17" s="107" customFormat="1" ht="15.6" customHeight="1">
      <c r="A9" s="101" t="s">
        <v>22</v>
      </c>
      <c r="B9" s="36" t="s">
        <v>6</v>
      </c>
      <c r="C9" s="102" t="s">
        <v>1</v>
      </c>
      <c r="D9" s="103" t="s">
        <v>23</v>
      </c>
      <c r="E9" s="36" t="s">
        <v>6</v>
      </c>
      <c r="F9" s="104" t="s">
        <v>7</v>
      </c>
      <c r="G9" s="105" t="s">
        <v>8</v>
      </c>
      <c r="H9" s="41"/>
      <c r="I9" s="41" t="s">
        <v>9</v>
      </c>
      <c r="J9" s="41" t="s">
        <v>24</v>
      </c>
      <c r="K9" s="106"/>
      <c r="L9" s="106"/>
      <c r="M9" s="106"/>
      <c r="N9" s="37" t="s">
        <v>10</v>
      </c>
    </row>
    <row r="10" spans="1:17" s="107" customFormat="1" ht="15.6" customHeight="1">
      <c r="A10" s="108" t="s">
        <v>22</v>
      </c>
      <c r="B10" s="36" t="s">
        <v>11</v>
      </c>
      <c r="C10" s="109"/>
      <c r="D10" s="110"/>
      <c r="E10" s="111" t="s">
        <v>13</v>
      </c>
      <c r="F10" s="112"/>
      <c r="G10" s="41" t="s">
        <v>7</v>
      </c>
      <c r="H10" s="36" t="s">
        <v>14</v>
      </c>
      <c r="I10" s="111" t="s">
        <v>14</v>
      </c>
      <c r="J10" s="36" t="s">
        <v>25</v>
      </c>
      <c r="K10" s="108" t="s">
        <v>26</v>
      </c>
      <c r="L10" s="36" t="s">
        <v>17</v>
      </c>
      <c r="M10" s="36" t="s">
        <v>18</v>
      </c>
      <c r="N10" s="113"/>
    </row>
    <row r="11" spans="1:17" ht="15.4" customHeight="1">
      <c r="A11" s="135"/>
      <c r="B11" s="60"/>
      <c r="C11" s="61"/>
      <c r="D11" s="62"/>
      <c r="E11" s="114"/>
      <c r="F11" s="55"/>
      <c r="G11" s="55"/>
      <c r="H11" s="55"/>
      <c r="I11" s="55"/>
      <c r="J11" s="55"/>
      <c r="K11" s="55">
        <f>M14-F14</f>
        <v>132.11500000000001</v>
      </c>
      <c r="L11" s="55"/>
      <c r="M11" s="116"/>
      <c r="N11" s="117"/>
    </row>
    <row r="12" spans="1:17" ht="15.4" customHeight="1">
      <c r="A12" s="135"/>
      <c r="B12" s="60"/>
      <c r="C12" s="61"/>
      <c r="D12" s="62"/>
      <c r="E12" s="114"/>
      <c r="F12" s="55"/>
      <c r="G12" s="55"/>
      <c r="H12" s="55"/>
      <c r="I12" s="55"/>
      <c r="J12" s="55"/>
      <c r="K12" s="55">
        <f>M15-F15</f>
        <v>132.113</v>
      </c>
      <c r="L12" s="55"/>
      <c r="M12" s="116"/>
      <c r="N12" s="117"/>
    </row>
    <row r="13" spans="1:17" ht="15.4" customHeight="1">
      <c r="A13" s="135"/>
      <c r="B13" s="60"/>
      <c r="C13" s="61"/>
      <c r="D13" s="62"/>
      <c r="E13" s="114"/>
      <c r="F13" s="55"/>
      <c r="G13" s="55"/>
      <c r="H13" s="55"/>
      <c r="I13" s="55"/>
      <c r="J13" s="55"/>
      <c r="K13" s="55">
        <f>M16-F16</f>
        <v>132.11100000000002</v>
      </c>
      <c r="L13" s="55" t="s">
        <v>47</v>
      </c>
      <c r="M13" s="55">
        <f>AVERAGE(K11:K13)</f>
        <v>132.11300000000003</v>
      </c>
      <c r="N13" s="57" t="s">
        <v>48</v>
      </c>
    </row>
    <row r="14" spans="1:17" ht="15.4" customHeight="1">
      <c r="A14" s="135"/>
      <c r="B14" s="60"/>
      <c r="C14" s="61" t="str">
        <f>L13</f>
        <v>SSM 1A</v>
      </c>
      <c r="D14" s="62" t="str">
        <f>L14</f>
        <v>RM 5</v>
      </c>
      <c r="E14" s="114"/>
      <c r="F14" s="55">
        <v>0.22</v>
      </c>
      <c r="G14" s="55"/>
      <c r="H14" s="55"/>
      <c r="I14" s="55"/>
      <c r="J14" s="139">
        <f>F14-K14</f>
        <v>0.624</v>
      </c>
      <c r="K14" s="138">
        <v>-0.40400000000000003</v>
      </c>
      <c r="L14" s="56" t="s">
        <v>45</v>
      </c>
      <c r="M14" s="56">
        <f>$M$18+K14</f>
        <v>132.33500000000001</v>
      </c>
      <c r="N14" s="57" t="s">
        <v>41</v>
      </c>
    </row>
    <row r="15" spans="1:17" ht="15.4" customHeight="1">
      <c r="A15" s="135"/>
      <c r="B15" s="60"/>
      <c r="C15" s="61"/>
      <c r="D15" s="62" t="str">
        <f>L15</f>
        <v>RM 6</v>
      </c>
      <c r="E15" s="114"/>
      <c r="F15" s="55">
        <v>0.22800000000000001</v>
      </c>
      <c r="G15" s="55"/>
      <c r="H15" s="55"/>
      <c r="I15" s="55"/>
      <c r="J15" s="139">
        <f>F15-K15</f>
        <v>0.626</v>
      </c>
      <c r="K15" s="138">
        <v>-0.39800000000000002</v>
      </c>
      <c r="L15" s="56" t="s">
        <v>44</v>
      </c>
      <c r="M15" s="56">
        <f>$M$18+K15</f>
        <v>132.34100000000001</v>
      </c>
      <c r="N15" s="57" t="s">
        <v>41</v>
      </c>
      <c r="O15" s="126"/>
      <c r="P15" s="126"/>
      <c r="Q15" s="126"/>
    </row>
    <row r="16" spans="1:17" ht="15.4" customHeight="1">
      <c r="A16" s="135"/>
      <c r="B16" s="60"/>
      <c r="C16" s="61"/>
      <c r="D16" s="62" t="str">
        <f>L16</f>
        <v>RM 7</v>
      </c>
      <c r="E16" s="114"/>
      <c r="F16" s="55">
        <v>0.16400000000000001</v>
      </c>
      <c r="G16" s="55"/>
      <c r="H16" s="55"/>
      <c r="I16" s="55"/>
      <c r="J16" s="139">
        <f>F16-K16</f>
        <v>0.628</v>
      </c>
      <c r="K16" s="138">
        <v>-0.46400000000000002</v>
      </c>
      <c r="L16" s="56" t="s">
        <v>43</v>
      </c>
      <c r="M16" s="56">
        <f>$M$18+K16</f>
        <v>132.27500000000001</v>
      </c>
      <c r="N16" s="57" t="s">
        <v>42</v>
      </c>
      <c r="O16" s="126"/>
      <c r="P16" s="126"/>
      <c r="Q16" s="126"/>
    </row>
    <row r="17" spans="1:17" ht="15.4" customHeight="1">
      <c r="A17" s="135"/>
      <c r="B17" s="60"/>
      <c r="C17" s="61"/>
      <c r="D17" s="62"/>
      <c r="E17" s="114"/>
      <c r="F17" s="55"/>
      <c r="G17" s="55"/>
      <c r="H17" s="55"/>
      <c r="I17" s="55"/>
      <c r="J17" s="55"/>
      <c r="K17" s="56"/>
      <c r="L17" s="55"/>
      <c r="M17" s="115"/>
      <c r="N17" s="134"/>
      <c r="O17" s="126"/>
      <c r="P17" s="126"/>
      <c r="Q17" s="126"/>
    </row>
    <row r="18" spans="1:17" ht="15.4" customHeight="1">
      <c r="A18" s="135"/>
      <c r="B18" s="51"/>
      <c r="C18" s="52"/>
      <c r="D18" s="53"/>
      <c r="E18" s="54"/>
      <c r="F18" s="55"/>
      <c r="G18" s="137"/>
      <c r="H18" s="55"/>
      <c r="I18" s="55"/>
      <c r="J18" s="55"/>
      <c r="K18" s="55"/>
      <c r="L18" s="56" t="s">
        <v>46</v>
      </c>
      <c r="M18" s="56">
        <v>132.739</v>
      </c>
      <c r="N18" s="57" t="s">
        <v>41</v>
      </c>
      <c r="O18" s="6"/>
      <c r="P18" s="6"/>
      <c r="Q18" s="136"/>
    </row>
    <row r="19" spans="1:17" ht="15.4" customHeight="1">
      <c r="A19" s="135"/>
      <c r="B19" s="60">
        <v>0.01</v>
      </c>
      <c r="C19" s="61" t="str">
        <f>L18</f>
        <v>SSM 1</v>
      </c>
      <c r="D19" s="62" t="str">
        <f>L19</f>
        <v>SSM 1A</v>
      </c>
      <c r="E19" s="60">
        <v>0.01</v>
      </c>
      <c r="F19" s="55">
        <f>K19-M18</f>
        <v>-0.62599999999997635</v>
      </c>
      <c r="G19" s="55" t="s">
        <v>40</v>
      </c>
      <c r="H19" s="55"/>
      <c r="I19" s="55"/>
      <c r="J19" s="55"/>
      <c r="K19" s="55">
        <f>M13</f>
        <v>132.11300000000003</v>
      </c>
      <c r="L19" s="55" t="s">
        <v>47</v>
      </c>
      <c r="M19" s="55"/>
      <c r="N19" s="57" t="s">
        <v>39</v>
      </c>
      <c r="O19" s="6"/>
      <c r="P19" s="6"/>
      <c r="Q19" s="136"/>
    </row>
    <row r="20" spans="1:17" ht="15.4" customHeight="1">
      <c r="A20" s="135"/>
      <c r="B20" s="60"/>
      <c r="C20" s="61"/>
      <c r="D20" s="62"/>
      <c r="E20" s="114"/>
      <c r="F20" s="55"/>
      <c r="G20" s="55"/>
      <c r="H20" s="55"/>
      <c r="I20" s="55"/>
      <c r="J20" s="55"/>
      <c r="K20" s="55"/>
      <c r="L20" s="55"/>
      <c r="M20" s="115"/>
      <c r="N20" s="134"/>
      <c r="O20" s="126"/>
      <c r="P20" s="126"/>
      <c r="Q20" s="126"/>
    </row>
    <row r="21" spans="1:17" ht="15.4" customHeight="1">
      <c r="A21" s="135"/>
      <c r="B21" s="60"/>
      <c r="C21" s="61"/>
      <c r="D21" s="62"/>
      <c r="E21" s="114"/>
      <c r="F21" s="55"/>
      <c r="G21" s="55"/>
      <c r="H21" s="55"/>
      <c r="I21" s="55"/>
      <c r="J21" s="55"/>
      <c r="K21" s="115"/>
      <c r="L21" s="55"/>
      <c r="M21" s="115"/>
      <c r="N21" s="134"/>
      <c r="O21" s="126"/>
      <c r="P21" s="126"/>
      <c r="Q21" s="126"/>
    </row>
    <row r="22" spans="1:17" ht="15.4" customHeight="1">
      <c r="A22" s="135"/>
      <c r="B22" s="60"/>
      <c r="C22" s="61"/>
      <c r="D22" s="62"/>
      <c r="E22" s="114"/>
      <c r="F22" s="55"/>
      <c r="G22" s="55"/>
      <c r="H22" s="55"/>
      <c r="I22" s="55"/>
      <c r="J22" s="55"/>
      <c r="K22" s="56"/>
      <c r="L22" s="55"/>
      <c r="M22" s="115"/>
      <c r="N22" s="134"/>
      <c r="O22" s="126"/>
      <c r="P22" s="126"/>
      <c r="Q22" s="126"/>
    </row>
    <row r="23" spans="1:17" ht="15.4" customHeight="1">
      <c r="A23" s="135"/>
      <c r="B23" s="60"/>
      <c r="C23" s="61"/>
      <c r="D23" s="62"/>
      <c r="E23" s="114"/>
      <c r="F23" s="55"/>
      <c r="G23" s="55"/>
      <c r="H23" s="55"/>
      <c r="I23" s="55"/>
      <c r="J23" s="55"/>
      <c r="K23" s="56"/>
      <c r="L23" s="55"/>
      <c r="M23" s="115"/>
      <c r="N23" s="134"/>
      <c r="O23" s="126"/>
      <c r="P23" s="126"/>
      <c r="Q23" s="126"/>
    </row>
    <row r="24" spans="1:17" ht="15.4" customHeight="1">
      <c r="A24" s="135"/>
      <c r="B24" s="60"/>
      <c r="C24" s="61"/>
      <c r="D24" s="62"/>
      <c r="E24" s="114"/>
      <c r="F24" s="55"/>
      <c r="G24" s="55"/>
      <c r="H24" s="55"/>
      <c r="I24" s="55"/>
      <c r="J24" s="55"/>
      <c r="K24" s="56"/>
      <c r="L24" s="55"/>
      <c r="M24" s="115"/>
      <c r="N24" s="134"/>
      <c r="O24" s="126"/>
      <c r="P24" s="126"/>
      <c r="Q24" s="126"/>
    </row>
    <row r="25" spans="1:17" ht="15.4" customHeight="1">
      <c r="A25" s="135"/>
      <c r="B25" s="60"/>
      <c r="C25" s="61"/>
      <c r="D25" s="62"/>
      <c r="E25" s="114"/>
      <c r="F25" s="55"/>
      <c r="G25" s="55"/>
      <c r="H25" s="55"/>
      <c r="I25" s="55"/>
      <c r="J25" s="55"/>
      <c r="K25" s="56"/>
      <c r="L25" s="55"/>
      <c r="M25" s="115"/>
      <c r="N25" s="134"/>
      <c r="O25" s="126"/>
      <c r="P25" s="126"/>
      <c r="Q25" s="126"/>
    </row>
    <row r="26" spans="1:17" ht="15.4" customHeight="1">
      <c r="A26" s="135"/>
      <c r="B26" s="60"/>
      <c r="C26" s="61"/>
      <c r="D26" s="62"/>
      <c r="E26" s="114"/>
      <c r="F26" s="55"/>
      <c r="G26" s="55"/>
      <c r="H26" s="55"/>
      <c r="I26" s="55"/>
      <c r="J26" s="55"/>
      <c r="K26" s="56"/>
      <c r="L26" s="55"/>
      <c r="M26" s="115"/>
      <c r="N26" s="134"/>
      <c r="O26" s="126"/>
      <c r="P26" s="126"/>
      <c r="Q26" s="126"/>
    </row>
    <row r="27" spans="1:17" ht="15.4" customHeight="1">
      <c r="A27" s="135"/>
      <c r="B27" s="60"/>
      <c r="C27" s="61"/>
      <c r="D27" s="62"/>
      <c r="E27" s="114"/>
      <c r="F27" s="55"/>
      <c r="G27" s="55"/>
      <c r="H27" s="55"/>
      <c r="I27" s="55"/>
      <c r="J27" s="55"/>
      <c r="K27" s="56"/>
      <c r="L27" s="55"/>
      <c r="M27" s="115"/>
      <c r="N27" s="134"/>
      <c r="O27" s="126"/>
      <c r="P27" s="126"/>
      <c r="Q27" s="126"/>
    </row>
    <row r="28" spans="1:17" ht="15.4" customHeight="1">
      <c r="A28" s="135"/>
      <c r="B28" s="60"/>
      <c r="C28" s="61"/>
      <c r="D28" s="62"/>
      <c r="E28" s="114"/>
      <c r="F28" s="55"/>
      <c r="G28" s="55"/>
      <c r="H28" s="55"/>
      <c r="I28" s="55"/>
      <c r="J28" s="55"/>
      <c r="K28" s="56"/>
      <c r="L28" s="55"/>
      <c r="M28" s="115"/>
      <c r="N28" s="134"/>
      <c r="O28" s="126"/>
      <c r="P28" s="126"/>
      <c r="Q28" s="126"/>
    </row>
    <row r="29" spans="1:17" ht="15.4" customHeight="1">
      <c r="A29" s="135"/>
      <c r="B29" s="60"/>
      <c r="C29" s="61"/>
      <c r="D29" s="62"/>
      <c r="E29" s="114"/>
      <c r="F29" s="55"/>
      <c r="G29" s="55"/>
      <c r="H29" s="55"/>
      <c r="I29" s="55"/>
      <c r="J29" s="55"/>
      <c r="K29" s="56"/>
      <c r="L29" s="55"/>
      <c r="M29" s="115"/>
      <c r="N29" s="134"/>
      <c r="O29" s="126"/>
      <c r="P29" s="126"/>
      <c r="Q29" s="126"/>
    </row>
    <row r="30" spans="1:17" ht="15.4" customHeight="1">
      <c r="A30" s="135"/>
      <c r="B30" s="60"/>
      <c r="C30" s="61"/>
      <c r="D30" s="62"/>
      <c r="E30" s="114"/>
      <c r="F30" s="55"/>
      <c r="G30" s="55"/>
      <c r="H30" s="55"/>
      <c r="I30" s="55"/>
      <c r="J30" s="55"/>
      <c r="K30" s="56"/>
      <c r="L30" s="55"/>
      <c r="M30" s="115"/>
      <c r="N30" s="134"/>
      <c r="O30" s="126"/>
      <c r="P30" s="126"/>
      <c r="Q30" s="126"/>
    </row>
    <row r="31" spans="1:17" ht="15.4" customHeight="1">
      <c r="A31" s="135"/>
      <c r="B31" s="60"/>
      <c r="C31" s="61"/>
      <c r="D31" s="62"/>
      <c r="E31" s="114"/>
      <c r="F31" s="55"/>
      <c r="G31" s="55"/>
      <c r="H31" s="55"/>
      <c r="I31" s="55"/>
      <c r="J31" s="55"/>
      <c r="K31" s="56"/>
      <c r="L31" s="55"/>
      <c r="M31" s="115"/>
      <c r="N31" s="134"/>
      <c r="O31" s="126"/>
      <c r="P31" s="126"/>
      <c r="Q31" s="126"/>
    </row>
    <row r="32" spans="1:17" ht="15.4" customHeight="1">
      <c r="A32" s="135"/>
      <c r="B32" s="60"/>
      <c r="C32" s="61"/>
      <c r="D32" s="62"/>
      <c r="E32" s="114"/>
      <c r="F32" s="55"/>
      <c r="G32" s="55"/>
      <c r="H32" s="55"/>
      <c r="I32" s="55"/>
      <c r="J32" s="55"/>
      <c r="K32" s="56"/>
      <c r="L32" s="55"/>
      <c r="M32" s="115"/>
      <c r="N32" s="134"/>
      <c r="O32" s="126"/>
      <c r="P32" s="126"/>
      <c r="Q32" s="126"/>
    </row>
    <row r="33" spans="1:17" ht="15.4" customHeight="1">
      <c r="A33" s="135"/>
      <c r="B33" s="60"/>
      <c r="C33" s="61"/>
      <c r="D33" s="62"/>
      <c r="E33" s="114"/>
      <c r="F33" s="55"/>
      <c r="G33" s="55"/>
      <c r="H33" s="55"/>
      <c r="I33" s="55"/>
      <c r="J33" s="55"/>
      <c r="K33" s="56"/>
      <c r="L33" s="55"/>
      <c r="M33" s="115"/>
      <c r="N33" s="134"/>
      <c r="O33" s="126"/>
      <c r="P33" s="126"/>
      <c r="Q33" s="126"/>
    </row>
    <row r="34" spans="1:17" ht="15.4" customHeight="1">
      <c r="A34" s="135"/>
      <c r="B34" s="60"/>
      <c r="C34" s="61"/>
      <c r="D34" s="62"/>
      <c r="E34" s="114"/>
      <c r="F34" s="55"/>
      <c r="G34" s="55"/>
      <c r="H34" s="55"/>
      <c r="I34" s="55"/>
      <c r="J34" s="55"/>
      <c r="K34" s="56"/>
      <c r="L34" s="55"/>
      <c r="M34" s="115"/>
      <c r="N34" s="134"/>
      <c r="O34" s="126"/>
      <c r="P34" s="126"/>
      <c r="Q34" s="126"/>
    </row>
    <row r="35" spans="1:17" ht="15.4" customHeight="1">
      <c r="A35" s="135"/>
      <c r="B35" s="60"/>
      <c r="C35" s="61"/>
      <c r="D35" s="62"/>
      <c r="E35" s="114"/>
      <c r="F35" s="55"/>
      <c r="G35" s="55"/>
      <c r="H35" s="55"/>
      <c r="I35" s="55"/>
      <c r="J35" s="55"/>
      <c r="K35" s="56"/>
      <c r="L35" s="55"/>
      <c r="M35" s="115"/>
      <c r="N35" s="134"/>
      <c r="O35" s="126"/>
      <c r="P35" s="126"/>
      <c r="Q35" s="126"/>
    </row>
    <row r="36" spans="1:17" ht="15.4" customHeight="1">
      <c r="A36" s="65"/>
      <c r="B36" s="120"/>
      <c r="C36" s="121"/>
      <c r="D36" s="122"/>
      <c r="E36" s="120"/>
      <c r="F36" s="69"/>
      <c r="G36" s="69"/>
      <c r="H36" s="69"/>
      <c r="I36" s="69"/>
      <c r="J36" s="69"/>
      <c r="K36" s="123"/>
      <c r="L36" s="69"/>
      <c r="M36" s="69"/>
      <c r="N36" s="133"/>
      <c r="O36" s="126"/>
      <c r="P36" s="126"/>
      <c r="Q36" s="126"/>
    </row>
    <row r="37" spans="1:17" ht="15.4" customHeight="1">
      <c r="B37" s="131"/>
      <c r="C37" s="131"/>
      <c r="D37" s="129"/>
      <c r="E37" s="132"/>
      <c r="G37" s="125"/>
      <c r="H37" s="125"/>
      <c r="I37" s="125"/>
      <c r="J37" s="125"/>
      <c r="K37" s="130"/>
      <c r="L37" s="130"/>
      <c r="M37" s="130"/>
    </row>
    <row r="38" spans="1:17" ht="15.4" customHeight="1">
      <c r="B38" s="131"/>
      <c r="C38" s="131"/>
      <c r="D38" s="129"/>
      <c r="E38" s="132"/>
      <c r="G38" s="125"/>
      <c r="H38" s="125"/>
      <c r="I38" s="125"/>
      <c r="J38" s="125"/>
      <c r="K38" s="130"/>
      <c r="L38" s="130"/>
      <c r="M38" s="130"/>
    </row>
    <row r="39" spans="1:17" ht="15.4" customHeight="1">
      <c r="B39" s="131"/>
      <c r="C39" s="131"/>
      <c r="D39" s="129"/>
      <c r="E39" s="118"/>
      <c r="G39" s="125"/>
      <c r="H39" s="125"/>
      <c r="I39" s="125"/>
      <c r="J39" s="125"/>
      <c r="K39" s="130"/>
      <c r="L39" s="130"/>
      <c r="M39" s="130"/>
    </row>
    <row r="40" spans="1:17" ht="14.1" customHeight="1">
      <c r="B40" s="131"/>
      <c r="C40" s="131"/>
      <c r="D40" s="129"/>
      <c r="E40" s="131"/>
      <c r="G40" s="125"/>
      <c r="H40" s="125"/>
      <c r="I40" s="125"/>
      <c r="J40" s="125"/>
      <c r="K40" s="130"/>
      <c r="L40" s="130"/>
      <c r="M40" s="130"/>
    </row>
    <row r="41" spans="1:17" ht="14.1" customHeight="1">
      <c r="B41" s="131"/>
      <c r="C41" s="131"/>
      <c r="D41" s="129"/>
      <c r="E41" s="131"/>
      <c r="G41" s="125"/>
      <c r="H41" s="125"/>
      <c r="I41" s="125"/>
      <c r="J41" s="125"/>
      <c r="K41" s="130"/>
      <c r="L41" s="130"/>
      <c r="M41" s="130"/>
    </row>
    <row r="42" spans="1:17">
      <c r="D42" s="129"/>
      <c r="M42" s="118"/>
    </row>
    <row r="43" spans="1:17">
      <c r="D43" s="129"/>
      <c r="M43" s="118"/>
    </row>
    <row r="44" spans="1:17">
      <c r="D44" s="129"/>
      <c r="M44" s="118"/>
    </row>
    <row r="45" spans="1:17">
      <c r="D45" s="129"/>
      <c r="M45" s="118"/>
    </row>
    <row r="46" spans="1:17">
      <c r="D46" s="129"/>
      <c r="M46" s="118"/>
    </row>
    <row r="47" spans="1:17">
      <c r="D47" s="129"/>
      <c r="M47" s="118"/>
    </row>
    <row r="48" spans="1:17">
      <c r="D48" s="129"/>
      <c r="M48" s="118"/>
    </row>
    <row r="49" spans="4:13">
      <c r="D49" s="129"/>
      <c r="M49" s="118"/>
    </row>
    <row r="50" spans="4:13">
      <c r="D50" s="129"/>
      <c r="M50" s="118"/>
    </row>
    <row r="51" spans="4:13">
      <c r="D51" s="129"/>
      <c r="M51" s="118"/>
    </row>
    <row r="52" spans="4:13">
      <c r="D52" s="129"/>
      <c r="M52" s="118"/>
    </row>
    <row r="53" spans="4:13">
      <c r="D53" s="129"/>
      <c r="M53" s="118"/>
    </row>
    <row r="54" spans="4:13">
      <c r="D54" s="129"/>
      <c r="M54" s="118"/>
    </row>
    <row r="55" spans="4:13">
      <c r="D55" s="129"/>
      <c r="M55" s="118"/>
    </row>
    <row r="56" spans="4:13">
      <c r="D56" s="129"/>
      <c r="M56" s="118"/>
    </row>
    <row r="57" spans="4:13">
      <c r="D57" s="129"/>
      <c r="M57" s="118"/>
    </row>
    <row r="58" spans="4:13">
      <c r="D58" s="129"/>
      <c r="M58" s="118"/>
    </row>
    <row r="59" spans="4:13">
      <c r="D59" s="129"/>
      <c r="M59" s="118"/>
    </row>
    <row r="60" spans="4:13">
      <c r="D60" s="129"/>
      <c r="M60" s="118"/>
    </row>
    <row r="61" spans="4:13">
      <c r="D61" s="129"/>
      <c r="M61" s="118"/>
    </row>
    <row r="62" spans="4:13">
      <c r="D62" s="129"/>
      <c r="M62" s="118"/>
    </row>
    <row r="63" spans="4:13">
      <c r="D63" s="129"/>
      <c r="M63" s="118"/>
    </row>
    <row r="64" spans="4:13">
      <c r="D64" s="129"/>
      <c r="M64" s="118"/>
    </row>
    <row r="65" spans="4:13">
      <c r="D65" s="129"/>
      <c r="M65" s="118"/>
    </row>
    <row r="66" spans="4:13">
      <c r="D66" s="129"/>
      <c r="M66" s="118"/>
    </row>
    <row r="67" spans="4:13">
      <c r="D67" s="129"/>
      <c r="M67" s="118"/>
    </row>
    <row r="68" spans="4:13">
      <c r="D68" s="129"/>
      <c r="M68" s="118"/>
    </row>
    <row r="69" spans="4:13">
      <c r="D69" s="129"/>
      <c r="M69" s="118"/>
    </row>
    <row r="70" spans="4:13">
      <c r="D70" s="129"/>
      <c r="M70" s="118"/>
    </row>
    <row r="71" spans="4:13">
      <c r="D71" s="129"/>
      <c r="M71" s="118"/>
    </row>
    <row r="72" spans="4:13">
      <c r="D72" s="129"/>
      <c r="M72" s="118"/>
    </row>
    <row r="73" spans="4:13">
      <c r="D73" s="129"/>
      <c r="M73" s="118"/>
    </row>
    <row r="74" spans="4:13">
      <c r="D74" s="129"/>
      <c r="M74" s="118"/>
    </row>
    <row r="75" spans="4:13">
      <c r="D75" s="129"/>
      <c r="M75" s="118"/>
    </row>
    <row r="76" spans="4:13">
      <c r="D76" s="129"/>
      <c r="M76" s="118"/>
    </row>
    <row r="77" spans="4:13">
      <c r="D77" s="129"/>
      <c r="M77" s="118"/>
    </row>
    <row r="78" spans="4:13">
      <c r="D78" s="129"/>
      <c r="M78" s="118"/>
    </row>
    <row r="79" spans="4:13">
      <c r="D79" s="129"/>
      <c r="M79" s="118"/>
    </row>
    <row r="80" spans="4:13">
      <c r="D80" s="129"/>
      <c r="M80" s="118"/>
    </row>
  </sheetData>
  <printOptions horizontalCentered="1" verticalCentered="1"/>
  <pageMargins left="3.937007874015748E-2" right="3.937007874015748E-2" top="0.19685039370078741" bottom="0.19685039370078741" header="0.19685039370078741" footer="0.19685039370078741"/>
  <pageSetup paperSize="9" orientation="landscape" r:id="rId1"/>
  <headerFooter alignWithMargins="0">
    <oddFooter>&amp;LFile &amp;F        Date &amp;D&amp;RPage 1 of  1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Calibration Certificate</vt:lpstr>
      <vt:lpstr>PAGE 1</vt:lpstr>
      <vt:lpstr>PAGE 2</vt:lpstr>
      <vt:lpstr>PAGE 1 Template</vt:lpstr>
      <vt:lpstr>PAGE 2 Template</vt:lpstr>
      <vt:lpstr>PAGE 3 Template</vt:lpstr>
      <vt:lpstr>'PAGE 2'!Print_Titles</vt:lpstr>
      <vt:lpstr>'PAGE 2 Template'!Print_Titles</vt:lpstr>
    </vt:vector>
  </TitlesOfParts>
  <Company>DOLA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likdw00</dc:creator>
  <cp:lastModifiedBy>likdw00</cp:lastModifiedBy>
  <cp:lastPrinted>2018-03-21T02:15:59Z</cp:lastPrinted>
  <dcterms:created xsi:type="dcterms:W3CDTF">2001-02-05T00:04:52Z</dcterms:created>
  <dcterms:modified xsi:type="dcterms:W3CDTF">2022-11-08T23:49:26Z</dcterms:modified>
</cp:coreProperties>
</file>