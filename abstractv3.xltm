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A8AEBC96-B0E2-60E0-E325-6F3CC3B7FED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A717EB1C-846A-43F2-A810-DA6B9D2961C0}" xr6:coauthVersionLast="47" xr6:coauthVersionMax="47" xr10:uidLastSave="{00000000-0000-0000-0000-000000000000}"/>
  <bookViews>
    <workbookView xWindow="-120" yWindow="-120" windowWidth="38640" windowHeight="212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externalReferences>
    <externalReference r:id="rId7"/>
  </externalReferences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4" i="16" l="1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H19" i="15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H12" i="15"/>
  <c r="I12" i="15" s="1"/>
  <c r="K12" i="15" s="1"/>
  <c r="K13" i="15" s="1"/>
  <c r="J13" i="15" s="1"/>
  <c r="E12" i="15"/>
  <c r="E13" i="15" s="1"/>
  <c r="D12" i="15"/>
  <c r="C12" i="15"/>
  <c r="S22" i="16" a="1"/>
  <c r="S17" i="16" a="1"/>
  <c r="Y22" i="16" a="1"/>
  <c r="AA12" i="16" a="1"/>
  <c r="Z13" i="16" a="1"/>
  <c r="Y12" i="16" a="1"/>
  <c r="Y22" i="16" l="1"/>
  <c r="AA12" i="16"/>
  <c r="Z13" i="16"/>
  <c r="Y12" i="16"/>
  <c r="S22" i="16"/>
  <c r="S17" i="16"/>
  <c r="Q13" i="15"/>
  <c r="J12" i="15"/>
  <c r="M12" i="15" s="1"/>
  <c r="M15" i="15" s="1"/>
  <c r="X22" i="16"/>
  <c r="S23" i="16" a="1"/>
  <c r="S24" i="16" a="1"/>
  <c r="S18" i="16" a="1"/>
  <c r="S24" i="16" l="1"/>
  <c r="S23" i="16"/>
  <c r="S18" i="16"/>
  <c r="X23" i="16"/>
  <c r="X24" i="16"/>
  <c r="AA22" i="16" a="1"/>
  <c r="Y17" i="16" a="1"/>
  <c r="S19" i="16" a="1"/>
  <c r="Z23" i="16" a="1"/>
  <c r="AA22" i="16" l="1"/>
  <c r="Z23" i="16"/>
  <c r="Y17" i="16"/>
  <c r="S19" i="16"/>
  <c r="Z18" i="16" a="1"/>
  <c r="AA17" i="16" a="1"/>
  <c r="AA17" i="16" l="1"/>
  <c r="Z18" i="16"/>
  <c r="J14" i="14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<sst xmlns="http://schemas.openxmlformats.org/spreadsheetml/2006/main" count="255" uniqueCount="88">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</sst>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05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1" fillId="0" borderId="21" xfId="1" applyBorder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0" fontId="1" fillId="0" borderId="30" xfId="1" applyBorder="1" applyAlignment="1">
      <alignment horizontal="center"/>
    </xf>
    <xf numFmtId="2" fontId="1" fillId="0" borderId="31" xfId="1" applyNumberFormat="1" applyBorder="1" applyAlignment="1">
      <alignment horizontal="center"/>
    </xf>
    <xf numFmtId="2" fontId="1" fillId="0" borderId="32" xfId="1" applyNumberFormat="1" applyBorder="1" applyAlignment="1">
      <alignment horizontal="left"/>
    </xf>
    <xf numFmtId="164" fontId="1" fillId="0" borderId="30" xfId="1" applyNumberFormat="1" applyBorder="1" applyAlignment="1">
      <alignment horizontal="right"/>
    </xf>
    <xf numFmtId="164" fontId="1" fillId="0" borderId="31" xfId="1" applyNumberFormat="1" applyBorder="1" applyAlignment="1">
      <alignment horizontal="center"/>
    </xf>
    <xf numFmtId="164" fontId="32" fillId="0" borderId="31" xfId="1" applyNumberFormat="1" applyFont="1" applyBorder="1" applyAlignment="1">
      <alignment horizontal="center"/>
    </xf>
    <xf numFmtId="164" fontId="1" fillId="0" borderId="31" xfId="1" applyNumberFormat="1" applyBorder="1"/>
    <xf numFmtId="0" fontId="17" fillId="0" borderId="32" xfId="1" applyFont="1" applyBorder="1" applyAlignment="1">
      <alignment horizontal="left"/>
    </xf>
    <xf numFmtId="14" fontId="17" fillId="0" borderId="29" xfId="1" applyNumberFormat="1" applyFont="1" applyBorder="1" applyAlignment="1">
      <alignment horizontal="left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164" fontId="33" fillId="0" borderId="0" xfId="1" applyNumberFormat="1" applyFont="1" applyBorder="1" applyAlignment="1">
      <alignment horizontal="center"/>
    </xf>
    <xf numFmtId="164" fontId="1" fillId="0" borderId="33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" fillId="0" borderId="36" xfId="1" applyNumberFormat="1" applyBorder="1" applyAlignment="1">
      <alignment horizontal="center" vertical="center"/>
    </xf>
    <xf numFmtId="164" fontId="1" fillId="0" borderId="38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  <xf numFmtId="164" fontId="1" fillId="0" borderId="39" xfId="1" applyNumberFormat="1" applyBorder="1" applyAlignment="1">
      <alignment horizontal="center" vertical="center"/>
    </xf>
    <xf numFmtId="164" fontId="1" fillId="0" borderId="40" xfId="1" applyNumberFormat="1" applyBorder="1" applyAlignment="1">
      <alignment horizontal="center" vertical="center"/>
    </xf>
    <xf numFmtId="164" fontId="1" fillId="0" borderId="41" xfId="1" applyNumberFormat="1" applyBorder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10"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AssetsPCsAndSoftware\Software\Microsoft%20Templates\Geodetic-Calculations-v4.xlam" TargetMode="External"/><Relationship Id="rId1" Type="http://schemas.openxmlformats.org/officeDocument/2006/relationships/externalLinkPath" Target="file:///C:\Data\Development\Abstract\Geodetic\Geodetic-Calculations-v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andgate Project Grids"/>
      <sheetName val="MRWA Project Grids"/>
      <sheetName val="GRS80 Geographic Calculations"/>
      <sheetName val="7 Parameter Transformations"/>
      <sheetName val="Geodetic-Calculations-v4"/>
    </sheetNames>
    <definedNames>
      <definedName name="hmsminus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>
      <selection activeCell="Z24" sqref="Z24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190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191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3" t="s">
        <v>10</v>
      </c>
      <c r="O9" s="194"/>
      <c r="P9" s="194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192"/>
      <c r="B10" s="158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8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68"/>
      <c r="D11" s="141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61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61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61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57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57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57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61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61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64"/>
      <c r="D36" s="165"/>
      <c r="E36" s="166"/>
      <c r="F36" s="69"/>
      <c r="G36" s="69"/>
      <c r="H36" s="69"/>
      <c r="I36" s="69"/>
      <c r="J36" s="69"/>
      <c r="K36" s="69"/>
      <c r="L36" s="167"/>
      <c r="M36" s="69"/>
      <c r="N36" s="163"/>
      <c r="O36" s="162"/>
      <c r="P36" s="72"/>
      <c r="Q36" s="72"/>
    </row>
    <row r="38" spans="1:17">
      <c r="F38" s="6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36"/>
  <sheetViews>
    <sheetView zoomScaleNormal="100"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69" customWidth="1"/>
    <col min="18" max="18" width="9.140625" style="170"/>
    <col min="19" max="19" width="9.140625" style="118"/>
    <col min="20" max="20" width="9.140625" style="170"/>
    <col min="21" max="21" width="9.140625" style="118"/>
    <col min="22" max="22" width="11.7109375" style="118" bestFit="1" customWidth="1"/>
    <col min="23" max="23" width="9.85546875" style="170" bestFit="1" customWidth="1"/>
    <col min="24" max="24" width="9.140625" style="130"/>
    <col min="25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61"/>
      <c r="R1" s="170"/>
      <c r="S1" s="118"/>
      <c r="T1" s="170"/>
      <c r="U1" s="118"/>
      <c r="V1" s="118"/>
      <c r="W1" s="170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61"/>
      <c r="R2" s="170"/>
      <c r="S2" s="118"/>
      <c r="T2" s="170"/>
      <c r="U2" s="118"/>
      <c r="V2" s="118"/>
      <c r="W2" s="170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61"/>
      <c r="R3" s="170"/>
      <c r="S3" s="118"/>
      <c r="T3" s="170"/>
      <c r="U3" s="118"/>
      <c r="V3" s="118"/>
      <c r="W3" s="170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61"/>
      <c r="R4" s="170"/>
      <c r="S4" s="118"/>
      <c r="T4" s="170"/>
      <c r="U4" s="118"/>
      <c r="V4" s="118"/>
      <c r="W4" s="170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61"/>
      <c r="R5" s="170"/>
      <c r="S5" s="118"/>
      <c r="T5" s="170"/>
      <c r="U5" s="118"/>
      <c r="V5" s="118"/>
      <c r="W5" s="170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61"/>
      <c r="R6" s="170"/>
      <c r="S6" s="118"/>
      <c r="T6" s="170"/>
      <c r="U6" s="118"/>
      <c r="V6" s="118"/>
      <c r="W6" s="170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61"/>
      <c r="R7" s="170"/>
      <c r="S7" s="118"/>
      <c r="T7" s="170"/>
      <c r="U7" s="118"/>
      <c r="V7" s="118"/>
      <c r="W7" s="170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61"/>
      <c r="R8" s="170"/>
      <c r="S8" s="118"/>
      <c r="T8" s="170"/>
      <c r="U8" s="118"/>
      <c r="V8" s="118"/>
      <c r="W8" s="170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61"/>
      <c r="R9" s="170"/>
      <c r="S9" s="118"/>
      <c r="T9" s="170"/>
      <c r="U9" s="118"/>
      <c r="V9" s="118"/>
      <c r="W9" s="170"/>
      <c r="X9" s="130"/>
      <c r="Y9" s="6"/>
    </row>
    <row r="10" spans="1:27" s="107" customFormat="1" ht="15.6" customHeight="1">
      <c r="A10" s="108" t="s">
        <v>22</v>
      </c>
      <c r="B10" s="159" t="s">
        <v>11</v>
      </c>
      <c r="C10" s="109"/>
      <c r="D10" s="110"/>
      <c r="E10" s="111" t="s">
        <v>13</v>
      </c>
      <c r="F10" s="160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73"/>
      <c r="R10" s="171" t="s">
        <v>62</v>
      </c>
      <c r="S10" s="172" t="s">
        <v>63</v>
      </c>
      <c r="T10" s="171" t="s">
        <v>64</v>
      </c>
      <c r="U10" s="172" t="s">
        <v>65</v>
      </c>
      <c r="V10" s="172" t="s">
        <v>66</v>
      </c>
      <c r="W10" s="171" t="s">
        <v>67</v>
      </c>
      <c r="X10" s="171" t="s">
        <v>68</v>
      </c>
      <c r="Y10" s="195" t="s">
        <v>69</v>
      </c>
      <c r="Z10" s="195"/>
      <c r="AA10" s="195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1"/>
      <c r="L11" s="55"/>
      <c r="M11" s="115"/>
      <c r="N11" s="57"/>
      <c r="O11" s="51"/>
      <c r="P11" s="60"/>
      <c r="Q11" s="161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1"/>
      <c r="L12" s="55"/>
      <c r="M12" s="115"/>
      <c r="N12" s="57"/>
      <c r="O12" s="51"/>
      <c r="P12" s="60"/>
      <c r="Q12" s="161"/>
    </row>
    <row r="13" spans="1:27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151"/>
      <c r="L13" s="55"/>
      <c r="M13" s="115"/>
      <c r="N13" s="57"/>
      <c r="O13" s="51"/>
      <c r="P13" s="60"/>
      <c r="Q13" s="161"/>
    </row>
    <row r="14" spans="1:27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151"/>
      <c r="L14" s="55"/>
      <c r="M14" s="115"/>
      <c r="N14" s="57"/>
      <c r="O14" s="51"/>
      <c r="P14" s="60"/>
      <c r="Q14" s="161"/>
    </row>
    <row r="15" spans="1:27" ht="15.6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151"/>
      <c r="L15" s="55"/>
      <c r="M15" s="115"/>
      <c r="N15" s="57"/>
      <c r="O15" s="51"/>
      <c r="P15" s="60"/>
      <c r="Q15" s="161"/>
    </row>
    <row r="16" spans="1:27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151"/>
      <c r="L16" s="55"/>
      <c r="M16" s="115"/>
      <c r="N16" s="57"/>
      <c r="O16" s="51"/>
      <c r="P16" s="60"/>
      <c r="Q16" s="161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151"/>
      <c r="L17" s="55"/>
      <c r="M17" s="115"/>
      <c r="N17" s="57"/>
      <c r="O17" s="51"/>
      <c r="P17" s="60"/>
      <c r="Q17" s="161"/>
    </row>
    <row r="18" spans="1:17" ht="15.6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151"/>
      <c r="L18" s="55"/>
      <c r="M18" s="115"/>
      <c r="N18" s="57"/>
      <c r="O18" s="51"/>
      <c r="P18" s="60"/>
      <c r="Q18" s="161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1"/>
      <c r="L19" s="55"/>
      <c r="M19" s="115"/>
      <c r="N19" s="57"/>
      <c r="O19" s="51"/>
      <c r="P19" s="60"/>
      <c r="Q19" s="161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1"/>
      <c r="L20" s="55"/>
      <c r="M20" s="115"/>
      <c r="N20" s="57"/>
      <c r="O20" s="51"/>
      <c r="P20" s="60"/>
      <c r="Q20" s="161"/>
    </row>
    <row r="21" spans="1:17" ht="15.6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151"/>
      <c r="L21" s="55"/>
      <c r="M21" s="115"/>
      <c r="N21" s="57"/>
      <c r="O21" s="51"/>
      <c r="P21" s="60"/>
      <c r="Q21" s="161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151"/>
      <c r="L22" s="55"/>
      <c r="M22" s="115"/>
      <c r="N22" s="57"/>
      <c r="O22" s="51"/>
      <c r="P22" s="60"/>
      <c r="Q22" s="161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151"/>
      <c r="L23" s="55"/>
      <c r="M23" s="115"/>
      <c r="N23" s="57"/>
      <c r="O23" s="51"/>
      <c r="P23" s="60"/>
      <c r="Q23" s="161"/>
    </row>
    <row r="24" spans="1:17" ht="15.6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151"/>
      <c r="L24" s="55"/>
      <c r="M24" s="115"/>
      <c r="N24" s="57"/>
      <c r="O24" s="51"/>
      <c r="P24" s="60"/>
      <c r="Q24" s="161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151"/>
      <c r="L25" s="55"/>
      <c r="M25" s="115"/>
      <c r="N25" s="57"/>
      <c r="O25" s="51"/>
      <c r="P25" s="60"/>
      <c r="Q25" s="161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1"/>
      <c r="L26" s="55"/>
      <c r="M26" s="115"/>
      <c r="N26" s="57"/>
      <c r="O26" s="51"/>
      <c r="P26" s="60"/>
      <c r="Q26" s="161"/>
    </row>
    <row r="27" spans="1:17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1"/>
      <c r="L27" s="55"/>
      <c r="M27" s="115"/>
      <c r="N27" s="57"/>
      <c r="O27" s="51"/>
      <c r="P27" s="60"/>
      <c r="Q27" s="161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151"/>
      <c r="L28" s="55"/>
      <c r="M28" s="115"/>
      <c r="N28" s="57"/>
      <c r="O28" s="51"/>
      <c r="P28" s="60"/>
      <c r="Q28" s="161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151"/>
      <c r="L29" s="55"/>
      <c r="M29" s="115"/>
      <c r="N29" s="57"/>
      <c r="O29" s="51"/>
      <c r="P29" s="60"/>
      <c r="Q29" s="161"/>
    </row>
    <row r="30" spans="1:17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1"/>
      <c r="L30" s="55"/>
      <c r="M30" s="115"/>
      <c r="N30" s="57"/>
      <c r="O30" s="51"/>
      <c r="P30" s="60"/>
      <c r="Q30" s="161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1"/>
      <c r="L31" s="55"/>
      <c r="M31" s="115"/>
      <c r="N31" s="57"/>
      <c r="O31" s="51"/>
      <c r="P31" s="60"/>
      <c r="Q31" s="161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151"/>
      <c r="L32" s="55"/>
      <c r="M32" s="115"/>
      <c r="N32" s="57"/>
      <c r="O32" s="51"/>
      <c r="P32" s="60"/>
      <c r="Q32" s="161"/>
    </row>
    <row r="33" spans="1:17" ht="15.6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151"/>
      <c r="L33" s="55"/>
      <c r="M33" s="115"/>
      <c r="N33" s="57"/>
      <c r="O33" s="51"/>
      <c r="P33" s="60"/>
      <c r="Q33" s="161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151"/>
      <c r="L34" s="55"/>
      <c r="M34" s="115"/>
      <c r="N34" s="57"/>
      <c r="O34" s="51"/>
      <c r="P34" s="60"/>
      <c r="Q34" s="161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151"/>
      <c r="L35" s="55"/>
      <c r="M35" s="115"/>
      <c r="N35" s="57"/>
      <c r="O35" s="51"/>
      <c r="P35" s="60"/>
      <c r="Q35" s="161"/>
    </row>
    <row r="36" spans="1:17" ht="15.6" customHeight="1">
      <c r="A36" s="174"/>
      <c r="B36" s="175"/>
      <c r="C36" s="176"/>
      <c r="D36" s="177"/>
      <c r="E36" s="175"/>
      <c r="F36" s="178"/>
      <c r="G36" s="178"/>
      <c r="H36" s="178"/>
      <c r="I36" s="178"/>
      <c r="J36" s="178"/>
      <c r="K36" s="179"/>
      <c r="L36" s="178"/>
      <c r="M36" s="180"/>
      <c r="N36" s="181"/>
      <c r="O36" s="174"/>
      <c r="P36" s="175"/>
      <c r="Q36" s="182"/>
    </row>
  </sheetData>
  <mergeCells count="1">
    <mergeCell ref="Y10:AA10"/>
  </mergeCells>
  <phoneticPr fontId="0" type="noConversion"/>
  <conditionalFormatting sqref="J1:J1048576">
    <cfRule type="expression" dxfId="9" priority="2">
      <formula>ABS(W1)&gt;0.01</formula>
    </cfRule>
  </conditionalFormatting>
  <conditionalFormatting sqref="W1:W9 W11:W1048576">
    <cfRule type="expression" dxfId="8" priority="3">
      <formula>ABS(W1)&gt;0.01</formula>
    </cfRule>
  </conditionalFormatting>
  <conditionalFormatting sqref="X1:X9 X11:X1048576">
    <cfRule type="expression" dxfId="7" priority="4">
      <formula>ABS(W1)&gt;0.01</formula>
    </cfRule>
  </conditionalFormatting>
  <conditionalFormatting sqref="W10:Y10">
    <cfRule type="expression" dxfId="6" priority="1">
      <formula>ABS(W10)&gt;0.01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90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91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3" t="s">
        <v>10</v>
      </c>
      <c r="O9" s="194"/>
      <c r="P9" s="194"/>
      <c r="Q9" s="42"/>
    </row>
    <row r="10" spans="1:17" s="43" customFormat="1" ht="15.6" customHeight="1">
      <c r="A10" s="192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6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W40" sqref="W40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71" t="s">
        <v>62</v>
      </c>
      <c r="S10" s="172" t="s">
        <v>63</v>
      </c>
      <c r="T10" s="171" t="s">
        <v>64</v>
      </c>
      <c r="U10" s="172" t="s">
        <v>65</v>
      </c>
      <c r="V10" s="172" t="s">
        <v>66</v>
      </c>
      <c r="W10" s="171" t="s">
        <v>67</v>
      </c>
      <c r="X10" s="171" t="s">
        <v>68</v>
      </c>
      <c r="Y10" s="195" t="s">
        <v>69</v>
      </c>
      <c r="Z10" s="195"/>
      <c r="AA10" s="195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84"/>
      <c r="V11" s="184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70">
        <v>4.8140000000000001</v>
      </c>
      <c r="T12" s="170">
        <v>4.819</v>
      </c>
      <c r="U12" s="129" t="s">
        <v>81</v>
      </c>
      <c r="V12" s="129"/>
      <c r="W12" s="170">
        <f>R12-T12</f>
        <v>-4.9999999999998934E-3</v>
      </c>
      <c r="Y12" s="196" cm="1">
        <f t="array" ref="Y12">Law_of_Cosine(T12,T13,[1]!hmsminus(U13,U12))</f>
        <v>6.7589957979182111</v>
      </c>
      <c r="AA12" s="200" cm="1">
        <f t="array" ref="AA12">Law_of_Cosine(T12,T14,[1]!hmsminus(U14,U12))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70">
        <v>4.742</v>
      </c>
      <c r="T13" s="170">
        <v>4.7380000000000004</v>
      </c>
      <c r="U13" s="129" t="s">
        <v>82</v>
      </c>
      <c r="V13" s="129"/>
      <c r="W13" s="170">
        <f>R13-T13</f>
        <v>3.9999999999995595E-3</v>
      </c>
      <c r="Y13" s="199"/>
      <c r="Z13" s="203" cm="1">
        <f t="array" ref="Z13">Law_of_Cosine(T13,T14,[1]!hmsminus(U14,U13))</f>
        <v>6.7398157942301298</v>
      </c>
      <c r="AA13" s="201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70">
        <v>4.7930000000000001</v>
      </c>
      <c r="T14" s="170">
        <v>4.7919999999999998</v>
      </c>
      <c r="U14" s="129" t="s">
        <v>83</v>
      </c>
      <c r="V14" s="129"/>
      <c r="W14" s="170">
        <f>R14-T14</f>
        <v>1.000000000000334E-3</v>
      </c>
      <c r="Z14" s="204"/>
      <c r="AA14" s="202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84"/>
      <c r="V15" s="184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83" t="s">
        <v>75</v>
      </c>
      <c r="S16" s="185" t="s">
        <v>74</v>
      </c>
      <c r="T16" s="170"/>
      <c r="V16" s="184" t="s">
        <v>70</v>
      </c>
      <c r="W16" s="170"/>
      <c r="X16" s="170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70">
        <v>2.6259999999999999</v>
      </c>
      <c r="S17" s="184" t="str" cm="1">
        <f t="array" ref="S17">hmsplus([1]!hmsminus(V17,V16),S16)</f>
        <v>54 34 51.48</v>
      </c>
      <c r="T17" s="170"/>
      <c r="V17" s="184" t="s">
        <v>71</v>
      </c>
      <c r="W17" s="170"/>
      <c r="X17" s="170"/>
      <c r="Y17" s="196" cm="1">
        <f t="array" ref="Y17">Law_of_Cosine(R17,R18,[1]!hmsminus(S18,S17))</f>
        <v>4.9219863715012799</v>
      </c>
      <c r="Z17" s="6"/>
      <c r="AA17" s="196" cm="1">
        <f t="array" ref="AA17">Law_of_Cosine(R17,R19,[1]!hmsminus(S19,S17))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70">
        <v>3.7280000000000002</v>
      </c>
      <c r="S18" s="184" t="str" cm="1">
        <f t="array" ref="S18">hmsplus([1]!hmsminus(V18,V17),S17)</f>
        <v>154 40 35.48</v>
      </c>
      <c r="T18" s="170"/>
      <c r="V18" s="184" t="s">
        <v>72</v>
      </c>
      <c r="W18" s="170"/>
      <c r="X18" s="170"/>
      <c r="Y18" s="197"/>
      <c r="Z18" s="196" cm="1">
        <f t="array" ref="Z18">Law_of_Cosine(R18,R19,[1]!hmsminus(S19,S18))</f>
        <v>6.7741522811244721</v>
      </c>
      <c r="AA18" s="198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70">
        <v>3.1379999999999999</v>
      </c>
      <c r="S19" s="184" t="str" cm="1">
        <f t="array" ref="S19">hmsplus([1]!hmsminus(V19,V18),S18)</f>
        <v>315 50 30.48</v>
      </c>
      <c r="T19" s="170"/>
      <c r="V19" s="184" t="s">
        <v>73</v>
      </c>
      <c r="W19" s="170"/>
      <c r="X19" s="170"/>
      <c r="Y19" s="6"/>
      <c r="Z19" s="197"/>
      <c r="AA19" s="197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84"/>
      <c r="V20" s="184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84"/>
      <c r="V21" s="184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70">
        <v>4.1360000000000001</v>
      </c>
      <c r="S22" s="186" t="str" cm="1">
        <f t="array" ref="S22">hmsplus(U22,"0 3 28.81")</f>
        <v>192 24 29.81</v>
      </c>
      <c r="T22" s="170">
        <v>4.1379999999999999</v>
      </c>
      <c r="U22" s="186" t="s">
        <v>76</v>
      </c>
      <c r="V22" s="129" t="s">
        <v>70</v>
      </c>
      <c r="W22" s="170">
        <f>R22-T22</f>
        <v>-1.9999999999997797E-3</v>
      </c>
      <c r="X22" s="130">
        <f>TAN(RADIANS(dd(S22)-dd(U22))*R22)</f>
        <v>4.1870604231532991E-3</v>
      </c>
      <c r="Y22" s="196" cm="1">
        <f t="array" ref="Y22">Law_of_Cosine(T22,T23,[1]!hmsminus(U23,U22))</f>
        <v>6.0777607575550254</v>
      </c>
      <c r="AA22" s="200" cm="1">
        <f t="array" ref="AA22">Law_of_Cosine(T22,R24,[1]!hmsminus(S24,U22))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86" t="str" cm="1">
        <f t="array" ref="S23">hmsplus(S22,V23)</f>
        <v>94 12 58.81</v>
      </c>
      <c r="T23" s="170">
        <v>3.9079999999999999</v>
      </c>
      <c r="U23" s="186" t="s">
        <v>77</v>
      </c>
      <c r="V23" s="129" t="s">
        <v>78</v>
      </c>
      <c r="W23" s="170">
        <f>R23-T23</f>
        <v>0</v>
      </c>
      <c r="X23" s="130">
        <f>TAN(RADIANS(dd(S23)-dd(U23))*R23)</f>
        <v>-3.9560537334369823E-3</v>
      </c>
      <c r="Y23" s="199"/>
      <c r="Z23" s="203" cm="1">
        <f t="array" ref="Z23">Law_of_Cosine(T23,R24,[1]!hmsminus(S24,U23))</f>
        <v>7.4671220003561753</v>
      </c>
      <c r="AA23" s="201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70">
        <v>3.907</v>
      </c>
      <c r="S24" s="129" t="str" cm="1">
        <f t="array" ref="S24">hmsplus(S22,V24)</f>
        <v>308 35 37.81</v>
      </c>
      <c r="T24" s="187">
        <v>3.8570000000000002</v>
      </c>
      <c r="U24" s="188" t="s">
        <v>80</v>
      </c>
      <c r="V24" s="129" t="s">
        <v>79</v>
      </c>
      <c r="W24" s="187">
        <f>R24-T24</f>
        <v>4.9999999999999822E-2</v>
      </c>
      <c r="X24" s="189">
        <f>TAN(RADIANS(dd(S24)-dd(U24))*R24)</f>
        <v>1.1324004054147968E-2</v>
      </c>
      <c r="Z24" s="204"/>
      <c r="AA24" s="202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84"/>
      <c r="V25" s="184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84"/>
      <c r="V26" s="184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84"/>
      <c r="V27" s="184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84"/>
      <c r="V28" s="184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84"/>
      <c r="V29" s="184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84"/>
      <c r="V30" s="184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84"/>
      <c r="V31" s="184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84"/>
      <c r="V32" s="184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84"/>
      <c r="V33" s="184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84"/>
      <c r="V34" s="184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84"/>
      <c r="V35" s="184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84"/>
      <c r="V36" s="184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5" priority="7">
      <formula>IF(G24&lt;&gt;"",ABS(F24-G24)&gt;0.002,FALSE)</formula>
    </cfRule>
  </conditionalFormatting>
  <conditionalFormatting sqref="G11:G23">
    <cfRule type="expression" dxfId="4" priority="6">
      <formula>IF(G11&lt;&gt;"",ABS(F11-G11)&gt;0.002,FALSE)</formula>
    </cfRule>
  </conditionalFormatting>
  <conditionalFormatting sqref="W10:Y10">
    <cfRule type="expression" dxfId="3" priority="4">
      <formula>ABS(W10)&gt;0.01</formula>
    </cfRule>
  </conditionalFormatting>
  <conditionalFormatting sqref="Y16 W16:X19">
    <cfRule type="expression" dxfId="2" priority="3">
      <formula>ABS(W16)&gt;0.01</formula>
    </cfRule>
  </conditionalFormatting>
  <conditionalFormatting sqref="W22:X24">
    <cfRule type="expression" dxfId="1" priority="2">
      <formula>ABS(W22)&gt;0.01</formula>
    </cfRule>
  </conditionalFormatting>
  <conditionalFormatting sqref="W12:W14">
    <cfRule type="expression" dxfId="0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Calibration Certificate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2018-03-21T02:15:59Z</cp:lastPrinted>
  <dcterms:created xsi:type="dcterms:W3CDTF">2001-02-05T00:04:52Z</dcterms:created>
  <dcterms:modified xsi:type="dcterms:W3CDTF">2024-06-04T23:25:33Z</dcterms:modified>
</cp:coreProperties>
</file>