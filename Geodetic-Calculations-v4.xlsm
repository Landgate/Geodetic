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27723F14-F55D-4327-A935-9227A10B15DA}" xr6:coauthVersionLast="47" xr6:coauthVersionMax="47" xr10:uidLastSave="{00000000-0000-0000-0000-000000000000}"/>
  <bookViews>
    <workbookView xWindow="-38520" yWindow="-30" windowWidth="38640" windowHeight="21240" activeTab="3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" sheetId="4" r:id="rId4"/>
    <sheet name="7 Parameter Transfor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I4" i="4"/>
  <c r="Q3" i="4"/>
  <c r="O3" i="4"/>
  <c r="L3" i="4"/>
  <c r="P3" i="4" s="1"/>
  <c r="G4" i="4" a="1"/>
  <c r="G4" i="4" l="1"/>
  <c r="R4" i="4"/>
  <c r="P4" i="4"/>
  <c r="G3" i="4" a="1"/>
  <c r="D109" i="2"/>
  <c r="D305" i="2"/>
  <c r="G309" i="2"/>
  <c r="G229" i="2"/>
  <c r="G149" i="2"/>
  <c r="G69" i="2"/>
  <c r="F269" i="2"/>
  <c r="F271" i="2"/>
  <c r="F286" i="2"/>
  <c r="F206" i="2"/>
  <c r="F126" i="2"/>
  <c r="H338" i="2"/>
  <c r="G298" i="2"/>
  <c r="E307" i="2"/>
  <c r="E227" i="2"/>
  <c r="E147" i="2"/>
  <c r="E67" i="2"/>
  <c r="H342" i="2"/>
  <c r="D269" i="2"/>
  <c r="D284" i="2"/>
  <c r="D204" i="2"/>
  <c r="D124" i="2"/>
  <c r="E266" i="2"/>
  <c r="E186" i="2"/>
  <c r="D326" i="2"/>
  <c r="D246" i="2"/>
  <c r="D166" i="2"/>
  <c r="G310" i="2"/>
  <c r="H256" i="2"/>
  <c r="H161" i="2"/>
  <c r="E83" i="2"/>
  <c r="F4" i="2"/>
  <c r="E242" i="2"/>
  <c r="F153" i="2"/>
  <c r="G78" i="2"/>
  <c r="E324" i="2"/>
  <c r="H222" i="2"/>
  <c r="G136" i="2"/>
  <c r="H28" i="2"/>
  <c r="E279" i="2"/>
  <c r="G186" i="2"/>
  <c r="H101" i="2"/>
  <c r="G28" i="2"/>
  <c r="D283" i="2"/>
  <c r="D200" i="2"/>
  <c r="F301" i="2"/>
  <c r="D208" i="2"/>
  <c r="F108" i="2"/>
  <c r="H21" i="2"/>
  <c r="G152" i="2"/>
  <c r="F305" i="2"/>
  <c r="D194" i="2"/>
  <c r="F300" i="2"/>
  <c r="F124" i="2"/>
  <c r="D32" i="2"/>
  <c r="H296" i="2"/>
  <c r="G207" i="2"/>
  <c r="E98" i="2"/>
  <c r="D23" i="2"/>
  <c r="G267" i="2"/>
  <c r="H165" i="2"/>
  <c r="G79" i="2"/>
  <c r="E5" i="2"/>
  <c r="F229" i="2"/>
  <c r="E143" i="2"/>
  <c r="F65" i="2"/>
  <c r="H334" i="2"/>
  <c r="E229" i="2"/>
  <c r="E154" i="2"/>
  <c r="E86" i="2"/>
  <c r="G29" i="2"/>
  <c r="E273" i="2"/>
  <c r="E159" i="2"/>
  <c r="H90" i="2"/>
  <c r="E58" i="2"/>
  <c r="D58" i="2"/>
  <c r="G24" i="2"/>
  <c r="E191" i="2"/>
  <c r="E18" i="2"/>
  <c r="D129" i="2"/>
  <c r="H276" i="2"/>
  <c r="E216" i="2"/>
  <c r="G41" i="2"/>
  <c r="F41" i="2"/>
  <c r="H206" i="2"/>
  <c r="E31" i="2"/>
  <c r="G223" i="2"/>
  <c r="H50" i="2"/>
  <c r="G4" i="2"/>
  <c r="D120" i="2"/>
  <c r="E309" i="2"/>
  <c r="F336" i="2"/>
  <c r="E296" i="2"/>
  <c r="H300" i="2"/>
  <c r="H220" i="2"/>
  <c r="H140" i="2"/>
  <c r="G340" i="2"/>
  <c r="G342" i="2"/>
  <c r="G262" i="2"/>
  <c r="G277" i="2"/>
  <c r="G197" i="2"/>
  <c r="H339" i="2"/>
  <c r="H259" i="2"/>
  <c r="H179" i="2"/>
  <c r="G319" i="2"/>
  <c r="G239" i="2"/>
  <c r="G159" i="2"/>
  <c r="E308" i="2"/>
  <c r="H312" i="2"/>
  <c r="G250" i="2"/>
  <c r="E156" i="2"/>
  <c r="H78" i="2"/>
  <c r="E24" i="2"/>
  <c r="E239" i="2"/>
  <c r="F150" i="2"/>
  <c r="F71" i="2"/>
  <c r="F315" i="2"/>
  <c r="E214" i="2"/>
  <c r="F125" i="2"/>
  <c r="F26" i="2"/>
  <c r="G183" i="2"/>
  <c r="E99" i="2"/>
  <c r="E26" i="2"/>
  <c r="D279" i="2"/>
  <c r="D197" i="2"/>
  <c r="G205" i="2"/>
  <c r="F101" i="2"/>
  <c r="F19" i="2"/>
  <c r="F244" i="2"/>
  <c r="D301" i="2"/>
  <c r="F191" i="2"/>
  <c r="E213" i="2"/>
  <c r="G119" i="2"/>
  <c r="G25" i="2"/>
  <c r="H292" i="2"/>
  <c r="F196" i="2"/>
  <c r="H93" i="2"/>
  <c r="G16" i="2"/>
  <c r="E264" i="2"/>
  <c r="D160" i="2"/>
  <c r="D77" i="2"/>
  <c r="D321" i="2"/>
  <c r="G140" i="2"/>
  <c r="G58" i="2"/>
  <c r="D330" i="2"/>
  <c r="H226" i="2"/>
  <c r="G151" i="2"/>
  <c r="E27" i="2"/>
  <c r="D212" i="2"/>
  <c r="H156" i="2"/>
  <c r="E88" i="2"/>
  <c r="H33" i="2"/>
  <c r="E220" i="2"/>
  <c r="G53" i="2"/>
  <c r="F53" i="2"/>
  <c r="H14" i="2"/>
  <c r="E173" i="2"/>
  <c r="G13" i="2"/>
  <c r="E145" i="2"/>
  <c r="D320" i="2"/>
  <c r="G122" i="2"/>
  <c r="H264" i="2"/>
  <c r="E42" i="2"/>
  <c r="H234" i="2"/>
  <c r="G61" i="2"/>
  <c r="D170" i="2"/>
  <c r="D26" i="2"/>
  <c r="H138" i="2"/>
  <c r="D312" i="2"/>
  <c r="E114" i="2"/>
  <c r="F213" i="2"/>
  <c r="E329" i="2"/>
  <c r="D334" i="2"/>
  <c r="H289" i="2"/>
  <c r="F298" i="2"/>
  <c r="F218" i="2"/>
  <c r="F138" i="2"/>
  <c r="E338" i="2"/>
  <c r="E340" i="2"/>
  <c r="E260" i="2"/>
  <c r="E275" i="2"/>
  <c r="E195" i="2"/>
  <c r="F337" i="2"/>
  <c r="F257" i="2"/>
  <c r="F177" i="2"/>
  <c r="E317" i="2"/>
  <c r="E237" i="2"/>
  <c r="E157" i="2"/>
  <c r="F310" i="2"/>
  <c r="D245" i="2"/>
  <c r="G153" i="2"/>
  <c r="E76" i="2"/>
  <c r="D342" i="2"/>
  <c r="H236" i="2"/>
  <c r="E142" i="2"/>
  <c r="F64" i="2"/>
  <c r="G306" i="2"/>
  <c r="G211" i="2"/>
  <c r="F120" i="2"/>
  <c r="D24" i="2"/>
  <c r="E272" i="2"/>
  <c r="F175" i="2"/>
  <c r="H94" i="2"/>
  <c r="H19" i="2"/>
  <c r="H275" i="2"/>
  <c r="G194" i="2"/>
  <c r="D294" i="2"/>
  <c r="F194" i="2"/>
  <c r="F94" i="2"/>
  <c r="D17" i="2"/>
  <c r="F241" i="2"/>
  <c r="F144" i="2"/>
  <c r="E180" i="2"/>
  <c r="D293" i="2"/>
  <c r="E210" i="2"/>
  <c r="D117" i="2"/>
  <c r="E23" i="2"/>
  <c r="G285" i="2"/>
  <c r="H193" i="2"/>
  <c r="E91" i="2"/>
  <c r="E14" i="2"/>
  <c r="F243" i="2"/>
  <c r="D157" i="2"/>
  <c r="G72" i="2"/>
  <c r="D339" i="2"/>
  <c r="E218" i="2"/>
  <c r="D132" i="2"/>
  <c r="E56" i="2"/>
  <c r="H223" i="2"/>
  <c r="D143" i="2"/>
  <c r="H81" i="2"/>
  <c r="L24" i="2"/>
  <c r="H266" i="2"/>
  <c r="F209" i="2"/>
  <c r="H83" i="2"/>
  <c r="F31" i="2"/>
  <c r="G210" i="2"/>
  <c r="F48" i="2"/>
  <c r="F210" i="2"/>
  <c r="D48" i="2"/>
  <c r="F163" i="2"/>
  <c r="F8" i="2"/>
  <c r="D123" i="2"/>
  <c r="H302" i="2"/>
  <c r="H116" i="2"/>
  <c r="F254" i="2"/>
  <c r="D93" i="2"/>
  <c r="E254" i="2"/>
  <c r="D198" i="2"/>
  <c r="H31" i="2"/>
  <c r="G160" i="2"/>
  <c r="G31" i="2"/>
  <c r="G187" i="2"/>
  <c r="G327" i="2"/>
  <c r="E325" i="2"/>
  <c r="D285" i="2"/>
  <c r="G289" i="2"/>
  <c r="G209" i="2"/>
  <c r="G129" i="2"/>
  <c r="F329" i="2"/>
  <c r="F331" i="2"/>
  <c r="F251" i="2"/>
  <c r="F266" i="2"/>
  <c r="F186" i="2"/>
  <c r="G328" i="2"/>
  <c r="G248" i="2"/>
  <c r="G168" i="2"/>
  <c r="F308" i="2"/>
  <c r="F228" i="2"/>
  <c r="F148" i="2"/>
  <c r="F299" i="2"/>
  <c r="F239" i="2"/>
  <c r="D145" i="2"/>
  <c r="D69" i="2"/>
  <c r="E333" i="2"/>
  <c r="D228" i="2"/>
  <c r="H136" i="2"/>
  <c r="F55" i="2"/>
  <c r="D298" i="2"/>
  <c r="F200" i="2"/>
  <c r="F106" i="2"/>
  <c r="E15" i="2"/>
  <c r="F262" i="2"/>
  <c r="H87" i="2"/>
  <c r="D15" i="2"/>
  <c r="G265" i="2"/>
  <c r="E172" i="2"/>
  <c r="H286" i="2"/>
  <c r="E183" i="2"/>
  <c r="H82" i="2"/>
  <c r="E8" i="2"/>
  <c r="E233" i="2"/>
  <c r="F282" i="2"/>
  <c r="H174" i="2"/>
  <c r="H285" i="2"/>
  <c r="D202" i="2"/>
  <c r="D110" i="2"/>
  <c r="F14" i="2"/>
  <c r="G182" i="2"/>
  <c r="E84" i="2"/>
  <c r="F5" i="2"/>
  <c r="H229" i="2"/>
  <c r="F143" i="2"/>
  <c r="G65" i="2"/>
  <c r="F321" i="2"/>
  <c r="H212" i="2"/>
  <c r="H49" i="2"/>
  <c r="G215" i="2"/>
  <c r="F18" i="2"/>
  <c r="D260" i="2"/>
  <c r="D148" i="2"/>
  <c r="I24" i="2"/>
  <c r="G192" i="2"/>
  <c r="F192" i="2"/>
  <c r="E38" i="2"/>
  <c r="F145" i="2"/>
  <c r="D338" i="2"/>
  <c r="F111" i="2"/>
  <c r="F88" i="2"/>
  <c r="F22" i="2"/>
  <c r="E12" i="2"/>
  <c r="G142" i="2"/>
  <c r="H318" i="2"/>
  <c r="F316" i="2"/>
  <c r="E276" i="2"/>
  <c r="H280" i="2"/>
  <c r="H200" i="2"/>
  <c r="H120" i="2"/>
  <c r="G320" i="2"/>
  <c r="G322" i="2"/>
  <c r="G337" i="2"/>
  <c r="G257" i="2"/>
  <c r="G177" i="2"/>
  <c r="H319" i="2"/>
  <c r="H239" i="2"/>
  <c r="H159" i="2"/>
  <c r="G299" i="2"/>
  <c r="G219" i="2"/>
  <c r="G139" i="2"/>
  <c r="G290" i="2"/>
  <c r="E228" i="2"/>
  <c r="F139" i="2"/>
  <c r="D62" i="2"/>
  <c r="F324" i="2"/>
  <c r="F214" i="2"/>
  <c r="D128" i="2"/>
  <c r="G46" i="2"/>
  <c r="H186" i="2"/>
  <c r="F92" i="2"/>
  <c r="F6" i="2"/>
  <c r="E256" i="2"/>
  <c r="E161" i="2"/>
  <c r="G80" i="2"/>
  <c r="E6" i="2"/>
  <c r="E268" i="2"/>
  <c r="D172" i="2"/>
  <c r="H75" i="2"/>
  <c r="D332" i="2"/>
  <c r="H227" i="2"/>
  <c r="E130" i="2"/>
  <c r="H261" i="2"/>
  <c r="G166" i="2"/>
  <c r="G274" i="2"/>
  <c r="G196" i="2"/>
  <c r="D103" i="2"/>
  <c r="G5" i="2"/>
  <c r="H267" i="2"/>
  <c r="D314" i="2"/>
  <c r="H269" i="2"/>
  <c r="F278" i="2"/>
  <c r="F198" i="2"/>
  <c r="F118" i="2"/>
  <c r="E318" i="2"/>
  <c r="E320" i="2"/>
  <c r="E335" i="2"/>
  <c r="E255" i="2"/>
  <c r="G307" i="2"/>
  <c r="F267" i="2"/>
  <c r="D276" i="2"/>
  <c r="D196" i="2"/>
  <c r="D116" i="2"/>
  <c r="H311" i="2"/>
  <c r="H313" i="2"/>
  <c r="H328" i="2"/>
  <c r="H248" i="2"/>
  <c r="H168" i="2"/>
  <c r="D315" i="2"/>
  <c r="D235" i="2"/>
  <c r="D155" i="2"/>
  <c r="H290" i="2"/>
  <c r="H210" i="2"/>
  <c r="H130" i="2"/>
  <c r="H281" i="2"/>
  <c r="D220" i="2"/>
  <c r="E128" i="2"/>
  <c r="E53" i="2"/>
  <c r="H306" i="2"/>
  <c r="E203" i="2"/>
  <c r="G120" i="2"/>
  <c r="H37" i="2"/>
  <c r="D178" i="2"/>
  <c r="E78" i="2"/>
  <c r="F341" i="2"/>
  <c r="D250" i="2"/>
  <c r="D153" i="2"/>
  <c r="G73" i="2"/>
  <c r="F247" i="2"/>
  <c r="G158" i="2"/>
  <c r="D262" i="2"/>
  <c r="H68" i="2"/>
  <c r="E323" i="2"/>
  <c r="D219" i="2"/>
  <c r="E122" i="2"/>
  <c r="G252" i="2"/>
  <c r="F155" i="2"/>
  <c r="E261" i="2"/>
  <c r="H182" i="2"/>
  <c r="F91" i="2"/>
  <c r="H325" i="2"/>
  <c r="D261" i="2"/>
  <c r="H157" i="2"/>
  <c r="E70" i="2"/>
  <c r="G326" i="2"/>
  <c r="H121" i="2"/>
  <c r="D54" i="2"/>
  <c r="F296" i="2"/>
  <c r="D112" i="2"/>
  <c r="E36" i="2"/>
  <c r="F201" i="2"/>
  <c r="E65" i="2"/>
  <c r="E7" i="2"/>
  <c r="D248" i="2"/>
  <c r="H192" i="2"/>
  <c r="F134" i="2"/>
  <c r="H69" i="2"/>
  <c r="H13" i="2"/>
  <c r="H137" i="2"/>
  <c r="H3" i="2"/>
  <c r="H145" i="2"/>
  <c r="L276" i="2"/>
  <c r="F62" i="2"/>
  <c r="E199" i="2"/>
  <c r="F52" i="2"/>
  <c r="G170" i="2"/>
  <c r="F12" i="2"/>
  <c r="H142" i="2"/>
  <c r="D115" i="2"/>
  <c r="F220" i="2"/>
  <c r="F127" i="2"/>
  <c r="D20" i="2"/>
  <c r="E11" i="2"/>
  <c r="F184" i="2"/>
  <c r="H232" i="2"/>
  <c r="F60" i="2"/>
  <c r="D241" i="2"/>
  <c r="H70" i="2"/>
  <c r="F9" i="2"/>
  <c r="E59" i="2"/>
  <c r="E56" i="1"/>
  <c r="H40" i="1"/>
  <c r="F29" i="1"/>
  <c r="F20" i="1"/>
  <c r="G44" i="1"/>
  <c r="E62" i="1"/>
  <c r="D53" i="1"/>
  <c r="H28" i="1"/>
  <c r="D15" i="1"/>
  <c r="D57" i="1"/>
  <c r="F50" i="1"/>
  <c r="G52" i="1"/>
  <c r="F12" i="1"/>
  <c r="E43" i="1"/>
  <c r="E14" i="1"/>
  <c r="E51" i="2"/>
  <c r="E305" i="2"/>
  <c r="D265" i="2"/>
  <c r="G269" i="2"/>
  <c r="G189" i="2"/>
  <c r="G109" i="2"/>
  <c r="F309" i="2"/>
  <c r="F311" i="2"/>
  <c r="F326" i="2"/>
  <c r="F246" i="2"/>
  <c r="F166" i="2"/>
  <c r="G308" i="2"/>
  <c r="G228" i="2"/>
  <c r="G148" i="2"/>
  <c r="F288" i="2"/>
  <c r="F208" i="2"/>
  <c r="F128" i="2"/>
  <c r="J128" i="2" s="1"/>
  <c r="F279" i="2"/>
  <c r="G324" i="2"/>
  <c r="D217" i="2"/>
  <c r="H125" i="2"/>
  <c r="H46" i="2"/>
  <c r="E302" i="2"/>
  <c r="G200" i="2"/>
  <c r="D118" i="2"/>
  <c r="F35" i="2"/>
  <c r="F272" i="2"/>
  <c r="G175" i="2"/>
  <c r="H73" i="2"/>
  <c r="G247" i="2"/>
  <c r="D150" i="2"/>
  <c r="D71" i="2"/>
  <c r="F332" i="2"/>
  <c r="H244" i="2"/>
  <c r="E158" i="2"/>
  <c r="E66" i="2"/>
  <c r="F314" i="2"/>
  <c r="F205" i="2"/>
  <c r="H117" i="2"/>
  <c r="F152" i="2"/>
  <c r="D258" i="2"/>
  <c r="E174" i="2"/>
  <c r="F84" i="2"/>
  <c r="D249" i="2"/>
  <c r="H154" i="2"/>
  <c r="H65" i="2"/>
  <c r="H317" i="2"/>
  <c r="F207" i="2"/>
  <c r="E119" i="2"/>
  <c r="G47" i="2"/>
  <c r="F292" i="2"/>
  <c r="F193" i="2"/>
  <c r="G107" i="2"/>
  <c r="E292" i="2"/>
  <c r="F114" i="2"/>
  <c r="H60" i="2"/>
  <c r="G245" i="2"/>
  <c r="H131" i="2"/>
  <c r="D67" i="2"/>
  <c r="F11" i="2"/>
  <c r="G130" i="2"/>
  <c r="E52" i="2"/>
  <c r="D137" i="2"/>
  <c r="D94" i="2"/>
  <c r="G266" i="2"/>
  <c r="D68" i="2"/>
  <c r="D227" i="2"/>
  <c r="E57" i="2"/>
  <c r="D47" i="2"/>
  <c r="D180" i="2"/>
  <c r="G82" i="2"/>
  <c r="D7" i="2"/>
  <c r="H134" i="2"/>
  <c r="F109" i="2"/>
  <c r="G331" i="2"/>
  <c r="F103" i="2"/>
  <c r="D141" i="2"/>
  <c r="D6" i="2"/>
  <c r="G131" i="2"/>
  <c r="F223" i="2"/>
  <c r="H55" i="2"/>
  <c r="D65" i="2"/>
  <c r="D101" i="2"/>
  <c r="G213" i="2"/>
  <c r="D40" i="2"/>
  <c r="E10" i="2"/>
  <c r="H324" i="2"/>
  <c r="H54" i="2"/>
  <c r="H49" i="1"/>
  <c r="F38" i="1"/>
  <c r="D27" i="1"/>
  <c r="D18" i="1"/>
  <c r="H35" i="1"/>
  <c r="H55" i="1"/>
  <c r="G46" i="1"/>
  <c r="F26" i="1"/>
  <c r="G8" i="1"/>
  <c r="G50" i="1"/>
  <c r="D51" i="2"/>
  <c r="G338" i="2"/>
  <c r="G258" i="2"/>
  <c r="E267" i="2"/>
  <c r="E187" i="2"/>
  <c r="E107" i="2"/>
  <c r="D307" i="2"/>
  <c r="D309" i="2"/>
  <c r="D324" i="2"/>
  <c r="D244" i="2"/>
  <c r="D164" i="2"/>
  <c r="E306" i="2"/>
  <c r="E226" i="2"/>
  <c r="E146" i="2"/>
  <c r="D286" i="2"/>
  <c r="D206" i="2"/>
  <c r="D126" i="2"/>
  <c r="D277" i="2"/>
  <c r="H315" i="2"/>
  <c r="G214" i="2"/>
  <c r="E118" i="2"/>
  <c r="L118" i="2" s="1"/>
  <c r="F44" i="2"/>
  <c r="H298" i="2"/>
  <c r="D192" i="2"/>
  <c r="G113" i="2"/>
  <c r="D33" i="2"/>
  <c r="H262" i="2"/>
  <c r="G172" i="2"/>
  <c r="E71" i="2"/>
  <c r="L71" i="2" s="1"/>
  <c r="G332" i="2"/>
  <c r="F236" i="2"/>
  <c r="G147" i="2"/>
  <c r="G66" i="2"/>
  <c r="H241" i="2"/>
  <c r="F147" i="2"/>
  <c r="D247" i="2"/>
  <c r="H155" i="2"/>
  <c r="H61" i="2"/>
  <c r="G305" i="2"/>
  <c r="H202" i="2"/>
  <c r="E115" i="2"/>
  <c r="E244" i="2"/>
  <c r="D252" i="2"/>
  <c r="G171" i="2"/>
  <c r="F77" i="2"/>
  <c r="E312" i="2"/>
  <c r="G246" i="2"/>
  <c r="D149" i="2"/>
  <c r="E63" i="2"/>
  <c r="D313" i="2"/>
  <c r="H204" i="2"/>
  <c r="H114" i="2"/>
  <c r="E45" i="2"/>
  <c r="E285" i="2"/>
  <c r="F190" i="2"/>
  <c r="D105" i="2"/>
  <c r="H29" i="2"/>
  <c r="D281" i="2"/>
  <c r="E193" i="2"/>
  <c r="F58" i="2"/>
  <c r="E334" i="2"/>
  <c r="D187" i="2"/>
  <c r="K128" i="2"/>
  <c r="D9" i="2"/>
  <c r="H123" i="2"/>
  <c r="E202" i="2"/>
  <c r="D130" i="2"/>
  <c r="E212" i="2"/>
  <c r="K23" i="2"/>
  <c r="D89" i="2"/>
  <c r="G255" i="2"/>
  <c r="H62" i="2"/>
  <c r="G52" i="2"/>
  <c r="E181" i="2"/>
  <c r="F42" i="2"/>
  <c r="D162" i="2"/>
  <c r="D27" i="2"/>
  <c r="D152" i="2"/>
  <c r="E121" i="2"/>
  <c r="G273" i="2"/>
  <c r="G103" i="2"/>
  <c r="G97" i="2"/>
  <c r="G238" i="2"/>
  <c r="D134" i="2"/>
  <c r="F50" i="2"/>
  <c r="D223" i="2"/>
  <c r="D60" i="2"/>
  <c r="E204" i="2"/>
  <c r="D165" i="2"/>
  <c r="F49" i="2"/>
  <c r="H6" i="5"/>
  <c r="E336" i="2"/>
  <c r="H340" i="2"/>
  <c r="H260" i="2"/>
  <c r="H180" i="2"/>
  <c r="H100" i="2"/>
  <c r="G300" i="2"/>
  <c r="G302" i="2"/>
  <c r="G317" i="2"/>
  <c r="G237" i="2"/>
  <c r="G157" i="2"/>
  <c r="H299" i="2"/>
  <c r="H219" i="2"/>
  <c r="H139" i="2"/>
  <c r="G279" i="2"/>
  <c r="G199" i="2"/>
  <c r="H341" i="2"/>
  <c r="G341" i="2"/>
  <c r="D311" i="2"/>
  <c r="F203" i="2"/>
  <c r="H113" i="2"/>
  <c r="D42" i="2"/>
  <c r="H294" i="2"/>
  <c r="F189" i="2"/>
  <c r="D111" i="2"/>
  <c r="G26" i="2"/>
  <c r="E259" i="2"/>
  <c r="H66" i="2"/>
  <c r="H233" i="2"/>
  <c r="F136" i="2"/>
  <c r="D64" i="2"/>
  <c r="G323" i="2"/>
  <c r="E236" i="2"/>
  <c r="H144" i="2"/>
  <c r="G244" i="2"/>
  <c r="H152" i="2"/>
  <c r="F59" i="2"/>
  <c r="E301" i="2"/>
  <c r="E194" i="2"/>
  <c r="H110" i="2"/>
  <c r="E241" i="2"/>
  <c r="E144" i="2"/>
  <c r="E249" i="2"/>
  <c r="D163" i="2"/>
  <c r="F70" i="2"/>
  <c r="G243" i="2"/>
  <c r="G146" i="2"/>
  <c r="G56" i="2"/>
  <c r="H201" i="2"/>
  <c r="E112" i="2"/>
  <c r="H38" i="2"/>
  <c r="E281" i="2"/>
  <c r="E182" i="2"/>
  <c r="F100" i="2"/>
  <c r="F27" i="2"/>
  <c r="H277" i="2"/>
  <c r="E190" i="2"/>
  <c r="F107" i="2"/>
  <c r="D56" i="2"/>
  <c r="K56" i="2" s="1"/>
  <c r="F325" i="2"/>
  <c r="G184" i="2"/>
  <c r="F123" i="2"/>
  <c r="G62" i="2"/>
  <c r="D340" i="2"/>
  <c r="G123" i="2"/>
  <c r="E291" i="2"/>
  <c r="H52" i="2"/>
  <c r="E209" i="2"/>
  <c r="H42" i="2"/>
  <c r="H171" i="2"/>
  <c r="E37" i="2"/>
  <c r="E152" i="2"/>
  <c r="G115" i="2"/>
  <c r="E263" i="2"/>
  <c r="E331" i="2"/>
  <c r="D127" i="2"/>
  <c r="E69" i="2"/>
  <c r="D205" i="2"/>
  <c r="H214" i="2"/>
  <c r="G6" i="5"/>
  <c r="H329" i="2"/>
  <c r="F338" i="2"/>
  <c r="F258" i="2"/>
  <c r="F178" i="2"/>
  <c r="F98" i="2"/>
  <c r="E298" i="2"/>
  <c r="E300" i="2"/>
  <c r="E315" i="2"/>
  <c r="K315" i="2" s="1"/>
  <c r="E235" i="2"/>
  <c r="I235" i="2" s="1"/>
  <c r="E155" i="2"/>
  <c r="I155" i="2" s="1"/>
  <c r="F297" i="2"/>
  <c r="F217" i="2"/>
  <c r="F137" i="2"/>
  <c r="E277" i="2"/>
  <c r="K277" i="2" s="1"/>
  <c r="E197" i="2"/>
  <c r="F339" i="2"/>
  <c r="E339" i="2"/>
  <c r="E192" i="2"/>
  <c r="E111" i="2"/>
  <c r="G35" i="2"/>
  <c r="G287" i="2"/>
  <c r="G106" i="2"/>
  <c r="H17" i="2"/>
  <c r="F256" i="2"/>
  <c r="F164" i="2"/>
  <c r="E64" i="2"/>
  <c r="J64" i="2" s="1"/>
  <c r="H323" i="2"/>
  <c r="E225" i="2"/>
  <c r="H133" i="2"/>
  <c r="H59" i="2"/>
  <c r="H314" i="2"/>
  <c r="G233" i="2"/>
  <c r="H141" i="2"/>
  <c r="G241" i="2"/>
  <c r="D147" i="2"/>
  <c r="K147" i="2" s="1"/>
  <c r="D57" i="2"/>
  <c r="H297" i="2"/>
  <c r="G191" i="2"/>
  <c r="E108" i="2"/>
  <c r="H238" i="2"/>
  <c r="H335" i="2"/>
  <c r="H246" i="2"/>
  <c r="F160" i="2"/>
  <c r="F63" i="2"/>
  <c r="G335" i="2"/>
  <c r="F235" i="2"/>
  <c r="G143" i="2"/>
  <c r="E54" i="2"/>
  <c r="L54" i="2" s="1"/>
  <c r="E304" i="2"/>
  <c r="E196" i="2"/>
  <c r="I196" i="2" s="1"/>
  <c r="H107" i="2"/>
  <c r="F36" i="2"/>
  <c r="I277" i="2"/>
  <c r="E179" i="2"/>
  <c r="D25" i="2"/>
  <c r="E270" i="2"/>
  <c r="H187" i="2"/>
  <c r="G316" i="2"/>
  <c r="G181" i="2"/>
  <c r="I118" i="2"/>
  <c r="E60" i="2"/>
  <c r="F340" i="2"/>
  <c r="D106" i="2"/>
  <c r="F322" i="2"/>
  <c r="G117" i="2"/>
  <c r="I220" i="2"/>
  <c r="H278" i="2"/>
  <c r="F227" i="2"/>
  <c r="F23" i="2"/>
  <c r="F199" i="2"/>
  <c r="H32" i="2"/>
  <c r="F162" i="2"/>
  <c r="G32" i="2"/>
  <c r="H135" i="2"/>
  <c r="D299" i="2"/>
  <c r="H109" i="2"/>
  <c r="F252" i="2"/>
  <c r="D92" i="2"/>
  <c r="I285" i="2"/>
  <c r="G81" i="2"/>
  <c r="G313" i="2"/>
  <c r="E103" i="2"/>
  <c r="G231" i="2"/>
  <c r="G34" i="2"/>
  <c r="G40" i="2"/>
  <c r="G44" i="2"/>
  <c r="E50" i="2"/>
  <c r="H34" i="2"/>
  <c r="H185" i="2"/>
  <c r="H25" i="2"/>
  <c r="G39" i="2"/>
  <c r="F6" i="5"/>
  <c r="F327" i="2"/>
  <c r="D336" i="2"/>
  <c r="D256" i="2"/>
  <c r="D176" i="2"/>
  <c r="D96" i="2"/>
  <c r="H291" i="2"/>
  <c r="H293" i="2"/>
  <c r="H308" i="2"/>
  <c r="H228" i="2"/>
  <c r="H148" i="2"/>
  <c r="D295" i="2"/>
  <c r="D215" i="2"/>
  <c r="D135" i="2"/>
  <c r="H270" i="2"/>
  <c r="H190" i="2"/>
  <c r="D337" i="2"/>
  <c r="L336" i="2"/>
  <c r="F302" i="2"/>
  <c r="H189" i="2"/>
  <c r="H106" i="2"/>
  <c r="E33" i="2"/>
  <c r="G283" i="2"/>
  <c r="E178" i="2"/>
  <c r="D104" i="2"/>
  <c r="F15" i="2"/>
  <c r="F253" i="2"/>
  <c r="F161" i="2"/>
  <c r="G57" i="2"/>
  <c r="D319" i="2"/>
  <c r="G222" i="2"/>
  <c r="E125" i="2"/>
  <c r="F57" i="2"/>
  <c r="D310" i="2"/>
  <c r="G230" i="2"/>
  <c r="D341" i="2"/>
  <c r="L235" i="2"/>
  <c r="G144" i="2"/>
  <c r="G50" i="2"/>
  <c r="G286" i="2"/>
  <c r="D183" i="2"/>
  <c r="H103" i="2"/>
  <c r="D233" i="2"/>
  <c r="D331" i="2"/>
  <c r="H243" i="2"/>
  <c r="E149" i="2"/>
  <c r="H56" i="2"/>
  <c r="H326" i="2"/>
  <c r="F232" i="2"/>
  <c r="F135" i="2"/>
  <c r="H47" i="2"/>
  <c r="G296" i="2"/>
  <c r="G193" i="2"/>
  <c r="E105" i="2"/>
  <c r="I105" i="2" s="1"/>
  <c r="D34" i="2"/>
  <c r="D274" i="2"/>
  <c r="H176" i="2"/>
  <c r="F93" i="2"/>
  <c r="G18" i="2"/>
  <c r="D182" i="2"/>
  <c r="H102" i="2"/>
  <c r="G49" i="2"/>
  <c r="H307" i="2"/>
  <c r="F234" i="2"/>
  <c r="J178" i="2"/>
  <c r="F116" i="2"/>
  <c r="H322" i="2"/>
  <c r="D100" i="2"/>
  <c r="H304" i="2"/>
  <c r="F202" i="2"/>
  <c r="D73" i="2"/>
  <c r="D18" i="2"/>
  <c r="D190" i="2"/>
  <c r="H153" i="2"/>
  <c r="H22" i="2"/>
  <c r="F334" i="2"/>
  <c r="I128" i="2"/>
  <c r="D87" i="2"/>
  <c r="D82" i="2"/>
  <c r="F273" i="2"/>
  <c r="G76" i="2"/>
  <c r="F97" i="2"/>
  <c r="F195" i="2"/>
  <c r="H4" i="2"/>
  <c r="G19" i="2"/>
  <c r="H45" i="2"/>
  <c r="F176" i="2"/>
  <c r="F20" i="2"/>
  <c r="F90" i="2"/>
  <c r="H89" i="2"/>
  <c r="L147" i="2"/>
  <c r="D54" i="1"/>
  <c r="E36" i="1"/>
  <c r="H20" i="1"/>
  <c r="F9" i="1"/>
  <c r="E60" i="1"/>
  <c r="F62" i="1"/>
  <c r="F13" i="1"/>
  <c r="D33" i="1"/>
  <c r="H8" i="1"/>
  <c r="H50" i="1"/>
  <c r="D325" i="2"/>
  <c r="I325" i="2" s="1"/>
  <c r="G329" i="2"/>
  <c r="G249" i="2"/>
  <c r="G169" i="2"/>
  <c r="G89" i="2"/>
  <c r="F289" i="2"/>
  <c r="F291" i="2"/>
  <c r="F306" i="2"/>
  <c r="F226" i="2"/>
  <c r="F146" i="2"/>
  <c r="G288" i="2"/>
  <c r="G208" i="2"/>
  <c r="G128" i="2"/>
  <c r="F268" i="2"/>
  <c r="F188" i="2"/>
  <c r="G330" i="2"/>
  <c r="H332" i="2"/>
  <c r="D291" i="2"/>
  <c r="E104" i="2"/>
  <c r="H26" i="2"/>
  <c r="F276" i="2"/>
  <c r="H175" i="2"/>
  <c r="G99" i="2"/>
  <c r="D13" i="2"/>
  <c r="E250" i="2"/>
  <c r="K155" i="2"/>
  <c r="E55" i="2"/>
  <c r="E310" i="2"/>
  <c r="D214" i="2"/>
  <c r="H122" i="2"/>
  <c r="D55" i="2"/>
  <c r="J55" i="2" s="1"/>
  <c r="I305" i="2"/>
  <c r="D225" i="2"/>
  <c r="I336" i="2"/>
  <c r="F233" i="2"/>
  <c r="G141" i="2"/>
  <c r="E48" i="2"/>
  <c r="H282" i="2"/>
  <c r="F180" i="2"/>
  <c r="E101" i="2"/>
  <c r="D230" i="2"/>
  <c r="D238" i="2"/>
  <c r="H146" i="2"/>
  <c r="F54" i="2"/>
  <c r="D322" i="2"/>
  <c r="F132" i="2"/>
  <c r="F45" i="2"/>
  <c r="G292" i="2"/>
  <c r="G190" i="2"/>
  <c r="G100" i="2"/>
  <c r="G27" i="2"/>
  <c r="F270" i="2"/>
  <c r="D171" i="2"/>
  <c r="E16" i="2"/>
  <c r="H257" i="2"/>
  <c r="D179" i="2"/>
  <c r="E100" i="2"/>
  <c r="L100" i="2" s="1"/>
  <c r="E47" i="2"/>
  <c r="E303" i="2"/>
  <c r="H231" i="2"/>
  <c r="H8" i="3"/>
  <c r="G318" i="2"/>
  <c r="E327" i="2"/>
  <c r="E247" i="2"/>
  <c r="L247" i="2" s="1"/>
  <c r="E167" i="2"/>
  <c r="E87" i="2"/>
  <c r="D287" i="2"/>
  <c r="D289" i="2"/>
  <c r="D304" i="2"/>
  <c r="D224" i="2"/>
  <c r="D144" i="2"/>
  <c r="E286" i="2"/>
  <c r="L286" i="2" s="1"/>
  <c r="E206" i="2"/>
  <c r="K206" i="2" s="1"/>
  <c r="E126" i="2"/>
  <c r="I126" i="2" s="1"/>
  <c r="D266" i="2"/>
  <c r="D186" i="2"/>
  <c r="E328" i="2"/>
  <c r="F330" i="2"/>
  <c r="H287" i="2"/>
  <c r="D181" i="2"/>
  <c r="H99" i="2"/>
  <c r="F24" i="2"/>
  <c r="G272" i="2"/>
  <c r="H172" i="2"/>
  <c r="D97" i="2"/>
  <c r="G6" i="2"/>
  <c r="H247" i="2"/>
  <c r="E153" i="2"/>
  <c r="H48" i="2"/>
  <c r="F211" i="2"/>
  <c r="E120" i="2"/>
  <c r="G48" i="2"/>
  <c r="G301" i="2"/>
  <c r="F222" i="2"/>
  <c r="E332" i="2"/>
  <c r="F230" i="2"/>
  <c r="H41" i="2"/>
  <c r="F275" i="2"/>
  <c r="E169" i="2"/>
  <c r="H96" i="2"/>
  <c r="G227" i="2"/>
  <c r="E322" i="2"/>
  <c r="G235" i="2"/>
  <c r="H143" i="2"/>
  <c r="D52" i="2"/>
  <c r="G8" i="3"/>
  <c r="E316" i="2"/>
  <c r="H320" i="2"/>
  <c r="H240" i="2"/>
  <c r="H160" i="2"/>
  <c r="H80" i="2"/>
  <c r="G280" i="2"/>
  <c r="G282" i="2"/>
  <c r="G297" i="2"/>
  <c r="G217" i="2"/>
  <c r="G137" i="2"/>
  <c r="H279" i="2"/>
  <c r="H199" i="2"/>
  <c r="G339" i="2"/>
  <c r="G259" i="2"/>
  <c r="G179" i="2"/>
  <c r="L325" i="2"/>
  <c r="D328" i="2"/>
  <c r="K328" i="2" s="1"/>
  <c r="H283" i="2"/>
  <c r="G178" i="2"/>
  <c r="E97" i="2"/>
  <c r="D22" i="2"/>
  <c r="F259" i="2"/>
  <c r="D167" i="2"/>
  <c r="G92" i="2"/>
  <c r="E4" i="2"/>
  <c r="D242" i="2"/>
  <c r="E150" i="2"/>
  <c r="K150" i="2" s="1"/>
  <c r="F46" i="2"/>
  <c r="F294" i="2"/>
  <c r="E200" i="2"/>
  <c r="H115" i="2"/>
  <c r="E46" i="2"/>
  <c r="F219" i="2"/>
  <c r="E222" i="2"/>
  <c r="F133" i="2"/>
  <c r="F39" i="2"/>
  <c r="D268" i="2"/>
  <c r="H166" i="2"/>
  <c r="G336" i="2"/>
  <c r="F216" i="2"/>
  <c r="G232" i="2"/>
  <c r="D138" i="2"/>
  <c r="G45" i="2"/>
  <c r="E313" i="2"/>
  <c r="I313" i="2" s="1"/>
  <c r="E221" i="2"/>
  <c r="E124" i="2"/>
  <c r="I124" i="2" s="1"/>
  <c r="G36" i="2"/>
  <c r="F281" i="2"/>
  <c r="F182" i="2"/>
  <c r="G93" i="2"/>
  <c r="H18" i="2"/>
  <c r="H254" i="2"/>
  <c r="G165" i="2"/>
  <c r="H9" i="2"/>
  <c r="H251" i="2"/>
  <c r="L167" i="2"/>
  <c r="H95" i="2"/>
  <c r="H40" i="2"/>
  <c r="G295" i="2"/>
  <c r="K225" i="2"/>
  <c r="F170" i="2"/>
  <c r="H104" i="2"/>
  <c r="D49" i="2"/>
  <c r="G84" i="2"/>
  <c r="J266" i="2"/>
  <c r="D237" i="2"/>
  <c r="D38" i="2"/>
  <c r="D191" i="2"/>
  <c r="G3" i="2"/>
  <c r="G162" i="2"/>
  <c r="L128" i="2"/>
  <c r="G104" i="2"/>
  <c r="H98" i="2"/>
  <c r="F66" i="2"/>
  <c r="D66" i="2"/>
  <c r="K242" i="2"/>
  <c r="K55" i="2"/>
  <c r="G261" i="2"/>
  <c r="F76" i="2"/>
  <c r="D80" i="2"/>
  <c r="E138" i="2"/>
  <c r="D159" i="2"/>
  <c r="D21" i="2"/>
  <c r="L48" i="2"/>
  <c r="F30" i="2"/>
  <c r="E29" i="2"/>
  <c r="D125" i="2"/>
  <c r="H38" i="1"/>
  <c r="D25" i="1"/>
  <c r="G9" i="1"/>
  <c r="E13" i="1"/>
  <c r="D49" i="1"/>
  <c r="E51" i="1"/>
  <c r="F4" i="1"/>
  <c r="H17" i="1"/>
  <c r="H59" i="1"/>
  <c r="G39" i="1"/>
  <c r="E28" i="1"/>
  <c r="D28" i="1"/>
  <c r="E30" i="1"/>
  <c r="E41" i="1"/>
  <c r="G54" i="1"/>
  <c r="G25" i="1"/>
  <c r="F8" i="3"/>
  <c r="H309" i="2"/>
  <c r="F318" i="2"/>
  <c r="F238" i="2"/>
  <c r="F158" i="2"/>
  <c r="F78" i="2"/>
  <c r="E278" i="2"/>
  <c r="E280" i="2"/>
  <c r="E295" i="2"/>
  <c r="K295" i="2" s="1"/>
  <c r="E215" i="2"/>
  <c r="E135" i="2"/>
  <c r="F277" i="2"/>
  <c r="F197" i="2"/>
  <c r="E337" i="2"/>
  <c r="E257" i="2"/>
  <c r="E177" i="2"/>
  <c r="H321" i="2"/>
  <c r="K325" i="2"/>
  <c r="G276" i="2"/>
  <c r="H92" i="2"/>
  <c r="G15" i="2"/>
  <c r="G256" i="2"/>
  <c r="G164" i="2"/>
  <c r="D90" i="2"/>
  <c r="H337" i="2"/>
  <c r="D239" i="2"/>
  <c r="H147" i="2"/>
  <c r="D44" i="2"/>
  <c r="F290" i="2"/>
  <c r="H197" i="2"/>
  <c r="E113" i="2"/>
  <c r="H39" i="2"/>
  <c r="E294" i="2"/>
  <c r="E211" i="2"/>
  <c r="F323" i="2"/>
  <c r="E219" i="2"/>
  <c r="F130" i="2"/>
  <c r="D37" i="2"/>
  <c r="E265" i="2"/>
  <c r="H163" i="2"/>
  <c r="H327" i="2"/>
  <c r="H213" i="2"/>
  <c r="F313" i="2"/>
  <c r="G135" i="2"/>
  <c r="E43" i="2"/>
  <c r="H218" i="2"/>
  <c r="F119" i="2"/>
  <c r="E34" i="2"/>
  <c r="J277" i="2"/>
  <c r="F179" i="2"/>
  <c r="D91" i="2"/>
  <c r="K91" i="2" s="1"/>
  <c r="F16" i="2"/>
  <c r="E243" i="2"/>
  <c r="E8" i="3"/>
  <c r="F307" i="2"/>
  <c r="J307" i="2" s="1"/>
  <c r="D316" i="2"/>
  <c r="D236" i="2"/>
  <c r="D156" i="2"/>
  <c r="D76" i="2"/>
  <c r="K76" i="2" s="1"/>
  <c r="H271" i="2"/>
  <c r="H273" i="2"/>
  <c r="H288" i="2"/>
  <c r="H208" i="2"/>
  <c r="H128" i="2"/>
  <c r="D275" i="2"/>
  <c r="D195" i="2"/>
  <c r="H330" i="2"/>
  <c r="H250" i="2"/>
  <c r="H170" i="2"/>
  <c r="F319" i="2"/>
  <c r="G321" i="2"/>
  <c r="H272" i="2"/>
  <c r="F167" i="2"/>
  <c r="E90" i="2"/>
  <c r="L90" i="2" s="1"/>
  <c r="E13" i="2"/>
  <c r="I13" i="2" s="1"/>
  <c r="G253" i="2"/>
  <c r="G161" i="2"/>
  <c r="G85" i="2"/>
  <c r="D333" i="2"/>
  <c r="I333" i="2" s="1"/>
  <c r="G236" i="2"/>
  <c r="D142" i="2"/>
  <c r="G37" i="2"/>
  <c r="J286" i="2"/>
  <c r="H194" i="2"/>
  <c r="H108" i="2"/>
  <c r="F37" i="2"/>
  <c r="E290" i="2"/>
  <c r="E208" i="2"/>
  <c r="G314" i="2"/>
  <c r="H216" i="2"/>
  <c r="F122" i="2"/>
  <c r="G30" i="2"/>
  <c r="D158" i="2"/>
  <c r="L158" i="2" s="1"/>
  <c r="D323" i="2"/>
  <c r="E205" i="2"/>
  <c r="H253" i="2"/>
  <c r="D306" i="2"/>
  <c r="E231" i="2"/>
  <c r="D131" i="2"/>
  <c r="H8" i="2"/>
  <c r="E262" i="2"/>
  <c r="H336" i="2"/>
  <c r="D278" i="2"/>
  <c r="F274" i="2"/>
  <c r="D3" i="2"/>
  <c r="D70" i="2"/>
  <c r="H151" i="2"/>
  <c r="H303" i="2"/>
  <c r="H88" i="2"/>
  <c r="D251" i="2"/>
  <c r="E102" i="2"/>
  <c r="E238" i="2"/>
  <c r="I182" i="2"/>
  <c r="H84" i="2"/>
  <c r="J200" i="2"/>
  <c r="J143" i="2"/>
  <c r="D88" i="2"/>
  <c r="I192" i="2"/>
  <c r="H274" i="2"/>
  <c r="J206" i="2"/>
  <c r="F215" i="2"/>
  <c r="I54" i="2"/>
  <c r="D177" i="2"/>
  <c r="H5" i="2"/>
  <c r="D114" i="2"/>
  <c r="G54" i="2"/>
  <c r="D102" i="2"/>
  <c r="E75" i="2"/>
  <c r="F56" i="1"/>
  <c r="E16" i="1"/>
  <c r="H51" i="1"/>
  <c r="E29" i="1"/>
  <c r="D11" i="1"/>
  <c r="F44" i="1"/>
  <c r="E55" i="1"/>
  <c r="H19" i="1"/>
  <c r="H41" i="1"/>
  <c r="H32" i="1"/>
  <c r="F32" i="1"/>
  <c r="F43" i="1"/>
  <c r="F54" i="1"/>
  <c r="G5" i="1"/>
  <c r="G16" i="1"/>
  <c r="J310" i="2"/>
  <c r="K197" i="2"/>
  <c r="L219" i="2"/>
  <c r="I233" i="2"/>
  <c r="K130" i="2"/>
  <c r="J144" i="2"/>
  <c r="I304" i="2"/>
  <c r="I339" i="2"/>
  <c r="L182" i="2"/>
  <c r="L67" i="2"/>
  <c r="J58" i="2"/>
  <c r="K237" i="2"/>
  <c r="L47" i="2"/>
  <c r="K26" i="2"/>
  <c r="J309" i="2"/>
  <c r="I125" i="2"/>
  <c r="K125" i="2"/>
  <c r="J190" i="2"/>
  <c r="I52" i="2"/>
  <c r="F342" i="2"/>
  <c r="E297" i="2"/>
  <c r="H225" i="2"/>
  <c r="G125" i="2"/>
  <c r="D4" i="2"/>
  <c r="J4" i="2" s="1"/>
  <c r="D253" i="2"/>
  <c r="G264" i="2"/>
  <c r="F264" i="2"/>
  <c r="G303" i="2"/>
  <c r="D63" i="2"/>
  <c r="F129" i="2"/>
  <c r="G254" i="2"/>
  <c r="E79" i="2"/>
  <c r="K228" i="2"/>
  <c r="H97" i="2"/>
  <c r="E201" i="2"/>
  <c r="G173" i="2"/>
  <c r="I256" i="2"/>
  <c r="H181" i="2"/>
  <c r="E136" i="2"/>
  <c r="F67" i="2"/>
  <c r="H235" i="2"/>
  <c r="G263" i="2"/>
  <c r="L197" i="2"/>
  <c r="I178" i="2"/>
  <c r="G206" i="2"/>
  <c r="D30" i="2"/>
  <c r="K167" i="2"/>
  <c r="G221" i="2"/>
  <c r="D108" i="2"/>
  <c r="F96" i="2"/>
  <c r="G59" i="2"/>
  <c r="J239" i="2"/>
  <c r="D75" i="2"/>
  <c r="L75" i="2" s="1"/>
  <c r="G47" i="1"/>
  <c r="H9" i="1"/>
  <c r="F49" i="1"/>
  <c r="H22" i="1"/>
  <c r="D60" i="1"/>
  <c r="D42" i="1"/>
  <c r="H48" i="1"/>
  <c r="F17" i="1"/>
  <c r="F39" i="1"/>
  <c r="F30" i="1"/>
  <c r="H23" i="1"/>
  <c r="D30" i="1"/>
  <c r="D41" i="1"/>
  <c r="D52" i="1"/>
  <c r="E3" i="1"/>
  <c r="I310" i="2"/>
  <c r="I219" i="2"/>
  <c r="L233" i="2"/>
  <c r="L130" i="2"/>
  <c r="I144" i="2"/>
  <c r="K304" i="2"/>
  <c r="J179" i="2"/>
  <c r="I60" i="2"/>
  <c r="I58" i="2"/>
  <c r="L237" i="2"/>
  <c r="I47" i="2"/>
  <c r="I109" i="2"/>
  <c r="K309" i="2"/>
  <c r="I172" i="2"/>
  <c r="J48" i="2"/>
  <c r="H268" i="2"/>
  <c r="F248" i="2"/>
  <c r="H164" i="2"/>
  <c r="D83" i="2"/>
  <c r="E283" i="2"/>
  <c r="H205" i="2"/>
  <c r="H252" i="2"/>
  <c r="F224" i="2"/>
  <c r="E224" i="2"/>
  <c r="F335" i="2"/>
  <c r="H58" i="2"/>
  <c r="G121" i="2"/>
  <c r="D243" i="2"/>
  <c r="J243" i="2" s="1"/>
  <c r="H74" i="2"/>
  <c r="E223" i="2"/>
  <c r="E95" i="2"/>
  <c r="K182" i="2"/>
  <c r="D173" i="2"/>
  <c r="D99" i="2"/>
  <c r="E62" i="2"/>
  <c r="H316" i="2"/>
  <c r="I243" i="2"/>
  <c r="D188" i="2"/>
  <c r="L150" i="2"/>
  <c r="H196" i="2"/>
  <c r="F231" i="2"/>
  <c r="H149" i="2"/>
  <c r="E258" i="2"/>
  <c r="F102" i="2"/>
  <c r="F80" i="2"/>
  <c r="F293" i="2"/>
  <c r="D229" i="2"/>
  <c r="I69" i="2"/>
  <c r="E45" i="1"/>
  <c r="F7" i="1"/>
  <c r="D47" i="1"/>
  <c r="G11" i="1"/>
  <c r="G53" i="1"/>
  <c r="G35" i="1"/>
  <c r="F46" i="1"/>
  <c r="E6" i="1"/>
  <c r="D37" i="1"/>
  <c r="F21" i="1"/>
  <c r="K60" i="1"/>
  <c r="K233" i="2"/>
  <c r="I130" i="2"/>
  <c r="K144" i="2"/>
  <c r="J224" i="2"/>
  <c r="L304" i="2"/>
  <c r="K179" i="2"/>
  <c r="K60" i="2"/>
  <c r="J191" i="2"/>
  <c r="D264" i="2"/>
  <c r="J264" i="2" s="1"/>
  <c r="H230" i="2"/>
  <c r="G150" i="2"/>
  <c r="H57" i="2"/>
  <c r="H265" i="2"/>
  <c r="F183" i="2"/>
  <c r="J183" i="2" s="1"/>
  <c r="K235" i="2"/>
  <c r="F221" i="2"/>
  <c r="D213" i="2"/>
  <c r="K213" i="2" s="1"/>
  <c r="F285" i="2"/>
  <c r="J285" i="2" s="1"/>
  <c r="F56" i="2"/>
  <c r="J56" i="2" s="1"/>
  <c r="D119" i="2"/>
  <c r="F240" i="2"/>
  <c r="E72" i="2"/>
  <c r="G220" i="2"/>
  <c r="E81" i="2"/>
  <c r="H173" i="2"/>
  <c r="E94" i="2"/>
  <c r="I228" i="2"/>
  <c r="E163" i="2"/>
  <c r="F83" i="2"/>
  <c r="L56" i="2"/>
  <c r="E299" i="2"/>
  <c r="G234" i="2"/>
  <c r="E151" i="2"/>
  <c r="E141" i="2"/>
  <c r="F187" i="2"/>
  <c r="F95" i="2"/>
  <c r="G133" i="2"/>
  <c r="I112" i="2"/>
  <c r="G96" i="2"/>
  <c r="F280" i="2"/>
  <c r="F75" i="2"/>
  <c r="D59" i="2"/>
  <c r="H64" i="2"/>
  <c r="F36" i="1"/>
  <c r="D5" i="1"/>
  <c r="G40" i="1"/>
  <c r="E9" i="1"/>
  <c r="H44" i="1"/>
  <c r="E33" i="1"/>
  <c r="D44" i="1"/>
  <c r="G59" i="1"/>
  <c r="G30" i="1"/>
  <c r="G21" i="1"/>
  <c r="D19" i="1"/>
  <c r="G56" i="1"/>
  <c r="H7" i="1"/>
  <c r="K283" i="2"/>
  <c r="K172" i="2"/>
  <c r="I183" i="2"/>
  <c r="L144" i="2"/>
  <c r="I224" i="2"/>
  <c r="I179" i="2"/>
  <c r="K190" i="2"/>
  <c r="K260" i="2"/>
  <c r="K159" i="2"/>
  <c r="L60" i="2"/>
  <c r="K52" i="2"/>
  <c r="I48" i="2"/>
  <c r="K191" i="2"/>
  <c r="K37" i="2"/>
  <c r="I42" i="2"/>
  <c r="K109" i="2"/>
  <c r="I309" i="2"/>
  <c r="L190" i="2"/>
  <c r="K18" i="2"/>
  <c r="L37" i="2"/>
  <c r="H188" i="2"/>
  <c r="D226" i="2"/>
  <c r="F142" i="2"/>
  <c r="D53" i="2"/>
  <c r="D259" i="2"/>
  <c r="H169" i="2"/>
  <c r="E230" i="2"/>
  <c r="J230" i="2" s="1"/>
  <c r="H207" i="2"/>
  <c r="D210" i="2"/>
  <c r="E274" i="2"/>
  <c r="J274" i="2" s="1"/>
  <c r="E25" i="2"/>
  <c r="G114" i="2"/>
  <c r="H67" i="2"/>
  <c r="H76" i="2"/>
  <c r="E89" i="2"/>
  <c r="E117" i="2"/>
  <c r="I274" i="2"/>
  <c r="I225" i="2"/>
  <c r="G134" i="2"/>
  <c r="E134" i="2"/>
  <c r="L134" i="2" s="1"/>
  <c r="H178" i="2"/>
  <c r="G74" i="2"/>
  <c r="G126" i="2"/>
  <c r="G91" i="2"/>
  <c r="F156" i="2"/>
  <c r="J156" i="2" s="1"/>
  <c r="G70" i="2"/>
  <c r="F29" i="2"/>
  <c r="H44" i="2"/>
  <c r="D34" i="1"/>
  <c r="G55" i="1"/>
  <c r="E38" i="1"/>
  <c r="G62" i="1"/>
  <c r="F42" i="1"/>
  <c r="H26" i="1"/>
  <c r="G37" i="1"/>
  <c r="E57" i="1"/>
  <c r="E19" i="1"/>
  <c r="G23" i="1"/>
  <c r="G34" i="1"/>
  <c r="G45" i="1"/>
  <c r="E54" i="1"/>
  <c r="F5" i="1"/>
  <c r="L283" i="2"/>
  <c r="J279" i="2"/>
  <c r="L172" i="2"/>
  <c r="K183" i="2"/>
  <c r="K230" i="2"/>
  <c r="J244" i="2"/>
  <c r="I322" i="2"/>
  <c r="K224" i="2"/>
  <c r="K274" i="2"/>
  <c r="I157" i="2"/>
  <c r="K143" i="2"/>
  <c r="L260" i="2"/>
  <c r="L159" i="2"/>
  <c r="L52" i="2"/>
  <c r="K38" i="2"/>
  <c r="L191" i="2"/>
  <c r="K42" i="2"/>
  <c r="D184" i="2"/>
  <c r="E217" i="2"/>
  <c r="E131" i="2"/>
  <c r="L131" i="2" s="1"/>
  <c r="E44" i="2"/>
  <c r="K44" i="2" s="1"/>
  <c r="E253" i="2"/>
  <c r="J253" i="2" s="1"/>
  <c r="D161" i="2"/>
  <c r="L161" i="2" s="1"/>
  <c r="D222" i="2"/>
  <c r="L222" i="2" s="1"/>
  <c r="D199" i="2"/>
  <c r="J199" i="2" s="1"/>
  <c r="E185" i="2"/>
  <c r="G270" i="2"/>
  <c r="D14" i="2"/>
  <c r="F86" i="2"/>
  <c r="D218" i="2"/>
  <c r="L44" i="2"/>
  <c r="I206" i="2"/>
  <c r="E74" i="2"/>
  <c r="G94" i="2"/>
  <c r="F73" i="2"/>
  <c r="K200" i="2"/>
  <c r="H105" i="2"/>
  <c r="G67" i="2"/>
  <c r="H12" i="2"/>
  <c r="H263" i="2"/>
  <c r="E188" i="2"/>
  <c r="G127" i="2"/>
  <c r="L70" i="2"/>
  <c r="E49" i="2"/>
  <c r="G108" i="2"/>
  <c r="G124" i="2"/>
  <c r="D79" i="2"/>
  <c r="K64" i="2"/>
  <c r="J324" i="2"/>
  <c r="J294" i="2"/>
  <c r="G27" i="1"/>
  <c r="H60" i="1"/>
  <c r="H31" i="1"/>
  <c r="H53" i="1"/>
  <c r="D40" i="1"/>
  <c r="F24" i="1"/>
  <c r="E35" i="1"/>
  <c r="F48" i="1"/>
  <c r="H21" i="1"/>
  <c r="G12" i="1"/>
  <c r="E21" i="1"/>
  <c r="E32" i="1"/>
  <c r="D3" i="1"/>
  <c r="I324" i="2"/>
  <c r="K279" i="2"/>
  <c r="J332" i="2"/>
  <c r="L183" i="2"/>
  <c r="L230" i="2"/>
  <c r="I244" i="2"/>
  <c r="K322" i="2"/>
  <c r="L224" i="2"/>
  <c r="L274" i="2"/>
  <c r="L157" i="2"/>
  <c r="K285" i="2"/>
  <c r="L143" i="2"/>
  <c r="I190" i="2"/>
  <c r="I260" i="2"/>
  <c r="I159" i="2"/>
  <c r="I202" i="2"/>
  <c r="I191" i="2"/>
  <c r="L18" i="2"/>
  <c r="K199" i="2"/>
  <c r="I37" i="2"/>
  <c r="L42" i="2"/>
  <c r="I51" i="2"/>
  <c r="J177" i="2"/>
  <c r="K204" i="2"/>
  <c r="K264" i="2"/>
  <c r="J18" i="2"/>
  <c r="L87" i="2"/>
  <c r="J51" i="2"/>
  <c r="E175" i="2"/>
  <c r="F168" i="2"/>
  <c r="H85" i="2"/>
  <c r="I328" i="2"/>
  <c r="D189" i="2"/>
  <c r="H305" i="2"/>
  <c r="G155" i="2"/>
  <c r="F185" i="2"/>
  <c r="D174" i="2"/>
  <c r="E232" i="2"/>
  <c r="G7" i="2"/>
  <c r="F79" i="2"/>
  <c r="G212" i="2"/>
  <c r="F38" i="2"/>
  <c r="J38" i="2" s="1"/>
  <c r="L200" i="2"/>
  <c r="K71" i="2"/>
  <c r="F89" i="2"/>
  <c r="F68" i="2"/>
  <c r="D154" i="2"/>
  <c r="G88" i="2"/>
  <c r="F3" i="2"/>
  <c r="L253" i="2"/>
  <c r="E170" i="2"/>
  <c r="D121" i="2"/>
  <c r="D61" i="2"/>
  <c r="F159" i="2"/>
  <c r="E39" i="2"/>
  <c r="G102" i="2"/>
  <c r="D74" i="2"/>
  <c r="G75" i="2"/>
  <c r="L328" i="2"/>
  <c r="J54" i="2"/>
  <c r="D282" i="2"/>
  <c r="J24" i="2"/>
  <c r="E25" i="1"/>
  <c r="F58" i="1"/>
  <c r="G20" i="1"/>
  <c r="F51" i="1"/>
  <c r="G33" i="1"/>
  <c r="G15" i="1"/>
  <c r="D24" i="1"/>
  <c r="D46" i="1"/>
  <c r="F19" i="1"/>
  <c r="H12" i="1"/>
  <c r="E10" i="1"/>
  <c r="J19" i="1"/>
  <c r="K324" i="2"/>
  <c r="L279" i="2"/>
  <c r="I332" i="2"/>
  <c r="I158" i="2"/>
  <c r="I230" i="2"/>
  <c r="K244" i="2"/>
  <c r="L322" i="2"/>
  <c r="L174" i="2"/>
  <c r="L285" i="2"/>
  <c r="I154" i="2"/>
  <c r="I102" i="2"/>
  <c r="K202" i="2"/>
  <c r="I38" i="2"/>
  <c r="L199" i="2"/>
  <c r="J27" i="2"/>
  <c r="K177" i="2"/>
  <c r="D335" i="2"/>
  <c r="H150" i="2"/>
  <c r="G71" i="2"/>
  <c r="D302" i="2"/>
  <c r="F172" i="2"/>
  <c r="J172" i="2" s="1"/>
  <c r="D290" i="2"/>
  <c r="F141" i="2"/>
  <c r="G132" i="2"/>
  <c r="F171" i="2"/>
  <c r="J226" i="2"/>
  <c r="E330" i="2"/>
  <c r="L76" i="2"/>
  <c r="L206" i="2"/>
  <c r="D36" i="2"/>
  <c r="J36" i="2" s="1"/>
  <c r="E198" i="2"/>
  <c r="H53" i="2"/>
  <c r="G63" i="2"/>
  <c r="E123" i="2"/>
  <c r="G83" i="2"/>
  <c r="G12" i="2"/>
  <c r="G216" i="2"/>
  <c r="I76" i="2"/>
  <c r="J91" i="2"/>
  <c r="I14" i="2"/>
  <c r="H91" i="2"/>
  <c r="F40" i="2"/>
  <c r="E311" i="2"/>
  <c r="D50" i="2"/>
  <c r="D193" i="2"/>
  <c r="F287" i="2"/>
  <c r="E326" i="2"/>
  <c r="D146" i="2"/>
  <c r="G64" i="2"/>
  <c r="G294" i="2"/>
  <c r="E164" i="2"/>
  <c r="G275" i="2"/>
  <c r="E133" i="2"/>
  <c r="L126" i="2"/>
  <c r="E160" i="2"/>
  <c r="I160" i="2" s="1"/>
  <c r="D221" i="2"/>
  <c r="K316" i="2"/>
  <c r="F72" i="2"/>
  <c r="F204" i="2"/>
  <c r="K33" i="2"/>
  <c r="H195" i="2"/>
  <c r="F51" i="2"/>
  <c r="G68" i="2"/>
  <c r="G43" i="2"/>
  <c r="F117" i="2"/>
  <c r="J117" i="2" s="1"/>
  <c r="F13" i="2"/>
  <c r="D318" i="2"/>
  <c r="G198" i="2"/>
  <c r="F151" i="2"/>
  <c r="H71" i="2"/>
  <c r="E41" i="2"/>
  <c r="F81" i="2"/>
  <c r="D86" i="2"/>
  <c r="G311" i="2"/>
  <c r="H35" i="2"/>
  <c r="H295" i="2"/>
  <c r="E30" i="2"/>
  <c r="G174" i="2"/>
  <c r="G278" i="2"/>
  <c r="F317" i="2"/>
  <c r="E137" i="2"/>
  <c r="G55" i="2"/>
  <c r="F283" i="2"/>
  <c r="J283" i="2" s="1"/>
  <c r="H158" i="2"/>
  <c r="F265" i="2"/>
  <c r="H127" i="2"/>
  <c r="G112" i="2"/>
  <c r="K126" i="2"/>
  <c r="G218" i="2"/>
  <c r="G312" i="2"/>
  <c r="L53" i="2"/>
  <c r="G176" i="2"/>
  <c r="H20" i="2"/>
  <c r="I44" i="2"/>
  <c r="H63" i="2"/>
  <c r="G33" i="2"/>
  <c r="G111" i="2"/>
  <c r="D8" i="2"/>
  <c r="E245" i="2"/>
  <c r="E82" i="2"/>
  <c r="E61" i="2"/>
  <c r="J70" i="2"/>
  <c r="D292" i="2"/>
  <c r="D81" i="2"/>
  <c r="I295" i="2"/>
  <c r="I25" i="2"/>
  <c r="I283" i="2"/>
  <c r="H15" i="2"/>
  <c r="G138" i="2"/>
  <c r="D296" i="2"/>
  <c r="G268" i="2"/>
  <c r="D317" i="2"/>
  <c r="H6" i="2"/>
  <c r="F225" i="2"/>
  <c r="E106" i="2"/>
  <c r="D211" i="2"/>
  <c r="E314" i="2"/>
  <c r="G105" i="2"/>
  <c r="F112" i="2"/>
  <c r="D185" i="2"/>
  <c r="J185" i="2" s="1"/>
  <c r="L307" i="2"/>
  <c r="F47" i="2"/>
  <c r="F165" i="2"/>
  <c r="D16" i="2"/>
  <c r="J16" i="2" s="1"/>
  <c r="F173" i="2"/>
  <c r="J173" i="2" s="1"/>
  <c r="G42" i="2"/>
  <c r="H43" i="2"/>
  <c r="F28" i="2"/>
  <c r="E68" i="2"/>
  <c r="L68" i="2" s="1"/>
  <c r="E17" i="2"/>
  <c r="K17" i="2" s="1"/>
  <c r="D288" i="2"/>
  <c r="H217" i="2"/>
  <c r="L179" i="2"/>
  <c r="J71" i="2"/>
  <c r="L55" i="2"/>
  <c r="F21" i="2"/>
  <c r="G60" i="2"/>
  <c r="F174" i="2"/>
  <c r="I70" i="2"/>
  <c r="E284" i="2"/>
  <c r="L284" i="2" s="1"/>
  <c r="G20" i="2"/>
  <c r="D271" i="2"/>
  <c r="F10" i="2"/>
  <c r="H118" i="2"/>
  <c r="J118" i="2"/>
  <c r="G7" i="1"/>
  <c r="D36" i="1"/>
  <c r="I36" i="1" s="1"/>
  <c r="E22" i="1"/>
  <c r="F31" i="1"/>
  <c r="D20" i="1"/>
  <c r="E44" i="1"/>
  <c r="D4" i="1"/>
  <c r="D26" i="1"/>
  <c r="F61" i="1"/>
  <c r="E61" i="1"/>
  <c r="J161" i="2"/>
  <c r="L262" i="2"/>
  <c r="J268" i="2"/>
  <c r="I147" i="2"/>
  <c r="L194" i="2"/>
  <c r="J108" i="2"/>
  <c r="I241" i="2"/>
  <c r="K278" i="2"/>
  <c r="I138" i="2"/>
  <c r="J160" i="2"/>
  <c r="L119" i="2"/>
  <c r="K281" i="2"/>
  <c r="J292" i="2"/>
  <c r="J100" i="2"/>
  <c r="I223" i="2"/>
  <c r="K88" i="2"/>
  <c r="I238" i="2"/>
  <c r="L340" i="2"/>
  <c r="K338" i="2"/>
  <c r="L99" i="2"/>
  <c r="I181" i="2"/>
  <c r="J152" i="2"/>
  <c r="J299" i="2"/>
  <c r="I331" i="2"/>
  <c r="L6" i="2"/>
  <c r="L120" i="2"/>
  <c r="J258" i="2"/>
  <c r="K65" i="2"/>
  <c r="I30" i="2"/>
  <c r="I265" i="2"/>
  <c r="K181" i="2"/>
  <c r="I82" i="2"/>
  <c r="K331" i="2"/>
  <c r="I120" i="2"/>
  <c r="L65" i="2"/>
  <c r="K265" i="2"/>
  <c r="L265" i="2"/>
  <c r="H13" i="1"/>
  <c r="L33" i="1"/>
  <c r="J198" i="2"/>
  <c r="K334" i="2"/>
  <c r="I114" i="2"/>
  <c r="K208" i="2"/>
  <c r="J145" i="2"/>
  <c r="E287" i="2"/>
  <c r="D255" i="2"/>
  <c r="H301" i="2"/>
  <c r="I337" i="2"/>
  <c r="D203" i="2"/>
  <c r="E92" i="2"/>
  <c r="I92" i="2" s="1"/>
  <c r="H191" i="2"/>
  <c r="G293" i="2"/>
  <c r="G98" i="2"/>
  <c r="F105" i="2"/>
  <c r="J105" i="2" s="1"/>
  <c r="E171" i="2"/>
  <c r="D267" i="2"/>
  <c r="D45" i="2"/>
  <c r="H162" i="2"/>
  <c r="K13" i="2"/>
  <c r="I167" i="2"/>
  <c r="E40" i="2"/>
  <c r="I23" i="2"/>
  <c r="H23" i="2"/>
  <c r="F43" i="2"/>
  <c r="K239" i="2"/>
  <c r="F245" i="2"/>
  <c r="J245" i="2" s="1"/>
  <c r="E110" i="2"/>
  <c r="F61" i="2"/>
  <c r="D46" i="2"/>
  <c r="I16" i="2"/>
  <c r="I55" i="2"/>
  <c r="L94" i="2"/>
  <c r="H30" i="2"/>
  <c r="E271" i="2"/>
  <c r="I15" i="2"/>
  <c r="F260" i="2"/>
  <c r="D270" i="2"/>
  <c r="L270" i="2" s="1"/>
  <c r="D95" i="2"/>
  <c r="I95" i="2" s="1"/>
  <c r="F69" i="2"/>
  <c r="E5" i="1"/>
  <c r="L5" i="1" s="1"/>
  <c r="G29" i="1"/>
  <c r="H62" i="1"/>
  <c r="D29" i="1"/>
  <c r="G13" i="1"/>
  <c r="H37" i="1"/>
  <c r="F57" i="1"/>
  <c r="G19" i="1"/>
  <c r="G61" i="1"/>
  <c r="D59" i="1"/>
  <c r="I5" i="1"/>
  <c r="G36" i="1"/>
  <c r="I60" i="1"/>
  <c r="I28" i="1"/>
  <c r="I250" i="2"/>
  <c r="I161" i="2"/>
  <c r="K262" i="2"/>
  <c r="K268" i="2"/>
  <c r="I108" i="2"/>
  <c r="K241" i="2"/>
  <c r="L278" i="2"/>
  <c r="J138" i="2"/>
  <c r="K160" i="2"/>
  <c r="K112" i="2"/>
  <c r="I267" i="2"/>
  <c r="I292" i="2"/>
  <c r="I100" i="2"/>
  <c r="K223" i="2"/>
  <c r="L88" i="2"/>
  <c r="J238" i="2"/>
  <c r="I340" i="2"/>
  <c r="K154" i="2"/>
  <c r="L338" i="2"/>
  <c r="L320" i="2"/>
  <c r="K99" i="2"/>
  <c r="I152" i="2"/>
  <c r="K299" i="2"/>
  <c r="J92" i="2"/>
  <c r="K6" i="2"/>
  <c r="K258" i="2"/>
  <c r="K30" i="2"/>
  <c r="D209" i="2"/>
  <c r="D16" i="1"/>
  <c r="F8" i="1"/>
  <c r="D50" i="1"/>
  <c r="J29" i="1"/>
  <c r="K261" i="2"/>
  <c r="K124" i="2"/>
  <c r="L243" i="2"/>
  <c r="L81" i="2"/>
  <c r="L291" i="2"/>
  <c r="J227" i="2"/>
  <c r="I188" i="2"/>
  <c r="I50" i="2"/>
  <c r="K198" i="2"/>
  <c r="K66" i="2"/>
  <c r="L301" i="2"/>
  <c r="L218" i="2"/>
  <c r="J291" i="2"/>
  <c r="D216" i="2"/>
  <c r="E246" i="2"/>
  <c r="D297" i="2"/>
  <c r="E189" i="2"/>
  <c r="E85" i="2"/>
  <c r="G180" i="2"/>
  <c r="G271" i="2"/>
  <c r="H36" i="2"/>
  <c r="H86" i="2"/>
  <c r="E168" i="2"/>
  <c r="G240" i="2"/>
  <c r="G38" i="2"/>
  <c r="K156" i="2"/>
  <c r="G9" i="2"/>
  <c r="K164" i="2"/>
  <c r="D29" i="2"/>
  <c r="L29" i="2" s="1"/>
  <c r="E165" i="2"/>
  <c r="F33" i="2"/>
  <c r="J33" i="2" s="1"/>
  <c r="G14" i="2"/>
  <c r="G226" i="2"/>
  <c r="H198" i="2"/>
  <c r="F104" i="2"/>
  <c r="I56" i="2"/>
  <c r="G21" i="2"/>
  <c r="G11" i="2"/>
  <c r="D41" i="2"/>
  <c r="K58" i="2"/>
  <c r="G260" i="2"/>
  <c r="H10" i="2"/>
  <c r="K250" i="2"/>
  <c r="H249" i="2"/>
  <c r="J79" i="2"/>
  <c r="K131" i="2"/>
  <c r="H24" i="2"/>
  <c r="E53" i="1"/>
  <c r="K53" i="1" s="1"/>
  <c r="E27" i="1"/>
  <c r="F60" i="1"/>
  <c r="J60" i="1" s="1"/>
  <c r="G22" i="1"/>
  <c r="E11" i="1"/>
  <c r="F35" i="1"/>
  <c r="D55" i="1"/>
  <c r="E17" i="1"/>
  <c r="E59" i="1"/>
  <c r="H54" i="1"/>
  <c r="G3" i="1"/>
  <c r="G14" i="1"/>
  <c r="E23" i="1"/>
  <c r="E34" i="1"/>
  <c r="I33" i="1"/>
  <c r="I55" i="1"/>
  <c r="K28" i="1"/>
  <c r="J150" i="2"/>
  <c r="K161" i="2"/>
  <c r="J211" i="2"/>
  <c r="L268" i="2"/>
  <c r="K108" i="2"/>
  <c r="J205" i="2"/>
  <c r="L261" i="2"/>
  <c r="K138" i="2"/>
  <c r="L160" i="2"/>
  <c r="L221" i="2"/>
  <c r="L112" i="2"/>
  <c r="L267" i="2"/>
  <c r="K292" i="2"/>
  <c r="L223" i="2"/>
  <c r="I81" i="2"/>
  <c r="K238" i="2"/>
  <c r="I137" i="2"/>
  <c r="J123" i="2"/>
  <c r="J163" i="2"/>
  <c r="K320" i="2"/>
  <c r="J57" i="2"/>
  <c r="K152" i="2"/>
  <c r="L299" i="2"/>
  <c r="K216" i="2"/>
  <c r="K82" i="2"/>
  <c r="L92" i="2"/>
  <c r="L41" i="2"/>
  <c r="L49" i="2"/>
  <c r="K114" i="2"/>
  <c r="L258" i="2"/>
  <c r="I65" i="2"/>
  <c r="L30" i="2"/>
  <c r="K57" i="2"/>
  <c r="K92" i="2"/>
  <c r="I49" i="2"/>
  <c r="F74" i="2"/>
  <c r="D51" i="1"/>
  <c r="L51" i="1" s="1"/>
  <c r="E24" i="1"/>
  <c r="E46" i="1"/>
  <c r="J57" i="1"/>
  <c r="K192" i="2"/>
  <c r="I334" i="2"/>
  <c r="J62" i="2"/>
  <c r="K49" i="2"/>
  <c r="L59" i="2"/>
  <c r="L137" i="2"/>
  <c r="I222" i="2"/>
  <c r="L334" i="2"/>
  <c r="E207" i="2"/>
  <c r="F237" i="2"/>
  <c r="E288" i="2"/>
  <c r="G315" i="2"/>
  <c r="H183" i="2"/>
  <c r="D78" i="2"/>
  <c r="F169" i="2"/>
  <c r="H255" i="2"/>
  <c r="F34" i="2"/>
  <c r="J34" i="2" s="1"/>
  <c r="H79" i="2"/>
  <c r="G154" i="2"/>
  <c r="D232" i="2"/>
  <c r="L13" i="2"/>
  <c r="F140" i="2"/>
  <c r="L298" i="2"/>
  <c r="E162" i="2"/>
  <c r="G22" i="2"/>
  <c r="F303" i="2"/>
  <c r="H124" i="2"/>
  <c r="D28" i="2"/>
  <c r="I217" i="2"/>
  <c r="E116" i="2"/>
  <c r="G87" i="2"/>
  <c r="G51" i="2"/>
  <c r="H11" i="2"/>
  <c r="E282" i="2"/>
  <c r="L38" i="2"/>
  <c r="K15" i="2"/>
  <c r="L250" i="2"/>
  <c r="E240" i="2"/>
  <c r="L58" i="2"/>
  <c r="K118" i="2"/>
  <c r="E293" i="2"/>
  <c r="G58" i="1"/>
  <c r="F18" i="1"/>
  <c r="D58" i="1"/>
  <c r="E20" i="1"/>
  <c r="H4" i="1"/>
  <c r="G26" i="1"/>
  <c r="G48" i="1"/>
  <c r="H10" i="1"/>
  <c r="E50" i="1"/>
  <c r="F52" i="1"/>
  <c r="D61" i="1"/>
  <c r="E12" i="1"/>
  <c r="L20" i="1"/>
  <c r="K33" i="1"/>
  <c r="K55" i="1"/>
  <c r="L28" i="1"/>
  <c r="L50" i="1"/>
  <c r="I150" i="2"/>
  <c r="I211" i="2"/>
  <c r="J247" i="2"/>
  <c r="J101" i="2"/>
  <c r="I205" i="2"/>
  <c r="I261" i="2"/>
  <c r="L138" i="2"/>
  <c r="J124" i="2"/>
  <c r="I221" i="2"/>
  <c r="K105" i="2"/>
  <c r="K243" i="2"/>
  <c r="L292" i="2"/>
  <c r="I198" i="2"/>
  <c r="K81" i="2"/>
  <c r="L238" i="2"/>
  <c r="J137" i="2"/>
  <c r="I123" i="2"/>
  <c r="I163" i="2"/>
  <c r="I320" i="2"/>
  <c r="L152" i="2"/>
  <c r="I299" i="2"/>
  <c r="L216" i="2"/>
  <c r="L82" i="2"/>
  <c r="J141" i="2"/>
  <c r="L114" i="2"/>
  <c r="J50" i="2"/>
  <c r="G23" i="2"/>
  <c r="G51" i="1"/>
  <c r="H52" i="1"/>
  <c r="J20" i="1"/>
  <c r="J30" i="1"/>
  <c r="I208" i="2"/>
  <c r="I101" i="2"/>
  <c r="K205" i="2"/>
  <c r="I312" i="2"/>
  <c r="J221" i="2"/>
  <c r="J270" i="2"/>
  <c r="K137" i="2"/>
  <c r="L123" i="2"/>
  <c r="L57" i="2"/>
  <c r="L141" i="2"/>
  <c r="J114" i="2"/>
  <c r="I74" i="2"/>
  <c r="I110" i="2"/>
  <c r="J59" i="2"/>
  <c r="J196" i="2"/>
  <c r="K74" i="2"/>
  <c r="D136" i="2"/>
  <c r="G188" i="2"/>
  <c r="E319" i="2"/>
  <c r="J319" i="2" s="1"/>
  <c r="F250" i="2"/>
  <c r="J250" i="2" s="1"/>
  <c r="D139" i="2"/>
  <c r="D35" i="2"/>
  <c r="F115" i="2"/>
  <c r="G202" i="2"/>
  <c r="H16" i="2"/>
  <c r="E77" i="2"/>
  <c r="E132" i="2"/>
  <c r="J132" i="2" s="1"/>
  <c r="H215" i="2"/>
  <c r="F7" i="2"/>
  <c r="J7" i="2" s="1"/>
  <c r="E129" i="2"/>
  <c r="K129" i="2" s="1"/>
  <c r="K287" i="2"/>
  <c r="D151" i="2"/>
  <c r="J151" i="2" s="1"/>
  <c r="E20" i="2"/>
  <c r="G291" i="2"/>
  <c r="F110" i="2"/>
  <c r="F82" i="2"/>
  <c r="J82" i="2" s="1"/>
  <c r="K16" i="2"/>
  <c r="H258" i="2"/>
  <c r="E148" i="2"/>
  <c r="D31" i="2"/>
  <c r="J296" i="2"/>
  <c r="D11" i="2"/>
  <c r="F295" i="2"/>
  <c r="G195" i="2"/>
  <c r="H221" i="2"/>
  <c r="D39" i="2"/>
  <c r="D113" i="2"/>
  <c r="K113" i="2" s="1"/>
  <c r="G156" i="2"/>
  <c r="F47" i="1"/>
  <c r="L55" i="1"/>
  <c r="I247" i="2"/>
  <c r="L105" i="2"/>
  <c r="K220" i="2"/>
  <c r="K163" i="2"/>
  <c r="J110" i="2"/>
  <c r="J66" i="2"/>
  <c r="K291" i="2"/>
  <c r="I62" i="2"/>
  <c r="I141" i="2"/>
  <c r="K50" i="2"/>
  <c r="J94" i="2"/>
  <c r="E127" i="2"/>
  <c r="D175" i="2"/>
  <c r="L175" i="2" s="1"/>
  <c r="D308" i="2"/>
  <c r="D231" i="2"/>
  <c r="F113" i="2"/>
  <c r="J113" i="2" s="1"/>
  <c r="F17" i="2"/>
  <c r="J17" i="2" s="1"/>
  <c r="F87" i="2"/>
  <c r="H177" i="2"/>
  <c r="D12" i="2"/>
  <c r="H72" i="2"/>
  <c r="H129" i="2"/>
  <c r="D207" i="2"/>
  <c r="D5" i="2"/>
  <c r="H126" i="2"/>
  <c r="F284" i="2"/>
  <c r="G145" i="2"/>
  <c r="J15" i="2"/>
  <c r="I278" i="2"/>
  <c r="J53" i="2"/>
  <c r="G203" i="2"/>
  <c r="F255" i="2"/>
  <c r="I143" i="2"/>
  <c r="G77" i="2"/>
  <c r="H184" i="2"/>
  <c r="E248" i="2"/>
  <c r="I90" i="2"/>
  <c r="K25" i="2"/>
  <c r="G284" i="2"/>
  <c r="K5" i="2"/>
  <c r="J167" i="2"/>
  <c r="H167" i="2"/>
  <c r="J203" i="2"/>
  <c r="E19" i="2"/>
  <c r="D107" i="2"/>
  <c r="J63" i="2"/>
  <c r="D45" i="1"/>
  <c r="E7" i="1"/>
  <c r="E49" i="1"/>
  <c r="F11" i="1"/>
  <c r="J11" i="1" s="1"/>
  <c r="E42" i="1"/>
  <c r="L42" i="1" s="1"/>
  <c r="F15" i="1"/>
  <c r="H39" i="1"/>
  <c r="D6" i="1"/>
  <c r="D48" i="1"/>
  <c r="H43" i="1"/>
  <c r="H5" i="1"/>
  <c r="H16" i="1"/>
  <c r="H27" i="1"/>
  <c r="I20" i="1"/>
  <c r="I57" i="1"/>
  <c r="I30" i="1"/>
  <c r="I3" i="1"/>
  <c r="L192" i="2"/>
  <c r="K319" i="2"/>
  <c r="J208" i="2"/>
  <c r="J222" i="2"/>
  <c r="J301" i="2"/>
  <c r="K101" i="2"/>
  <c r="L205" i="2"/>
  <c r="I249" i="2"/>
  <c r="K312" i="2"/>
  <c r="L124" i="2"/>
  <c r="K221" i="2"/>
  <c r="I218" i="2"/>
  <c r="K270" i="2"/>
  <c r="L220" i="2"/>
  <c r="K123" i="2"/>
  <c r="L163" i="2"/>
  <c r="I227" i="2"/>
  <c r="I57" i="2"/>
  <c r="J188" i="2"/>
  <c r="L127" i="2"/>
  <c r="L319" i="2"/>
  <c r="L198" i="2"/>
  <c r="H331" i="2"/>
  <c r="E166" i="2"/>
  <c r="E342" i="2"/>
  <c r="G225" i="2"/>
  <c r="F99" i="2"/>
  <c r="G8" i="2"/>
  <c r="E80" i="2"/>
  <c r="D169" i="2"/>
  <c r="E3" i="2"/>
  <c r="D43" i="2"/>
  <c r="J126" i="2"/>
  <c r="G204" i="2"/>
  <c r="G334" i="2"/>
  <c r="F121" i="2"/>
  <c r="J121" i="2" s="1"/>
  <c r="J276" i="2"/>
  <c r="I142" i="2"/>
  <c r="J256" i="2"/>
  <c r="K43" i="2"/>
  <c r="F320" i="2"/>
  <c r="J320" i="2" s="1"/>
  <c r="H245" i="2"/>
  <c r="J135" i="2"/>
  <c r="H77" i="2"/>
  <c r="H51" i="2"/>
  <c r="G333" i="2"/>
  <c r="D263" i="2"/>
  <c r="H284" i="2"/>
  <c r="E21" i="2"/>
  <c r="E176" i="2"/>
  <c r="F149" i="2"/>
  <c r="J44" i="2"/>
  <c r="K157" i="2"/>
  <c r="G185" i="2"/>
  <c r="G118" i="2"/>
  <c r="G101" i="2"/>
  <c r="D257" i="2"/>
  <c r="G38" i="1"/>
  <c r="G24" i="1"/>
  <c r="H42" i="1"/>
  <c r="D9" i="1"/>
  <c r="F33" i="1"/>
  <c r="J33" i="1" s="1"/>
  <c r="D13" i="1"/>
  <c r="F37" i="1"/>
  <c r="H61" i="1"/>
  <c r="K45" i="1"/>
  <c r="F41" i="1"/>
  <c r="J41" i="1" s="1"/>
  <c r="I45" i="1"/>
  <c r="E52" i="1"/>
  <c r="F3" i="1"/>
  <c r="J3" i="1" s="1"/>
  <c r="F14" i="1"/>
  <c r="F25" i="1"/>
  <c r="J51" i="1"/>
  <c r="I53" i="1"/>
  <c r="K57" i="1"/>
  <c r="K30" i="1"/>
  <c r="K52" i="1"/>
  <c r="K3" i="1"/>
  <c r="I323" i="2"/>
  <c r="J180" i="2"/>
  <c r="K249" i="2"/>
  <c r="L312" i="2"/>
  <c r="D327" i="2"/>
  <c r="G10" i="2"/>
  <c r="E93" i="2"/>
  <c r="F181" i="2"/>
  <c r="H242" i="2"/>
  <c r="H132" i="2"/>
  <c r="H29" i="1"/>
  <c r="H15" i="1"/>
  <c r="H30" i="1"/>
  <c r="G43" i="1"/>
  <c r="L30" i="1"/>
  <c r="J302" i="2"/>
  <c r="L332" i="2"/>
  <c r="J323" i="2"/>
  <c r="L313" i="2"/>
  <c r="L281" i="2"/>
  <c r="I187" i="2"/>
  <c r="I89" i="2"/>
  <c r="I8" i="2"/>
  <c r="L62" i="2"/>
  <c r="K7" i="2"/>
  <c r="I66" i="2"/>
  <c r="L282" i="2"/>
  <c r="L177" i="2"/>
  <c r="J65" i="2"/>
  <c r="J265" i="2"/>
  <c r="H333" i="2"/>
  <c r="G163" i="2"/>
  <c r="K90" i="2"/>
  <c r="J171" i="2"/>
  <c r="L15" i="2"/>
  <c r="L101" i="2"/>
  <c r="E31" i="1"/>
  <c r="F28" i="1"/>
  <c r="J28" i="1" s="1"/>
  <c r="H47" i="1"/>
  <c r="L324" i="2"/>
  <c r="I268" i="2"/>
  <c r="K323" i="2"/>
  <c r="I185" i="2"/>
  <c r="I281" i="2"/>
  <c r="K187" i="2"/>
  <c r="I212" i="2"/>
  <c r="L17" i="2"/>
  <c r="J47" i="2"/>
  <c r="L7" i="2"/>
  <c r="J61" i="2"/>
  <c r="K282" i="2"/>
  <c r="J120" i="2"/>
  <c r="L50" i="2"/>
  <c r="K229" i="2"/>
  <c r="H24" i="1"/>
  <c r="F59" i="1"/>
  <c r="J36" i="1"/>
  <c r="F45" i="1"/>
  <c r="J259" i="2"/>
  <c r="K222" i="2"/>
  <c r="L323" i="2"/>
  <c r="K185" i="2"/>
  <c r="K207" i="2"/>
  <c r="L187" i="2"/>
  <c r="K212" i="2"/>
  <c r="I17" i="2"/>
  <c r="K47" i="2"/>
  <c r="I7" i="2"/>
  <c r="I61" i="2"/>
  <c r="L148" i="2"/>
  <c r="K120" i="2"/>
  <c r="I29" i="2"/>
  <c r="L229" i="2"/>
  <c r="I301" i="2"/>
  <c r="L264" i="2"/>
  <c r="K67" i="2"/>
  <c r="L173" i="2"/>
  <c r="L129" i="2"/>
  <c r="L116" i="2"/>
  <c r="J87" i="2"/>
  <c r="L103" i="2"/>
  <c r="I204" i="2"/>
  <c r="F27" i="1"/>
  <c r="J27" i="1" s="1"/>
  <c r="D329" i="2"/>
  <c r="G304" i="2"/>
  <c r="F263" i="2"/>
  <c r="I153" i="2"/>
  <c r="I68" i="2"/>
  <c r="G18" i="1"/>
  <c r="F157" i="2"/>
  <c r="J157" i="2" s="1"/>
  <c r="E289" i="2"/>
  <c r="I289" i="2" s="1"/>
  <c r="K256" i="2"/>
  <c r="D122" i="2"/>
  <c r="H119" i="2"/>
  <c r="K48" i="2"/>
  <c r="D56" i="1"/>
  <c r="F22" i="1"/>
  <c r="E48" i="1"/>
  <c r="J48" i="1" s="1"/>
  <c r="D43" i="1"/>
  <c r="J43" i="1" s="1"/>
  <c r="I41" i="1"/>
  <c r="I259" i="2"/>
  <c r="J219" i="2"/>
  <c r="L244" i="2"/>
  <c r="L185" i="2"/>
  <c r="L207" i="2"/>
  <c r="K102" i="2"/>
  <c r="L212" i="2"/>
  <c r="K227" i="2"/>
  <c r="J37" i="2"/>
  <c r="K188" i="2"/>
  <c r="I46" i="2"/>
  <c r="L331" i="2"/>
  <c r="J86" i="2"/>
  <c r="K29" i="2"/>
  <c r="J125" i="2"/>
  <c r="K219" i="2"/>
  <c r="L102" i="2"/>
  <c r="L227" i="2"/>
  <c r="I245" i="2"/>
  <c r="K248" i="2"/>
  <c r="J331" i="2"/>
  <c r="K79" i="2"/>
  <c r="L125" i="2"/>
  <c r="I264" i="2"/>
  <c r="I173" i="2"/>
  <c r="K121" i="2"/>
  <c r="L107" i="2"/>
  <c r="H45" i="1"/>
  <c r="F328" i="2"/>
  <c r="J328" i="2" s="1"/>
  <c r="F304" i="2"/>
  <c r="J304" i="2" s="1"/>
  <c r="D254" i="2"/>
  <c r="I254" i="2" s="1"/>
  <c r="G116" i="2"/>
  <c r="F261" i="2"/>
  <c r="E9" i="2"/>
  <c r="G49" i="1"/>
  <c r="G4" i="1"/>
  <c r="L45" i="1"/>
  <c r="H14" i="1"/>
  <c r="D23" i="1"/>
  <c r="K41" i="1"/>
  <c r="I319" i="2"/>
  <c r="J241" i="2"/>
  <c r="J182" i="2"/>
  <c r="I291" i="2"/>
  <c r="L188" i="2"/>
  <c r="K86" i="2"/>
  <c r="K116" i="2"/>
  <c r="L309" i="2"/>
  <c r="H57" i="1"/>
  <c r="H310" i="2"/>
  <c r="D300" i="2"/>
  <c r="G110" i="2"/>
  <c r="E251" i="2"/>
  <c r="D240" i="2"/>
  <c r="E47" i="1"/>
  <c r="D62" i="1"/>
  <c r="D17" i="1"/>
  <c r="D10" i="1"/>
  <c r="I10" i="1" s="1"/>
  <c r="K20" i="1"/>
  <c r="L41" i="1"/>
  <c r="K310" i="2"/>
  <c r="J158" i="2"/>
  <c r="L241" i="2"/>
  <c r="L91" i="2"/>
  <c r="I88" i="2"/>
  <c r="I237" i="2"/>
  <c r="I209" i="2"/>
  <c r="K245" i="2"/>
  <c r="K170" i="2"/>
  <c r="L248" i="2"/>
  <c r="J103" i="2"/>
  <c r="L86" i="2"/>
  <c r="J311" i="2"/>
  <c r="I113" i="2"/>
  <c r="F333" i="2"/>
  <c r="J333" i="2" s="1"/>
  <c r="G281" i="2"/>
  <c r="H111" i="2"/>
  <c r="D72" i="2"/>
  <c r="G242" i="2"/>
  <c r="F212" i="2"/>
  <c r="D22" i="1"/>
  <c r="G10" i="1"/>
  <c r="L49" i="1"/>
  <c r="L52" i="1"/>
  <c r="L310" i="2"/>
  <c r="I180" i="2"/>
  <c r="I91" i="2"/>
  <c r="L74" i="2"/>
  <c r="J237" i="2"/>
  <c r="J209" i="2"/>
  <c r="L245" i="2"/>
  <c r="J170" i="2"/>
  <c r="I103" i="2"/>
  <c r="I86" i="2"/>
  <c r="K311" i="2"/>
  <c r="L113" i="2"/>
  <c r="H6" i="1"/>
  <c r="J47" i="1"/>
  <c r="I67" i="2"/>
  <c r="K141" i="2"/>
  <c r="K13" i="1"/>
  <c r="H46" i="1"/>
  <c r="K158" i="2"/>
  <c r="K180" i="2"/>
  <c r="J136" i="2"/>
  <c r="J204" i="2"/>
  <c r="G41" i="1"/>
  <c r="E269" i="2"/>
  <c r="H27" i="2"/>
  <c r="E109" i="2"/>
  <c r="F32" i="2"/>
  <c r="E96" i="2"/>
  <c r="I96" i="2" s="1"/>
  <c r="H203" i="2"/>
  <c r="G60" i="1"/>
  <c r="E8" i="1"/>
  <c r="K22" i="1"/>
  <c r="J147" i="2"/>
  <c r="K103" i="2"/>
  <c r="L57" i="1"/>
  <c r="L180" i="2"/>
  <c r="F242" i="2"/>
  <c r="F25" i="2"/>
  <c r="J25" i="2" s="1"/>
  <c r="D280" i="2"/>
  <c r="J112" i="2"/>
  <c r="I64" i="2"/>
  <c r="G95" i="2"/>
  <c r="E58" i="1"/>
  <c r="I253" i="2"/>
  <c r="H211" i="2"/>
  <c r="H7" i="2"/>
  <c r="L256" i="2"/>
  <c r="E32" i="2"/>
  <c r="K24" i="2"/>
  <c r="G90" i="2"/>
  <c r="E18" i="1"/>
  <c r="F55" i="1"/>
  <c r="J55" i="1" s="1"/>
  <c r="E39" i="1"/>
  <c r="H25" i="1"/>
  <c r="L13" i="1"/>
  <c r="I43" i="1"/>
  <c r="K253" i="2"/>
  <c r="K301" i="2"/>
  <c r="K289" i="2"/>
  <c r="J232" i="2"/>
  <c r="J229" i="2"/>
  <c r="I20" i="2"/>
  <c r="K173" i="2"/>
  <c r="I99" i="2"/>
  <c r="J72" i="2"/>
  <c r="I87" i="2"/>
  <c r="I134" i="2"/>
  <c r="K21" i="2"/>
  <c r="K96" i="2"/>
  <c r="L204" i="2"/>
  <c r="J107" i="2"/>
  <c r="L155" i="2"/>
  <c r="D98" i="2"/>
  <c r="K247" i="2"/>
  <c r="E22" i="2"/>
  <c r="E140" i="2"/>
  <c r="D85" i="2"/>
  <c r="H11" i="1"/>
  <c r="G6" i="1"/>
  <c r="L36" i="1"/>
  <c r="F23" i="1"/>
  <c r="J23" i="1" s="1"/>
  <c r="K43" i="1"/>
  <c r="I294" i="2"/>
  <c r="J233" i="2"/>
  <c r="L289" i="2"/>
  <c r="K196" i="2"/>
  <c r="I229" i="2"/>
  <c r="K20" i="2"/>
  <c r="J99" i="2"/>
  <c r="K72" i="2"/>
  <c r="K87" i="2"/>
  <c r="K134" i="2"/>
  <c r="J11" i="2"/>
  <c r="L96" i="2"/>
  <c r="J30" i="2"/>
  <c r="I107" i="2"/>
  <c r="J59" i="1"/>
  <c r="D31" i="1"/>
  <c r="K115" i="2"/>
  <c r="I51" i="1"/>
  <c r="G251" i="2"/>
  <c r="L333" i="2"/>
  <c r="K313" i="2"/>
  <c r="L254" i="2"/>
  <c r="K94" i="2"/>
  <c r="K117" i="2"/>
  <c r="K62" i="2"/>
  <c r="J22" i="2"/>
  <c r="L66" i="2"/>
  <c r="I177" i="2"/>
  <c r="K8" i="3"/>
  <c r="E139" i="2"/>
  <c r="G86" i="2"/>
  <c r="J246" i="2"/>
  <c r="L16" i="2"/>
  <c r="D133" i="2"/>
  <c r="D10" i="2"/>
  <c r="D7" i="1"/>
  <c r="I7" i="1" s="1"/>
  <c r="E4" i="1"/>
  <c r="F10" i="1"/>
  <c r="J10" i="1" s="1"/>
  <c r="D21" i="1"/>
  <c r="K51" i="1"/>
  <c r="I48" i="1"/>
  <c r="L43" i="1"/>
  <c r="K294" i="2"/>
  <c r="J194" i="2"/>
  <c r="J278" i="2"/>
  <c r="L196" i="2"/>
  <c r="L154" i="2"/>
  <c r="L20" i="2"/>
  <c r="J68" i="2"/>
  <c r="I318" i="2"/>
  <c r="J42" i="2"/>
  <c r="K12" i="2"/>
  <c r="J109" i="2"/>
  <c r="L11" i="2"/>
  <c r="I258" i="2"/>
  <c r="K240" i="2"/>
  <c r="I59" i="2"/>
  <c r="I18" i="2"/>
  <c r="L27" i="2"/>
  <c r="K51" i="2"/>
  <c r="J284" i="2"/>
  <c r="J293" i="2"/>
  <c r="G17" i="2"/>
  <c r="H56" i="1"/>
  <c r="L318" i="2"/>
  <c r="K42" i="1"/>
  <c r="I338" i="2"/>
  <c r="K39" i="2"/>
  <c r="E28" i="2"/>
  <c r="H34" i="1"/>
  <c r="F85" i="2"/>
  <c r="J85" i="2" s="1"/>
  <c r="D84" i="2"/>
  <c r="H237" i="2"/>
  <c r="I315" i="2"/>
  <c r="J119" i="2"/>
  <c r="K4" i="2"/>
  <c r="F40" i="1"/>
  <c r="G57" i="1"/>
  <c r="D8" i="1"/>
  <c r="L60" i="1"/>
  <c r="I31" i="1"/>
  <c r="L48" i="1"/>
  <c r="L3" i="1"/>
  <c r="L294" i="2"/>
  <c r="I194" i="2"/>
  <c r="L249" i="2"/>
  <c r="K171" i="2"/>
  <c r="J129" i="2"/>
  <c r="K68" i="2"/>
  <c r="J318" i="2"/>
  <c r="K27" i="2"/>
  <c r="L12" i="2"/>
  <c r="L109" i="2"/>
  <c r="I6" i="2"/>
  <c r="I329" i="2"/>
  <c r="J75" i="2"/>
  <c r="K59" i="2"/>
  <c r="J263" i="2"/>
  <c r="I75" i="2"/>
  <c r="D168" i="2"/>
  <c r="H224" i="2"/>
  <c r="F249" i="2"/>
  <c r="F131" i="2"/>
  <c r="G31" i="1"/>
  <c r="D39" i="1"/>
  <c r="I42" i="1"/>
  <c r="L8" i="1"/>
  <c r="I54" i="1"/>
  <c r="J262" i="2"/>
  <c r="I263" i="2"/>
  <c r="K36" i="1"/>
  <c r="E35" i="2"/>
  <c r="G201" i="2"/>
  <c r="D201" i="2"/>
  <c r="E234" i="2"/>
  <c r="L14" i="2"/>
  <c r="G325" i="2"/>
  <c r="D38" i="1"/>
  <c r="G17" i="1"/>
  <c r="K5" i="1"/>
  <c r="J58" i="1"/>
  <c r="J42" i="1"/>
  <c r="K48" i="1"/>
  <c r="J54" i="1"/>
  <c r="I279" i="2"/>
  <c r="K194" i="2"/>
  <c r="I213" i="2"/>
  <c r="K132" i="2"/>
  <c r="I129" i="2"/>
  <c r="K318" i="2"/>
  <c r="J6" i="2"/>
  <c r="E184" i="2"/>
  <c r="L133" i="2"/>
  <c r="L213" i="2"/>
  <c r="L132" i="2"/>
  <c r="K201" i="2"/>
  <c r="J338" i="2"/>
  <c r="I27" i="2"/>
  <c r="L51" i="2"/>
  <c r="I284" i="2"/>
  <c r="K75" i="2"/>
  <c r="I293" i="2"/>
  <c r="F6" i="1"/>
  <c r="J6" i="1" s="1"/>
  <c r="I262" i="2"/>
  <c r="K119" i="2"/>
  <c r="L202" i="2"/>
  <c r="K288" i="2"/>
  <c r="K110" i="2"/>
  <c r="J41" i="2"/>
  <c r="I257" i="2"/>
  <c r="K257" i="2"/>
  <c r="H209" i="2"/>
  <c r="E37" i="1"/>
  <c r="J281" i="2"/>
  <c r="E15" i="1"/>
  <c r="I39" i="2"/>
  <c r="H36" i="1"/>
  <c r="K133" i="2"/>
  <c r="E341" i="2"/>
  <c r="F154" i="2"/>
  <c r="J154" i="2" s="1"/>
  <c r="H112" i="2"/>
  <c r="E252" i="2"/>
  <c r="I307" i="2"/>
  <c r="D19" i="2"/>
  <c r="G42" i="1"/>
  <c r="I149" i="2"/>
  <c r="K284" i="2"/>
  <c r="G167" i="2"/>
  <c r="J4" i="1"/>
  <c r="I286" i="2"/>
  <c r="E321" i="2"/>
  <c r="K100" i="2"/>
  <c r="D234" i="2"/>
  <c r="J234" i="2" s="1"/>
  <c r="D140" i="2"/>
  <c r="K140" i="2" s="1"/>
  <c r="H58" i="1"/>
  <c r="E40" i="1"/>
  <c r="D35" i="1"/>
  <c r="G32" i="1"/>
  <c r="F34" i="1"/>
  <c r="J34" i="1" s="1"/>
  <c r="L53" i="1"/>
  <c r="I59" i="1"/>
  <c r="L208" i="2"/>
  <c r="J130" i="2"/>
  <c r="K149" i="2"/>
  <c r="J339" i="2"/>
  <c r="J340" i="2"/>
  <c r="I145" i="2"/>
  <c r="I199" i="2"/>
  <c r="L110" i="2"/>
  <c r="K151" i="2"/>
  <c r="L31" i="2"/>
  <c r="K69" i="2"/>
  <c r="L271" i="2"/>
  <c r="L10" i="2"/>
  <c r="K97" i="2"/>
  <c r="D14" i="1"/>
  <c r="L19" i="1"/>
  <c r="K332" i="2"/>
  <c r="L26" i="2"/>
  <c r="L95" i="2"/>
  <c r="I270" i="2"/>
  <c r="J134" i="2"/>
  <c r="I176" i="2"/>
  <c r="K107" i="2"/>
  <c r="D272" i="2"/>
  <c r="F312" i="2"/>
  <c r="D303" i="2"/>
  <c r="G224" i="2"/>
  <c r="I132" i="2"/>
  <c r="H18" i="1"/>
  <c r="H33" i="1"/>
  <c r="G28" i="1"/>
  <c r="L7" i="1"/>
  <c r="D32" i="1"/>
  <c r="J44" i="1"/>
  <c r="I19" i="1"/>
  <c r="L14" i="1"/>
  <c r="I197" i="2"/>
  <c r="J115" i="2"/>
  <c r="L149" i="2"/>
  <c r="K339" i="2"/>
  <c r="J254" i="2"/>
  <c r="K340" i="2"/>
  <c r="K145" i="2"/>
  <c r="J181" i="2"/>
  <c r="J32" i="2"/>
  <c r="L151" i="2"/>
  <c r="I26" i="2"/>
  <c r="L69" i="2"/>
  <c r="I271" i="2"/>
  <c r="J95" i="2"/>
  <c r="I8" i="3"/>
  <c r="E73" i="2"/>
  <c r="K307" i="2"/>
  <c r="J289" i="2"/>
  <c r="D273" i="2"/>
  <c r="I119" i="2"/>
  <c r="F16" i="1"/>
  <c r="J16" i="1" s="1"/>
  <c r="F53" i="1"/>
  <c r="J53" i="1" s="1"/>
  <c r="E26" i="1"/>
  <c r="H3" i="1"/>
  <c r="D12" i="1"/>
  <c r="I44" i="1"/>
  <c r="K19" i="1"/>
  <c r="K333" i="2"/>
  <c r="J197" i="2"/>
  <c r="I115" i="2"/>
  <c r="J313" i="2"/>
  <c r="L339" i="2"/>
  <c r="K254" i="2"/>
  <c r="I94" i="2"/>
  <c r="L145" i="2"/>
  <c r="L181" i="2"/>
  <c r="I32" i="2"/>
  <c r="I151" i="2"/>
  <c r="J26" i="2"/>
  <c r="L251" i="2"/>
  <c r="I140" i="2"/>
  <c r="K95" i="2"/>
  <c r="J8" i="3"/>
  <c r="K9" i="1"/>
  <c r="K276" i="2"/>
  <c r="I276" i="2"/>
  <c r="J228" i="2"/>
  <c r="L228" i="2"/>
  <c r="J153" i="2"/>
  <c r="L153" i="2"/>
  <c r="K36" i="2"/>
  <c r="L36" i="2"/>
  <c r="I36" i="2"/>
  <c r="K305" i="2"/>
  <c r="L305" i="2"/>
  <c r="I146" i="2"/>
  <c r="L146" i="2"/>
  <c r="K336" i="2"/>
  <c r="J336" i="2"/>
  <c r="J236" i="2"/>
  <c r="J298" i="2"/>
  <c r="K298" i="2"/>
  <c r="K111" i="2"/>
  <c r="L111" i="2"/>
  <c r="L33" i="2"/>
  <c r="I33" i="2"/>
  <c r="L178" i="2"/>
  <c r="K178" i="2"/>
  <c r="K104" i="2"/>
  <c r="I104" i="2"/>
  <c r="I214" i="2"/>
  <c r="J214" i="2"/>
  <c r="K214" i="2"/>
  <c r="L225" i="2"/>
  <c r="J225" i="2"/>
  <c r="L327" i="2"/>
  <c r="K327" i="2"/>
  <c r="I266" i="2"/>
  <c r="L266" i="2"/>
  <c r="J186" i="2"/>
  <c r="K186" i="2"/>
  <c r="L186" i="2"/>
  <c r="I186" i="2"/>
  <c r="I316" i="2"/>
  <c r="J316" i="2"/>
  <c r="L316" i="2"/>
  <c r="L97" i="2"/>
  <c r="I97" i="2"/>
  <c r="I4" i="2"/>
  <c r="L4" i="2"/>
  <c r="L242" i="2"/>
  <c r="I242" i="2"/>
  <c r="L215" i="2"/>
  <c r="I215" i="2"/>
  <c r="K215" i="2"/>
  <c r="L135" i="2"/>
  <c r="I135" i="2"/>
  <c r="K135" i="2"/>
  <c r="J337" i="2"/>
  <c r="K337" i="2"/>
  <c r="L239" i="2"/>
  <c r="I34" i="2"/>
  <c r="L34" i="2"/>
  <c r="L236" i="2"/>
  <c r="K236" i="2"/>
  <c r="L156" i="2"/>
  <c r="I156" i="2"/>
  <c r="K275" i="2"/>
  <c r="I275" i="2"/>
  <c r="J195" i="2"/>
  <c r="I195" i="2"/>
  <c r="K195" i="2"/>
  <c r="L195" i="2"/>
  <c r="L142" i="2"/>
  <c r="K142" i="2"/>
  <c r="J306" i="2"/>
  <c r="I306" i="2"/>
  <c r="L306" i="2"/>
  <c r="J297" i="2"/>
  <c r="K297" i="2"/>
  <c r="I297" i="2"/>
  <c r="L63" i="2"/>
  <c r="I63" i="2"/>
  <c r="I79" i="2"/>
  <c r="L79" i="2"/>
  <c r="L83" i="2"/>
  <c r="I83" i="2"/>
  <c r="K83" i="2"/>
  <c r="I72" i="2"/>
  <c r="L72" i="2"/>
  <c r="J9" i="1"/>
  <c r="L9" i="1"/>
  <c r="L226" i="2"/>
  <c r="K226" i="2"/>
  <c r="I226" i="2"/>
  <c r="K53" i="2"/>
  <c r="I53" i="2"/>
  <c r="L259" i="2"/>
  <c r="K259" i="2"/>
  <c r="I210" i="2"/>
  <c r="L210" i="2"/>
  <c r="K210" i="2"/>
  <c r="L89" i="2"/>
  <c r="K89" i="2"/>
  <c r="L117" i="2"/>
  <c r="I117" i="2"/>
  <c r="L54" i="1"/>
  <c r="K54" i="1"/>
  <c r="J217" i="2"/>
  <c r="L217" i="2"/>
  <c r="K217" i="2"/>
  <c r="J14" i="2"/>
  <c r="J218" i="2"/>
  <c r="K218" i="2"/>
  <c r="L32" i="1"/>
  <c r="K32" i="1"/>
  <c r="I175" i="2"/>
  <c r="K175" i="2"/>
  <c r="J175" i="2"/>
  <c r="K174" i="2"/>
  <c r="I174" i="2"/>
  <c r="I170" i="2"/>
  <c r="L170" i="2"/>
  <c r="I121" i="2"/>
  <c r="L121" i="2"/>
  <c r="L25" i="1"/>
  <c r="I25" i="1"/>
  <c r="K25" i="1"/>
  <c r="L10" i="1"/>
  <c r="K10" i="1"/>
  <c r="I335" i="2"/>
  <c r="K335" i="2"/>
  <c r="L302" i="2"/>
  <c r="K302" i="2"/>
  <c r="I302" i="2"/>
  <c r="I290" i="2"/>
  <c r="K290" i="2"/>
  <c r="L290" i="2"/>
  <c r="J290" i="2"/>
  <c r="I330" i="2"/>
  <c r="J330" i="2"/>
  <c r="L330" i="2"/>
  <c r="K330" i="2"/>
  <c r="I311" i="2"/>
  <c r="L311" i="2"/>
  <c r="K193" i="2"/>
  <c r="I193" i="2"/>
  <c r="L193" i="2"/>
  <c r="J326" i="2"/>
  <c r="I326" i="2"/>
  <c r="L326" i="2"/>
  <c r="J146" i="2"/>
  <c r="K146" i="2"/>
  <c r="J164" i="2"/>
  <c r="I164" i="2"/>
  <c r="L8" i="2"/>
  <c r="K8" i="2"/>
  <c r="J8" i="2"/>
  <c r="L61" i="2"/>
  <c r="K61" i="2"/>
  <c r="K296" i="2"/>
  <c r="L296" i="2"/>
  <c r="I296" i="2"/>
  <c r="J317" i="2"/>
  <c r="K317" i="2"/>
  <c r="I317" i="2"/>
  <c r="J106" i="2"/>
  <c r="I106" i="2"/>
  <c r="L106" i="2"/>
  <c r="L211" i="2"/>
  <c r="K211" i="2"/>
  <c r="L314" i="2"/>
  <c r="K314" i="2"/>
  <c r="I314" i="2"/>
  <c r="J314" i="2"/>
  <c r="I22" i="1"/>
  <c r="L22" i="1"/>
  <c r="L44" i="1"/>
  <c r="K44" i="1"/>
  <c r="J61" i="1"/>
  <c r="L61" i="1"/>
  <c r="K61" i="1"/>
  <c r="I61" i="1"/>
  <c r="L287" i="2"/>
  <c r="J287" i="2"/>
  <c r="I287" i="2"/>
  <c r="I255" i="2"/>
  <c r="K255" i="2"/>
  <c r="L255" i="2"/>
  <c r="L203" i="2"/>
  <c r="K203" i="2"/>
  <c r="I203" i="2"/>
  <c r="I171" i="2"/>
  <c r="L171" i="2"/>
  <c r="K267" i="2"/>
  <c r="J267" i="2"/>
  <c r="K45" i="2"/>
  <c r="J45" i="2"/>
  <c r="I45" i="2"/>
  <c r="L40" i="2"/>
  <c r="K40" i="2"/>
  <c r="I40" i="2"/>
  <c r="K46" i="2"/>
  <c r="L46" i="2"/>
  <c r="J46" i="2"/>
  <c r="J271" i="2"/>
  <c r="K271" i="2"/>
  <c r="K29" i="1"/>
  <c r="L29" i="1"/>
  <c r="L209" i="2"/>
  <c r="K209" i="2"/>
  <c r="I16" i="1"/>
  <c r="L16" i="1"/>
  <c r="K16" i="1"/>
  <c r="I216" i="2"/>
  <c r="J216" i="2"/>
  <c r="I246" i="2"/>
  <c r="K246" i="2"/>
  <c r="L246" i="2"/>
  <c r="I189" i="2"/>
  <c r="J189" i="2"/>
  <c r="L189" i="2"/>
  <c r="K189" i="2"/>
  <c r="J168" i="2"/>
  <c r="K168" i="2"/>
  <c r="I168" i="2"/>
  <c r="L168" i="2"/>
  <c r="I165" i="2"/>
  <c r="J165" i="2"/>
  <c r="L165" i="2"/>
  <c r="K41" i="2"/>
  <c r="I41" i="2"/>
  <c r="I27" i="1"/>
  <c r="K27" i="1"/>
  <c r="L27" i="1"/>
  <c r="K11" i="1"/>
  <c r="I11" i="1"/>
  <c r="L11" i="1"/>
  <c r="L17" i="1"/>
  <c r="K17" i="1"/>
  <c r="I17" i="1"/>
  <c r="J17" i="1"/>
  <c r="L59" i="1"/>
  <c r="K59" i="1"/>
  <c r="L34" i="1"/>
  <c r="K34" i="1"/>
  <c r="I34" i="1"/>
  <c r="J24" i="1"/>
  <c r="L24" i="1"/>
  <c r="I24" i="1"/>
  <c r="K24" i="1"/>
  <c r="L46" i="1"/>
  <c r="K46" i="1"/>
  <c r="I46" i="1"/>
  <c r="J46" i="1"/>
  <c r="J207" i="2"/>
  <c r="I207" i="2"/>
  <c r="L288" i="2"/>
  <c r="J288" i="2"/>
  <c r="I288" i="2"/>
  <c r="L78" i="2"/>
  <c r="J78" i="2"/>
  <c r="I78" i="2"/>
  <c r="K78" i="2"/>
  <c r="L232" i="2"/>
  <c r="K232" i="2"/>
  <c r="I232" i="2"/>
  <c r="L162" i="2"/>
  <c r="K162" i="2"/>
  <c r="I162" i="2"/>
  <c r="I116" i="2"/>
  <c r="J116" i="2"/>
  <c r="I282" i="2"/>
  <c r="J282" i="2"/>
  <c r="I240" i="2"/>
  <c r="L240" i="2"/>
  <c r="J240" i="2"/>
  <c r="L293" i="2"/>
  <c r="K293" i="2"/>
  <c r="K50" i="1"/>
  <c r="I50" i="1"/>
  <c r="J50" i="1"/>
  <c r="L12" i="1"/>
  <c r="K12" i="1"/>
  <c r="I12" i="1"/>
  <c r="J12" i="1"/>
  <c r="I136" i="2"/>
  <c r="L136" i="2"/>
  <c r="K136" i="2"/>
  <c r="J77" i="2"/>
  <c r="L77" i="2"/>
  <c r="I77" i="2"/>
  <c r="K148" i="2"/>
  <c r="J148" i="2"/>
  <c r="I148" i="2"/>
  <c r="K31" i="2"/>
  <c r="J31" i="2"/>
  <c r="I31" i="2"/>
  <c r="K11" i="2"/>
  <c r="I11" i="2"/>
  <c r="J39" i="2"/>
  <c r="I127" i="2"/>
  <c r="J127" i="2"/>
  <c r="K127" i="2"/>
  <c r="L308" i="2"/>
  <c r="K308" i="2"/>
  <c r="J308" i="2"/>
  <c r="I308" i="2"/>
  <c r="J231" i="2"/>
  <c r="L231" i="2"/>
  <c r="K231" i="2"/>
  <c r="J12" i="2"/>
  <c r="I12" i="2"/>
  <c r="J5" i="2"/>
  <c r="I5" i="2"/>
  <c r="J248" i="2"/>
  <c r="I248" i="2"/>
  <c r="K19" i="2"/>
  <c r="I19" i="2"/>
  <c r="J7" i="1"/>
  <c r="K7" i="1"/>
  <c r="J49" i="1"/>
  <c r="K49" i="1"/>
  <c r="L6" i="1"/>
  <c r="K6" i="1"/>
  <c r="I6" i="1"/>
  <c r="L166" i="2"/>
  <c r="J166" i="2"/>
  <c r="I166" i="2"/>
  <c r="K166" i="2"/>
  <c r="L342" i="2"/>
  <c r="K342" i="2"/>
  <c r="I342" i="2"/>
  <c r="J342" i="2"/>
  <c r="K80" i="2"/>
  <c r="I80" i="2"/>
  <c r="L80" i="2"/>
  <c r="K169" i="2"/>
  <c r="J169" i="2"/>
  <c r="I169" i="2"/>
  <c r="L169" i="2"/>
  <c r="K3" i="2"/>
  <c r="I3" i="2"/>
  <c r="I43" i="2"/>
  <c r="L263" i="2"/>
  <c r="K263" i="2"/>
  <c r="J21" i="2"/>
  <c r="L21" i="2"/>
  <c r="I21" i="2"/>
  <c r="L176" i="2"/>
  <c r="K176" i="2"/>
  <c r="L257" i="2"/>
  <c r="J257" i="2"/>
  <c r="I13" i="1"/>
  <c r="J13" i="1"/>
  <c r="I52" i="1"/>
  <c r="J52" i="1"/>
  <c r="I327" i="2"/>
  <c r="J327" i="2"/>
  <c r="L93" i="2"/>
  <c r="K93" i="2"/>
  <c r="J93" i="2"/>
  <c r="I93" i="2"/>
  <c r="L31" i="1"/>
  <c r="J31" i="1"/>
  <c r="K31" i="1"/>
  <c r="L329" i="2"/>
  <c r="J329" i="2"/>
  <c r="K329" i="2"/>
  <c r="L122" i="2"/>
  <c r="K122" i="2"/>
  <c r="I122" i="2"/>
  <c r="J122" i="2"/>
  <c r="I56" i="1"/>
  <c r="L56" i="1"/>
  <c r="K56" i="1"/>
  <c r="J56" i="1"/>
  <c r="I9" i="2"/>
  <c r="L9" i="2"/>
  <c r="J9" i="2"/>
  <c r="K9" i="2"/>
  <c r="L23" i="1"/>
  <c r="K23" i="1"/>
  <c r="I23" i="1"/>
  <c r="L300" i="2"/>
  <c r="K300" i="2"/>
  <c r="I300" i="2"/>
  <c r="J300" i="2"/>
  <c r="I251" i="2"/>
  <c r="K251" i="2"/>
  <c r="J251" i="2"/>
  <c r="K47" i="1"/>
  <c r="L47" i="1"/>
  <c r="I47" i="1"/>
  <c r="L62" i="1"/>
  <c r="I62" i="1"/>
  <c r="J62" i="1"/>
  <c r="K62" i="1"/>
  <c r="I269" i="2"/>
  <c r="L269" i="2"/>
  <c r="K269" i="2"/>
  <c r="J269" i="2"/>
  <c r="K8" i="1"/>
  <c r="I8" i="1"/>
  <c r="J8" i="1"/>
  <c r="K280" i="2"/>
  <c r="L280" i="2"/>
  <c r="K58" i="1"/>
  <c r="I58" i="1"/>
  <c r="L58" i="1"/>
  <c r="L32" i="2"/>
  <c r="K32" i="2"/>
  <c r="I18" i="1"/>
  <c r="J18" i="1"/>
  <c r="K18" i="1"/>
  <c r="L18" i="1"/>
  <c r="L39" i="1"/>
  <c r="K39" i="1"/>
  <c r="I39" i="1"/>
  <c r="J39" i="1"/>
  <c r="L98" i="2"/>
  <c r="K98" i="2"/>
  <c r="I98" i="2"/>
  <c r="J98" i="2"/>
  <c r="L22" i="2"/>
  <c r="K22" i="2"/>
  <c r="I22" i="2"/>
  <c r="J140" i="2"/>
  <c r="L140" i="2"/>
  <c r="K85" i="2"/>
  <c r="L85" i="2"/>
  <c r="I85" i="2"/>
  <c r="L139" i="2"/>
  <c r="K139" i="2"/>
  <c r="J139" i="2"/>
  <c r="J133" i="2"/>
  <c r="I133" i="2"/>
  <c r="I10" i="2"/>
  <c r="J10" i="2"/>
  <c r="K10" i="2"/>
  <c r="K4" i="1"/>
  <c r="I4" i="1"/>
  <c r="L4" i="1"/>
  <c r="L21" i="1"/>
  <c r="K21" i="1"/>
  <c r="I21" i="1"/>
  <c r="J21" i="1"/>
  <c r="J28" i="2"/>
  <c r="L28" i="2"/>
  <c r="I28" i="2"/>
  <c r="K28" i="2"/>
  <c r="L84" i="2"/>
  <c r="K84" i="2"/>
  <c r="I84" i="2"/>
  <c r="J84" i="2"/>
  <c r="K35" i="2"/>
  <c r="L35" i="2"/>
  <c r="I35" i="2"/>
  <c r="J35" i="2"/>
  <c r="I201" i="2"/>
  <c r="L201" i="2"/>
  <c r="J201" i="2"/>
  <c r="L234" i="2"/>
  <c r="K234" i="2"/>
  <c r="I234" i="2"/>
  <c r="L38" i="1"/>
  <c r="I38" i="1"/>
  <c r="J38" i="1"/>
  <c r="K38" i="1"/>
  <c r="L184" i="2"/>
  <c r="K184" i="2"/>
  <c r="I184" i="2"/>
  <c r="I37" i="1"/>
  <c r="J37" i="1"/>
  <c r="L37" i="1"/>
  <c r="K37" i="1"/>
  <c r="I15" i="1"/>
  <c r="J15" i="1"/>
  <c r="L15" i="1"/>
  <c r="K15" i="1"/>
  <c r="I341" i="2"/>
  <c r="K341" i="2"/>
  <c r="J341" i="2"/>
  <c r="L341" i="2"/>
  <c r="J252" i="2"/>
  <c r="L252" i="2"/>
  <c r="K252" i="2"/>
  <c r="I252" i="2"/>
  <c r="J19" i="2"/>
  <c r="I321" i="2"/>
  <c r="L321" i="2"/>
  <c r="K321" i="2"/>
  <c r="J321" i="2"/>
  <c r="J40" i="1"/>
  <c r="I40" i="1"/>
  <c r="L40" i="1"/>
  <c r="K40" i="1"/>
  <c r="L35" i="1"/>
  <c r="K35" i="1"/>
  <c r="I35" i="1"/>
  <c r="J35" i="1"/>
  <c r="K14" i="1"/>
  <c r="I14" i="1"/>
  <c r="J14" i="1"/>
  <c r="L272" i="2"/>
  <c r="I272" i="2"/>
  <c r="K272" i="2"/>
  <c r="J272" i="2"/>
  <c r="L303" i="2"/>
  <c r="K303" i="2"/>
  <c r="I303" i="2"/>
  <c r="I32" i="1"/>
  <c r="J32" i="1"/>
  <c r="L73" i="2"/>
  <c r="J73" i="2"/>
  <c r="K73" i="2"/>
  <c r="I73" i="2"/>
  <c r="L273" i="2"/>
  <c r="K273" i="2"/>
  <c r="I273" i="2"/>
  <c r="L26" i="1"/>
  <c r="K26" i="1"/>
  <c r="I26" i="1"/>
  <c r="J26" i="1"/>
  <c r="T4" i="4" l="1"/>
  <c r="U4" i="4" s="1"/>
  <c r="V4" i="4" s="1"/>
  <c r="W4" i="4" s="1"/>
  <c r="G3" i="4"/>
  <c r="H3" i="4"/>
  <c r="I3" i="4" s="1"/>
  <c r="J45" i="1"/>
  <c r="J81" i="2"/>
  <c r="J215" i="2"/>
  <c r="J97" i="2"/>
  <c r="J162" i="2"/>
  <c r="K77" i="2"/>
  <c r="J25" i="1"/>
  <c r="J13" i="2"/>
  <c r="J88" i="2"/>
  <c r="J334" i="2"/>
  <c r="J89" i="2"/>
  <c r="J315" i="2"/>
  <c r="J142" i="2"/>
  <c r="J23" i="2"/>
  <c r="L39" i="2"/>
  <c r="J322" i="2"/>
  <c r="K106" i="2"/>
  <c r="I139" i="2"/>
  <c r="J280" i="2"/>
  <c r="J159" i="2"/>
  <c r="L25" i="2"/>
  <c r="J303" i="2"/>
  <c r="J76" i="2"/>
  <c r="J155" i="2"/>
  <c r="L297" i="2"/>
  <c r="J83" i="2"/>
  <c r="J325" i="2"/>
  <c r="J131" i="2"/>
  <c r="I236" i="2"/>
  <c r="J335" i="2"/>
  <c r="J111" i="2"/>
  <c r="J96" i="2"/>
  <c r="J192" i="2"/>
  <c r="J43" i="2"/>
  <c r="I298" i="2"/>
  <c r="J90" i="2"/>
  <c r="J210" i="2"/>
  <c r="J261" i="2"/>
  <c r="J20" i="2"/>
  <c r="L317" i="2"/>
  <c r="J223" i="2"/>
  <c r="I9" i="1"/>
  <c r="L164" i="2"/>
  <c r="K70" i="2"/>
  <c r="J202" i="2"/>
  <c r="L277" i="2"/>
  <c r="L23" i="2"/>
  <c r="J74" i="2"/>
  <c r="L295" i="2"/>
  <c r="I231" i="2"/>
  <c r="I239" i="2"/>
  <c r="L115" i="2"/>
  <c r="J295" i="2"/>
  <c r="J29" i="2"/>
  <c r="I49" i="1"/>
  <c r="J275" i="2"/>
  <c r="L64" i="2"/>
  <c r="J260" i="2"/>
  <c r="J49" i="2"/>
  <c r="J67" i="2"/>
  <c r="K63" i="2"/>
  <c r="J213" i="2"/>
  <c r="J176" i="2"/>
  <c r="J149" i="2"/>
  <c r="J193" i="2"/>
  <c r="L3" i="2"/>
  <c r="K34" i="2"/>
  <c r="K286" i="2"/>
  <c r="J305" i="2"/>
  <c r="I131" i="2"/>
  <c r="J40" i="2"/>
  <c r="J255" i="2"/>
  <c r="K306" i="2"/>
  <c r="L337" i="2"/>
  <c r="K326" i="2"/>
  <c r="J3" i="2"/>
  <c r="J184" i="2"/>
  <c r="L275" i="2"/>
  <c r="J52" i="2"/>
  <c r="J69" i="2"/>
  <c r="L214" i="2"/>
  <c r="I280" i="2"/>
  <c r="K165" i="2"/>
  <c r="L43" i="2"/>
  <c r="L335" i="2"/>
  <c r="L104" i="2"/>
  <c r="I200" i="2"/>
  <c r="I71" i="2"/>
  <c r="L5" i="2"/>
  <c r="K14" i="2"/>
  <c r="J220" i="2"/>
  <c r="J5" i="1"/>
  <c r="J273" i="2"/>
  <c r="K54" i="2"/>
  <c r="J187" i="2"/>
  <c r="J235" i="2"/>
  <c r="L19" i="2"/>
  <c r="J242" i="2"/>
  <c r="K153" i="2"/>
  <c r="J80" i="2"/>
  <c r="L315" i="2"/>
  <c r="J249" i="2"/>
  <c r="K266" i="2"/>
  <c r="L8" i="3"/>
  <c r="J212" i="2"/>
  <c r="J22" i="1"/>
  <c r="J312" i="2"/>
  <c r="J104" i="2"/>
  <c r="I29" i="1"/>
  <c r="I111" i="2"/>
  <c r="L108" i="2"/>
  <c r="L45" i="2"/>
  <c r="J174" i="2"/>
  <c r="J60" i="2"/>
  <c r="J102" i="2"/>
  <c r="R3" i="4" l="1"/>
  <c r="S3" i="4" s="1"/>
  <c r="M8" i="3"/>
  <c r="X3" i="4" l="1"/>
  <c r="T3" i="4"/>
  <c r="U3" i="4" s="1"/>
  <c r="Y3" i="4"/>
  <c r="Z3" i="4" l="1"/>
  <c r="V3" i="4"/>
  <c r="W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<sst xmlns="http://schemas.openxmlformats.org/spreadsheetml/2006/main" count="1332" uniqueCount="1251">
  <si>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</si>
  <si>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</si>
  <si>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</si>
  <si>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</si>
  <si>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</si>
  <si>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</si>
  <si>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</si>
  <si>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</si>
  <si>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</si>
  <si>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</si>
  <si>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</si>
  <si>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</si>
  <si>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</si>
  <si>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</si>
  <si>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</si>
  <si>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</si>
  <si>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</si>
  <si>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</si>
  <si>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</si>
  <si>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</si>
  <si>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</si>
  <si>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</si>
  <si>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</si>
  <si>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</si>
  <si>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</si>
  <si>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</si>
  <si>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</si>
  <si>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</si>
  <si>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</si>
  <si>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</si>
  <si>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</si>
  <si>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</si>
  <si>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</si>
  <si>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</si>
  <si>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</si>
  <si>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</si>
  <si>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</si>
  <si>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</si>
  <si>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</si>
  <si>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</si>
  <si>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</si>
  <si>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</si>
  <si>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</si>
  <si>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</si>
  <si>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</si>
  <si>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</si>
  <si>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</si>
  <si>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</si>
  <si>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</si>
  <si>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</si>
  <si>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</si>
  <si>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</si>
  <si>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</si>
  <si>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</si>
  <si>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</si>
  <si>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</si>
  <si>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</si>
  <si>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</si>
  <si>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</si>
  <si>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</si>
  <si>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</si>
  <si>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</si>
  <si>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</si>
  <si>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</si>
  <si>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</si>
  <si>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</si>
  <si>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</si>
  <si>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</si>
  <si>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</si>
  <si>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</si>
  <si>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</si>
  <si>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</si>
  <si>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</si>
  <si>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</si>
  <si>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</si>
  <si>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</si>
  <si>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</si>
  <si>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</si>
  <si>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</si>
  <si>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</si>
  <si>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</si>
  <si>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</si>
  <si>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</si>
  <si>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</si>
  <si>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</si>
  <si>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</si>
  <si>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</si>
  <si>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</si>
  <si>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</si>
  <si>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</si>
  <si>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</si>
  <si>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</si>
  <si>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</si>
  <si>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</si>
  <si>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</si>
  <si>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</si>
  <si>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</si>
  <si>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</si>
  <si>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</si>
  <si>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</si>
  <si>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</si>
  <si>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</si>
  <si>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</si>
  <si>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</si>
  <si>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</si>
  <si>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</si>
  <si>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</si>
  <si>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</si>
  <si>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</si>
  <si>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</si>
  <si>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</si>
  <si>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</si>
  <si>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</si>
  <si>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</si>
  <si>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</si>
  <si>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</si>
  <si>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</si>
  <si>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</si>
  <si>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</si>
  <si>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</si>
  <si>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</si>
  <si>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</si>
  <si>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</si>
  <si>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</si>
  <si>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</si>
  <si>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</si>
  <si>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</si>
  <si>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</si>
  <si>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</si>
  <si>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</si>
  <si>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</si>
  <si>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</si>
  <si>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</si>
  <si>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</si>
  <si>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</si>
  <si>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</si>
  <si>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</si>
  <si>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</si>
  <si>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</si>
  <si>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</si>
  <si>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</si>
  <si>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</si>
  <si>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</si>
  <si>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</si>
  <si>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</si>
  <si>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</si>
  <si>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</si>
  <si>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</si>
  <si>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</si>
  <si>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</si>
  <si>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</si>
  <si>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</si>
  <si>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</si>
  <si>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</si>
  <si>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</si>
  <si>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</si>
  <si>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</si>
  <si>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</si>
  <si>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</si>
  <si>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</si>
  <si>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</si>
  <si>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</si>
  <si>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</si>
  <si>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</si>
  <si>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</si>
  <si>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</si>
  <si>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</si>
  <si>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</si>
  <si>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</si>
  <si>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</si>
  <si>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</si>
  <si>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</si>
  <si>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</si>
  <si>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</si>
  <si>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</si>
  <si>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</si>
  <si>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</si>
  <si>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</si>
  <si>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</si>
  <si>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</si>
  <si>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</si>
  <si>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</si>
  <si>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</si>
  <si>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</si>
  <si>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</si>
  <si>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</si>
  <si>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</si>
  <si>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</si>
  <si>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</si>
  <si>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</si>
  <si>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</si>
  <si>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</si>
  <si>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</si>
  <si>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</si>
  <si>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</si>
  <si>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</si>
  <si>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</si>
  <si>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</si>
  <si>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</si>
  <si>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</si>
  <si>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</si>
  <si>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</si>
  <si>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</si>
  <si>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</si>
  <si>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</si>
  <si>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</si>
  <si>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</si>
  <si>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</si>
  <si>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</si>
  <si>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</si>
  <si>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</si>
  <si>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</si>
  <si>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</si>
  <si>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</si>
  <si>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</si>
  <si>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</si>
  <si>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</si>
  <si>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</si>
  <si>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</si>
  <si>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</si>
  <si>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</si>
  <si>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</si>
  <si>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</si>
  <si>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</si>
  <si>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</si>
  <si>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</si>
  <si>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</si>
  <si>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</si>
  <si>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</si>
  <si>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</si>
  <si>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</si>
  <si>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</si>
  <si>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</si>
  <si>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</si>
  <si>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</si>
  <si>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</si>
  <si>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</si>
  <si>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</si>
  <si>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</si>
  <si>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</si>
  <si>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</si>
  <si>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</si>
  <si>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</si>
  <si>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</si>
  <si>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</si>
  <si>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</si>
  <si>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</si>
  <si>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</si>
  <si>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</si>
  <si>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</si>
  <si>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</si>
  <si>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</si>
  <si>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</si>
  <si>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</si>
  <si>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</si>
  <si>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</si>
  <si>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</si>
  <si>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</si>
  <si>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</si>
  <si>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</si>
  <si>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</si>
  <si>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</si>
  <si>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</si>
  <si>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</si>
  <si>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</si>
  <si>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</si>
  <si>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</si>
  <si>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</si>
  <si>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</si>
  <si>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</si>
  <si>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</si>
  <si>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</si>
  <si>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</si>
  <si>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</si>
  <si>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</si>
  <si>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</si>
  <si>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</si>
  <si>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</si>
  <si>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</si>
  <si>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</si>
  <si>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</si>
  <si>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</si>
  <si>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</si>
  <si>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</si>
  <si>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</si>
  <si>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</si>
  <si>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</si>
  <si>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</si>
  <si>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</si>
  <si>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</si>
  <si>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</si>
  <si>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</si>
  <si>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</si>
  <si>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</si>
  <si>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</si>
  <si>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</si>
  <si>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</si>
  <si>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</si>
  <si>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</si>
  <si>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</si>
  <si>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</si>
  <si>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</si>
  <si>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</si>
  <si>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</si>
  <si>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</si>
  <si>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</si>
  <si>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</si>
  <si>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</si>
  <si>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</si>
  <si>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</si>
  <si>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</si>
  <si>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</si>
  <si>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</si>
  <si>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</si>
  <si>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</si>
  <si>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</si>
  <si>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</si>
  <si>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</si>
  <si>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</si>
  <si>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</si>
  <si>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</si>
  <si>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</si>
  <si>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</si>
  <si>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</si>
  <si>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</si>
  <si>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</si>
  <si>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</si>
  <si>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</si>
  <si>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</si>
  <si>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</si>
  <si>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</si>
  <si>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</si>
  <si>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</si>
  <si>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</si>
  <si>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</si>
  <si>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</si>
  <si>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</si>
  <si>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</si>
  <si>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</si>
  <si>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</si>
  <si>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</si>
  <si>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</si>
  <si>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</si>
  <si>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</si>
  <si>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</si>
  <si>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</si>
  <si>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</si>
  <si>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</si>
  <si>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</si>
  <si>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</si>
  <si>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</si>
  <si>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</si>
  <si>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</si>
  <si>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</si>
  <si>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</si>
  <si>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</si>
  <si>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</si>
  <si>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</si>
  <si>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</si>
  <si>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</si>
  <si>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</si>
  <si>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</si>
  <si>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</si>
  <si>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</si>
  <si>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</si>
  <si>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</si>
  <si>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</si>
  <si>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</si>
  <si>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</si>
  <si>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</si>
  <si>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</si>
  <si>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</si>
  <si>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</si>
  <si>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</si>
  <si>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</si>
  <si>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</si>
  <si>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</si>
  <si>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</si>
  <si>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</si>
  <si>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</si>
  <si>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</si>
  <si>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</si>
  <si>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</si>
  <si>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</si>
  <si>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</si>
  <si>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</si>
  <si>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</si>
  <si>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</si>
  <si>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</si>
  <si>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</si>
  <si>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</si>
  <si>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</si>
  <si>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</si>
  <si>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</si>
  <si>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</si>
  <si>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</si>
  <si>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</si>
  <si>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</si>
  <si>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</si>
  <si>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</si>
  <si>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</si>
  <si>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</si>
  <si>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</si>
  <si>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</si>
  <si>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</si>
  <si>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</si>
  <si>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</si>
  <si>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</si>
  <si>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</si>
  <si>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</si>
  <si>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</si>
  <si>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</si>
  <si>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</si>
  <si>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</si>
  <si>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</si>
  <si>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</si>
  <si>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</si>
  <si>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</si>
  <si>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</si>
  <si>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</si>
  <si>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</si>
  <si>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</si>
  <si>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</si>
  <si>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</si>
  <si>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</si>
  <si>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</si>
  <si>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</si>
  <si>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</si>
  <si>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</si>
  <si>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</si>
  <si>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</si>
  <si>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</si>
  <si>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</si>
  <si>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</si>
  <si>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</si>
  <si>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</si>
  <si>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</si>
  <si>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</si>
  <si>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</si>
  <si>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</si>
  <si>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</si>
  <si>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</si>
  <si>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</si>
  <si>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</si>
  <si>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</si>
  <si>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</si>
  <si>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</si>
  <si>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</si>
  <si>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</si>
  <si>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</si>
  <si>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</si>
  <si>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</si>
  <si>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</si>
  <si>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</si>
  <si>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</si>
  <si>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</si>
  <si>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</si>
  <si>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</si>
  <si>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</si>
  <si>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</si>
  <si>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</si>
  <si>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</si>
  <si>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</si>
  <si>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</si>
  <si>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</si>
  <si>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</si>
  <si>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</si>
  <si>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</si>
  <si>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</si>
  <si>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</si>
  <si>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</si>
  <si>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</si>
  <si>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</si>
  <si>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</si>
  <si>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</si>
  <si>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</si>
  <si>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</si>
  <si>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</si>
  <si>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</si>
  <si>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</si>
  <si>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</si>
  <si>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</si>
  <si>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</si>
  <si>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</si>
  <si>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</si>
  <si>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</si>
  <si>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</si>
  <si>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</si>
  <si>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</si>
  <si>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</si>
  <si>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</si>
  <si>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</si>
  <si>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</si>
  <si>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</si>
  <si>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</si>
  <si>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</si>
  <si>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</si>
  <si>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</si>
  <si>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</si>
  <si>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</si>
  <si>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</si>
  <si>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</si>
  <si>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</si>
  <si>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</si>
  <si>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</si>
  <si>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</si>
  <si>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</si>
  <si>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</si>
  <si>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</si>
  <si>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</si>
  <si>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</si>
  <si>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</si>
  <si>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</si>
  <si>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</si>
  <si>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</si>
  <si>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</si>
  <si>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</si>
  <si>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</si>
  <si>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</si>
  <si>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</si>
  <si>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</si>
  <si>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</si>
  <si>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</si>
  <si>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</si>
  <si>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</si>
  <si>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</si>
  <si>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</si>
  <si>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</si>
  <si>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</si>
  <si>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</si>
  <si>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</si>
  <si>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</si>
  <si>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</si>
  <si>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</si>
  <si>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</si>
  <si>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</si>
  <si>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</si>
  <si>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</si>
  <si>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</si>
  <si>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</si>
  <si>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</si>
  <si>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</si>
  <si>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</si>
  <si>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</si>
  <si>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</si>
  <si>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</si>
  <si>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</si>
  <si>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</si>
  <si>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</si>
  <si>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</si>
  <si>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</si>
  <si>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</si>
  <si>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</si>
  <si>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</si>
  <si>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</si>
  <si>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</si>
  <si>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</si>
  <si>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</si>
  <si>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</si>
  <si>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</si>
  <si>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</si>
  <si>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</si>
  <si>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</si>
  <si>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</si>
  <si>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</si>
  <si>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</si>
  <si>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</si>
  <si>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</si>
  <si>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</si>
  <si>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</si>
  <si>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</si>
  <si>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</si>
  <si>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</si>
  <si>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</si>
  <si>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</si>
  <si>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</si>
  <si>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</si>
  <si>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</si>
  <si>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</si>
  <si>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</si>
  <si>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</si>
  <si>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</si>
  <si>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</si>
  <si>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</si>
  <si>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</si>
  <si>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</si>
  <si>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</si>
  <si>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</si>
  <si>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</si>
  <si>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</si>
  <si>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</si>
  <si>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</si>
  <si>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</si>
  <si>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</si>
  <si>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</si>
  <si>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</si>
  <si>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</si>
  <si>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</si>
  <si>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</si>
  <si>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</si>
  <si>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</si>
  <si>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</si>
  <si>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</si>
  <si>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</si>
  <si>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</si>
  <si>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</si>
  <si>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</si>
  <si>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</si>
  <si>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</si>
  <si>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</si>
  <si>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</si>
  <si>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</si>
  <si>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</si>
  <si>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</si>
  <si>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</si>
  <si>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</si>
  <si>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</si>
  <si>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</si>
  <si>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</si>
  <si>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</si>
  <si>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</si>
  <si>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</si>
  <si>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</si>
  <si>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</si>
  <si>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</si>
  <si>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</si>
  <si>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</si>
  <si>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</si>
  <si>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</si>
  <si>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</si>
  <si>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</si>
  <si>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</si>
  <si>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</si>
  <si>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</si>
  <si>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</si>
  <si>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</si>
  <si>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</si>
  <si>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</si>
  <si>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</si>
  <si>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</si>
  <si>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</si>
  <si>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</si>
  <si>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</si>
  <si>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</si>
  <si>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</si>
  <si>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</si>
  <si>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</si>
  <si>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</si>
  <si>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</si>
  <si>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</si>
  <si>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</si>
  <si>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</si>
  <si>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</si>
  <si>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</si>
  <si>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</si>
  <si>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</si>
  <si>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</si>
  <si>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</si>
  <si>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</si>
  <si>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</si>
  <si>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</si>
  <si>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</si>
  <si>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</si>
  <si>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</si>
  <si>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</si>
  <si>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</si>
  <si>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</si>
  <si>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</si>
  <si>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</si>
  <si>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</si>
  <si>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</si>
  <si>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</si>
  <si>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</si>
  <si>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</si>
  <si>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</si>
  <si>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</si>
  <si>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</si>
  <si>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</si>
  <si>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</si>
  <si>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</si>
  <si>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</si>
  <si>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</si>
  <si>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</si>
  <si>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</si>
  <si>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</si>
  <si>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</si>
  <si>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</si>
  <si>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</si>
  <si>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</si>
  <si>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</si>
  <si>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</si>
  <si>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</si>
  <si>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</si>
  <si>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</si>
  <si>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</si>
  <si>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</si>
  <si>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</si>
  <si>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</si>
  <si>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</si>
  <si>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</si>
  <si>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</si>
  <si>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</si>
  <si>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</si>
  <si>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</si>
  <si>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</si>
  <si>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</si>
  <si>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</si>
  <si>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</si>
  <si>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</si>
  <si>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</si>
  <si>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</si>
  <si>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</si>
  <si>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</si>
  <si>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</si>
  <si>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</si>
  <si>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</si>
  <si>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</si>
  <si>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</si>
  <si>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</si>
  <si>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</si>
  <si>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</si>
  <si>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</si>
  <si>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</si>
  <si>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</si>
  <si>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</si>
  <si>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</si>
  <si>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</si>
  <si>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</si>
  <si>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</si>
  <si>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</si>
  <si>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</si>
  <si>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</si>
  <si>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</si>
  <si>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</si>
  <si>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</si>
  <si>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</si>
  <si>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</si>
  <si>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</si>
  <si>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</si>
  <si>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</si>
  <si>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</si>
  <si>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</si>
  <si>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</si>
  <si>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</si>
  <si>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</si>
  <si>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</si>
  <si>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</si>
  <si>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</si>
  <si>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</si>
  <si>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</si>
  <si>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</si>
  <si>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</si>
  <si>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</si>
  <si>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</si>
  <si>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</si>
  <si>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</si>
  <si>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</si>
  <si>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</si>
  <si>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</si>
  <si>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</si>
  <si>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</si>
  <si>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</si>
  <si>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</si>
  <si>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</si>
  <si>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</si>
  <si>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</si>
  <si>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</si>
  <si>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</si>
  <si>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</si>
  <si>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</si>
  <si>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</si>
  <si>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</si>
  <si>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</si>
  <si>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</si>
  <si>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</si>
  <si>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</si>
  <si>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</si>
  <si>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</si>
  <si>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</si>
  <si>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</si>
  <si>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</si>
  <si>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</si>
  <si>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</si>
  <si>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</si>
  <si>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</si>
  <si>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</si>
  <si>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</si>
  <si>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</si>
  <si>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</si>
  <si>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</si>
  <si>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</si>
  <si>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</si>
  <si>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</si>
  <si>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</si>
  <si>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</si>
  <si>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</si>
  <si>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</si>
  <si>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</si>
  <si>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</si>
  <si>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</si>
  <si>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</si>
  <si>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</si>
  <si>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</si>
  <si>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</si>
  <si>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</si>
  <si>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</si>
  <si>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</si>
  <si>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</si>
  <si>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</si>
  <si>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</si>
  <si>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</si>
  <si>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</si>
  <si>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</si>
  <si>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</si>
  <si>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</si>
  <si>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</si>
  <si>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</si>
  <si>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</si>
  <si>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</si>
  <si>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</si>
  <si>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</si>
  <si>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</si>
  <si>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</si>
  <si>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</si>
  <si>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</si>
  <si>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</si>
  <si>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</si>
  <si>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</si>
  <si>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</si>
  <si>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</si>
  <si>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</si>
  <si>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</si>
  <si>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</si>
  <si>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</si>
  <si>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</si>
  <si>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</si>
  <si>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</si>
  <si>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</si>
  <si>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</si>
  <si>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</si>
  <si>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</si>
  <si>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</si>
  <si>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</si>
  <si>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</si>
  <si>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</si>
  <si>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</si>
  <si>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</si>
  <si>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</si>
  <si>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</si>
  <si>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</si>
  <si>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</si>
  <si>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</si>
  <si>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</si>
  <si>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</si>
  <si>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</si>
  <si>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</si>
  <si>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</si>
  <si>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</si>
  <si>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</si>
  <si>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</si>
  <si>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</si>
  <si>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</si>
  <si>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</si>
  <si>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</si>
  <si>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</si>
  <si>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</si>
  <si>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</si>
  <si>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</si>
  <si>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</si>
  <si>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</si>
  <si>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</si>
  <si>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</si>
  <si>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</si>
  <si>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</si>
  <si>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</si>
  <si>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</si>
  <si>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</si>
  <si>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</si>
  <si>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</si>
  <si>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</si>
  <si>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</si>
  <si>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</si>
  <si>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</si>
  <si>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</si>
  <si>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</si>
  <si>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</si>
  <si>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</si>
  <si>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</si>
  <si>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</si>
  <si>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</si>
  <si>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</si>
  <si>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</si>
  <si>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</si>
  <si>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</si>
  <si>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</si>
  <si>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</si>
  <si>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</si>
  <si>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</si>
  <si>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</si>
  <si>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</si>
  <si>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</si>
  <si>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</si>
  <si>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</si>
  <si>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</si>
  <si>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</si>
  <si>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</si>
  <si>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</si>
  <si>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</si>
  <si>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</si>
  <si>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</si>
  <si>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</si>
  <si>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</si>
  <si>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</si>
  <si>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</si>
  <si>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</si>
  <si>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</si>
  <si>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</si>
  <si>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</si>
  <si>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</si>
  <si>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</si>
  <si>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</si>
  <si>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</si>
  <si>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</si>
  <si>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</si>
  <si>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</si>
  <si>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</si>
  <si>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</si>
  <si>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</si>
  <si>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</si>
  <si>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</si>
  <si>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</si>
  <si>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</si>
  <si>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</si>
  <si>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</si>
  <si>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</si>
  <si>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</si>
  <si>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</si>
  <si>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</si>
  <si>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</si>
  <si>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</si>
  <si>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</si>
  <si>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</si>
  <si>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</si>
  <si>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</si>
  <si>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</si>
  <si>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</si>
  <si>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</si>
  <si>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</si>
  <si>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</si>
  <si>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</si>
  <si>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</si>
  <si>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</si>
  <si>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</si>
  <si>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</si>
  <si>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</si>
  <si>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</si>
  <si>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</si>
  <si>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</si>
  <si>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</si>
  <si>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</si>
  <si>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</si>
  <si>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</si>
  <si>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</si>
  <si>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</si>
  <si>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</si>
  <si>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</si>
  <si>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</si>
  <si>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</si>
  <si>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</si>
  <si>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</si>
  <si>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</si>
  <si>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</si>
  <si>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</si>
  <si>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</si>
  <si>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</si>
  <si>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</si>
  <si>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</si>
  <si>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</si>
  <si>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</si>
  <si>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</si>
  <si>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</si>
  <si>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</si>
  <si>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</si>
  <si>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</si>
  <si>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</si>
  <si>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</si>
  <si>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</si>
  <si>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</si>
  <si>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</si>
  <si>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</si>
  <si>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</si>
  <si>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</si>
  <si>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</si>
  <si>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</si>
  <si>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</si>
  <si>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</si>
  <si>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</si>
  <si>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</si>
  <si>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</si>
  <si>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</si>
  <si>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</si>
  <si>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</si>
  <si>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</si>
  <si>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</si>
  <si>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</si>
  <si>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</si>
  <si>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</si>
  <si>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</si>
  <si>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</si>
  <si>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</si>
  <si>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</si>
  <si>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</si>
  <si>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</si>
  <si>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</si>
  <si>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</si>
  <si>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</si>
  <si>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</si>
  <si>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</si>
  <si>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</si>
  <si>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</si>
  <si>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</si>
  <si>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</si>
  <si>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</si>
  <si>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</si>
  <si>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</si>
  <si>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</si>
  <si>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</si>
  <si>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</si>
  <si>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</si>
  <si>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</si>
  <si>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</si>
  <si>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</si>
  <si>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</si>
  <si>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</si>
  <si>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</si>
  <si>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</si>
  <si>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</si>
  <si>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</si>
  <si>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</si>
  <si>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</si>
  <si>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</si>
  <si>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</si>
  <si>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</si>
  <si>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</si>
  <si>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</si>
  <si>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</si>
  <si>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</si>
  <si>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</si>
  <si>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</si>
  <si>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</si>
  <si>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</si>
  <si>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</si>
  <si>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</si>
  <si>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</si>
  <si>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</si>
  <si>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</si>
  <si>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</si>
  <si>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</si>
  <si>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</si>
  <si>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</si>
  <si>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</si>
  <si>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</si>
  <si>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</si>
  <si>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</si>
  <si>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</si>
  <si>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</si>
  <si>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</si>
  <si>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</si>
  <si>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</si>
  <si>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</si>
  <si>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</si>
  <si>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</si>
  <si>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</si>
  <si>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</si>
  <si>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</si>
  <si>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</si>
  <si>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</si>
  <si>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</si>
  <si>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</si>
  <si>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</si>
  <si>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</si>
  <si>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</si>
  <si>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</si>
  <si>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</si>
  <si>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</si>
  <si>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</si>
  <si>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</si>
  <si>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</si>
  <si>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</si>
  <si>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</si>
  <si>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</si>
  <si>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</si>
  <si>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</si>
  <si>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</si>
  <si>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</si>
  <si>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</si>
  <si>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</si>
  <si>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</si>
  <si>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</si>
  <si>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</si>
  <si>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</si>
  <si>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</si>
  <si>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</si>
  <si>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</si>
  <si>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</si>
  <si>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</si>
  <si>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</si>
  <si>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</si>
  <si>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</si>
  <si>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</si>
  <si>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</si>
  <si>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</si>
  <si>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</si>
  <si>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</si>
  <si>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</si>
  <si>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</si>
  <si>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</si>
  <si>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</si>
  <si>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</si>
  <si>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</si>
  <si>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</si>
  <si>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</si>
  <si>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</si>
  <si>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</si>
  <si>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</si>
  <si>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</si>
  <si>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</si>
  <si>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</si>
  <si>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</si>
  <si>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</si>
  <si>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</si>
  <si>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</si>
  <si>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</si>
  <si>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</si>
  <si>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</si>
  <si>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</si>
  <si>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</si>
  <si>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</si>
  <si>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</si>
  <si>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</si>
  <si>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</si>
  <si>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</si>
  <si>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</si>
  <si>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</si>
  <si>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</si>
  <si>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</si>
  <si>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</si>
  <si>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</si>
  <si>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</si>
  <si>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</si>
  <si>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</si>
  <si>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</si>
  <si>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</si>
  <si>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</si>
  <si>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</si>
  <si>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</si>
  <si>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</si>
  <si>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</si>
  <si>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</si>
  <si>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</si>
  <si>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</si>
  <si>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</si>
  <si>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</si>
  <si>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</si>
  <si>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</si>
  <si>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</si>
  <si>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</si>
  <si>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</si>
  <si>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</si>
  <si>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</si>
  <si>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</si>
  <si>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</si>
  <si>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</si>
  <si>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</si>
  <si>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</si>
  <si>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</si>
  <si>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</si>
  <si>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</si>
  <si>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</si>
  <si>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</si>
  <si>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</si>
  <si>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</si>
  <si>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</si>
  <si>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</si>
  <si>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</si>
  <si>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</si>
  <si>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</si>
  <si>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</si>
  <si>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</si>
  <si>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</si>
  <si>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</si>
  <si>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</si>
  <si>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</si>
  <si>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</si>
  <si>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</si>
  <si>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</si>
  <si>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</si>
  <si>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</si>
  <si>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</si>
  <si>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</si>
  <si>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</si>
  <si>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</si>
  <si>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</si>
  <si>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</si>
  <si>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</si>
  <si>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</si>
  <si>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</si>
  <si>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</si>
  <si>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</si>
  <si>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</si>
  <si>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</si>
  <si>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</si>
  <si>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</si>
  <si>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</si>
  <si>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</si>
  <si>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</si>
  <si>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</si>
  <si>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</si>
  <si>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</si>
  <si>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</si>
  <si>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</si>
  <si>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</si>
  <si>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</si>
  <si>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</si>
  <si>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</si>
  <si>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</si>
  <si>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</si>
  <si>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</si>
  <si>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</si>
  <si>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</si>
  <si>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</si>
  <si>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</si>
  <si>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A</t>
  </si>
  <si>
    <t>B</t>
  </si>
  <si>
    <t>S 31 48 07.04863</t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</si>
  <si>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</si>
  <si>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</si>
  <si>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</si>
  <si>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</si>
  <si>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</si>
  <si>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</si>
  <si>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</si>
  <si>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</si>
  <si>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</si>
  <si>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</si>
  <si>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</si>
  <si>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</si>
  <si>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</si>
  <si>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</si>
  <si>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</si>
  <si>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S 31 48 21.35646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</si>
</sst>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4" fillId="0" borderId="0" xfId="0" applyFont="1" applyAlignment="1">
      <alignment vertic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164" fontId="14" fillId="0" borderId="0" xfId="5" applyNumberFormat="1"/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16" fillId="0" borderId="0" xfId="0" applyFont="1" applyAlignment="1">
      <alignment horizontal="center" wrapText="1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zoomScale="85" zoomScaleNormal="85" workbookViewId="0">
      <selection activeCell="U6" sqref="U6"/>
    </sheetView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60" t="str">
        <f t="shared" ref="I3:I34" si="5">datumlat(D3,E3,F3,A3)</f>
        <v>-31 48 07.06487</v>
      </c>
      <c r="J3" s="60" t="str">
        <f t="shared" ref="J3:J34" si="6">datumlong(D3,E3,F3,A3)</f>
        <v>115 53 06.94375</v>
      </c>
      <c r="K3" s="61">
        <f t="shared" ref="K3:K34" si="7">DatumPntScle(D3,E3,F3,A3)</f>
        <v>0.99973732494032375</v>
      </c>
      <c r="L3" s="62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3" t="str">
        <f t="shared" si="5"/>
        <v>-35 01 21.36837</v>
      </c>
      <c r="J4" s="63" t="str">
        <f t="shared" si="6"/>
        <v>117 54 27.49802</v>
      </c>
      <c r="K4" s="64">
        <f t="shared" si="7"/>
        <v>1.0000044606129772</v>
      </c>
      <c r="L4" s="65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6" t="str">
        <f t="shared" si="5"/>
        <v>-33 39 45.57088</v>
      </c>
      <c r="J5" s="66" t="str">
        <f t="shared" si="6"/>
        <v>115 21 41.73008</v>
      </c>
      <c r="K5" s="67">
        <f t="shared" si="7"/>
        <v>0.99999646558783428</v>
      </c>
      <c r="L5" s="68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6" t="str">
        <f t="shared" si="5"/>
        <v>-20 49 09.57157</v>
      </c>
      <c r="J6" s="66" t="str">
        <f t="shared" si="6"/>
        <v>115 23 39.66157</v>
      </c>
      <c r="K6" s="67">
        <f t="shared" si="7"/>
        <v>1.0000049890891283</v>
      </c>
      <c r="L6" s="68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6" t="str">
        <f t="shared" si="5"/>
        <v>-18 00 14.30101</v>
      </c>
      <c r="J7" s="66" t="str">
        <f t="shared" si="6"/>
        <v>122 12 32.74179</v>
      </c>
      <c r="K7" s="67">
        <f t="shared" si="7"/>
        <v>1.0000051192953217</v>
      </c>
      <c r="L7" s="68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6" t="str">
        <f t="shared" si="5"/>
        <v>-24 51 33.88264</v>
      </c>
      <c r="J8" s="66" t="str">
        <f t="shared" si="6"/>
        <v>113 41 05.40036</v>
      </c>
      <c r="K8" s="67">
        <f t="shared" si="7"/>
        <v>0.99999800161253793</v>
      </c>
      <c r="L8" s="68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6" t="str">
        <f t="shared" si="5"/>
        <v>-10 27 37.10201</v>
      </c>
      <c r="J9" s="66" t="str">
        <f t="shared" si="6"/>
        <v>105 41 28.21094</v>
      </c>
      <c r="K9" s="67">
        <f t="shared" si="7"/>
        <v>1.000025789111217</v>
      </c>
      <c r="L9" s="68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6" t="str">
        <f t="shared" si="5"/>
        <v>-12 11 18.03578</v>
      </c>
      <c r="J10" s="66" t="str">
        <f t="shared" si="6"/>
        <v>96 50 02.32078</v>
      </c>
      <c r="K10" s="67">
        <f t="shared" si="7"/>
        <v>0.99999411645658132</v>
      </c>
      <c r="L10" s="68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6" t="str">
        <f t="shared" si="5"/>
        <v>-33 56 22.68614</v>
      </c>
      <c r="J11" s="66" t="str">
        <f t="shared" si="6"/>
        <v>115 57 49.05725</v>
      </c>
      <c r="K11" s="67">
        <f t="shared" si="7"/>
        <v>1.0000190966522484</v>
      </c>
      <c r="L11" s="68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6" t="str">
        <f t="shared" si="5"/>
        <v>-33 22 12.21651</v>
      </c>
      <c r="J12" s="66" t="str">
        <f t="shared" si="6"/>
        <v>121 53 56.91197</v>
      </c>
      <c r="K12" s="67">
        <f t="shared" si="7"/>
        <v>1.0000055266734855</v>
      </c>
      <c r="L12" s="68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6" t="str">
        <f t="shared" si="5"/>
        <v>-21 58 34.93247</v>
      </c>
      <c r="J13" s="66" t="str">
        <f t="shared" si="6"/>
        <v>113 55 59.15980</v>
      </c>
      <c r="K13" s="67">
        <f t="shared" si="7"/>
        <v>1.0000047102235339</v>
      </c>
      <c r="L13" s="68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6" t="str">
        <f t="shared" si="5"/>
        <v>-28 46 46.20322</v>
      </c>
      <c r="J14" s="66" t="str">
        <f t="shared" si="6"/>
        <v>114 36 52.83602</v>
      </c>
      <c r="K14" s="67">
        <f t="shared" si="7"/>
        <v>1.0000063955430265</v>
      </c>
      <c r="L14" s="68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6" t="str">
        <f t="shared" si="5"/>
        <v>-30 50 44.42871</v>
      </c>
      <c r="J15" s="66" t="str">
        <f t="shared" si="6"/>
        <v>121 30 28.19991</v>
      </c>
      <c r="K15" s="67">
        <f t="shared" si="7"/>
        <v>1.0000494969234324</v>
      </c>
      <c r="L15" s="68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6" t="str">
        <f t="shared" si="5"/>
        <v>-30 17 56.14676</v>
      </c>
      <c r="J16" s="66" t="str">
        <f t="shared" si="6"/>
        <v>115 04 30.74372</v>
      </c>
      <c r="K16" s="67">
        <f t="shared" si="7"/>
        <v>1.0000041031859284</v>
      </c>
      <c r="L16" s="68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6" t="str">
        <f t="shared" si="5"/>
        <v>-27 16 20.94329</v>
      </c>
      <c r="J17" s="66" t="str">
        <f t="shared" si="6"/>
        <v>114 01 36.46503</v>
      </c>
      <c r="K17" s="67">
        <f t="shared" si="7"/>
        <v>1.0000240675036451</v>
      </c>
      <c r="L17" s="68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6" t="str">
        <f t="shared" si="5"/>
        <v>-20 44 13.02258</v>
      </c>
      <c r="J18" s="66" t="str">
        <f t="shared" si="6"/>
        <v>116 49 17.58104</v>
      </c>
      <c r="K18" s="67">
        <f t="shared" si="7"/>
        <v>1.0000005743755218</v>
      </c>
      <c r="L18" s="68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6" t="str">
        <f t="shared" si="5"/>
        <v>-15 53 18.37443</v>
      </c>
      <c r="J19" s="66" t="str">
        <f t="shared" si="6"/>
        <v>128 47 23.52056</v>
      </c>
      <c r="K19" s="67">
        <f t="shared" si="7"/>
        <v>1.0000167253309411</v>
      </c>
      <c r="L19" s="68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6" t="str">
        <f t="shared" si="5"/>
        <v>-31 01 17.61669</v>
      </c>
      <c r="J20" s="66" t="str">
        <f t="shared" si="6"/>
        <v>115 19 57.10387</v>
      </c>
      <c r="K20" s="67">
        <f t="shared" si="7"/>
        <v>1.0000017010013669</v>
      </c>
      <c r="L20" s="68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6" t="str">
        <f t="shared" si="5"/>
        <v>-33 58 29.03771</v>
      </c>
      <c r="J21" s="66" t="str">
        <f t="shared" si="6"/>
        <v>115 03 52.37757</v>
      </c>
      <c r="K21" s="67">
        <f t="shared" si="7"/>
        <v>1.0000065973401875</v>
      </c>
      <c r="L21" s="68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6" t="str">
        <f t="shared" si="5"/>
        <v>-31 48 07.06434</v>
      </c>
      <c r="J22" s="66" t="str">
        <f t="shared" si="6"/>
        <v>115 53 06.94332</v>
      </c>
      <c r="K22" s="67">
        <f t="shared" si="7"/>
        <v>0.9999995801549334</v>
      </c>
      <c r="L22" s="68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6" t="str">
        <f t="shared" si="5"/>
        <v>-20 23 32.82462</v>
      </c>
      <c r="J23" s="66" t="str">
        <f t="shared" si="6"/>
        <v>118 30 54.97558</v>
      </c>
      <c r="K23" s="67">
        <f t="shared" si="7"/>
        <v>1.0000023163554836</v>
      </c>
      <c r="L23" s="68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60" t="str">
        <f t="shared" si="5"/>
        <v>-31 48 07.09684</v>
      </c>
      <c r="J24" s="60" t="str">
        <f t="shared" si="6"/>
        <v>115 53 06.88632</v>
      </c>
      <c r="K24" s="61">
        <f t="shared" si="7"/>
        <v>0.99973732884458788</v>
      </c>
      <c r="L24" s="62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6" t="str">
        <f t="shared" si="5"/>
        <v>-35 01 21.40083</v>
      </c>
      <c r="J25" s="66" t="str">
        <f t="shared" si="6"/>
        <v>117 54 27.43886</v>
      </c>
      <c r="K25" s="67">
        <f t="shared" si="7"/>
        <v>1.000004460531027</v>
      </c>
      <c r="L25" s="68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6" t="str">
        <f t="shared" si="5"/>
        <v>-33 39 45.60330</v>
      </c>
      <c r="J26" s="66" t="str">
        <f t="shared" si="6"/>
        <v>115 21 41.67183</v>
      </c>
      <c r="K26" s="67">
        <f t="shared" si="7"/>
        <v>0.99999646583385027</v>
      </c>
      <c r="L26" s="68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6" t="str">
        <f t="shared" si="5"/>
        <v>-20 49 09.60413</v>
      </c>
      <c r="J27" s="66" t="str">
        <f t="shared" si="6"/>
        <v>115 23 39.60973</v>
      </c>
      <c r="K27" s="67">
        <f t="shared" si="7"/>
        <v>1.0000049885323543</v>
      </c>
      <c r="L27" s="68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6" t="str">
        <f t="shared" si="5"/>
        <v>-18 00 14.33350</v>
      </c>
      <c r="J28" s="66" t="str">
        <f t="shared" si="6"/>
        <v>122 12 32.69078</v>
      </c>
      <c r="K28" s="67">
        <f t="shared" si="7"/>
        <v>1.0000051197831048</v>
      </c>
      <c r="L28" s="68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6" t="str">
        <f t="shared" si="5"/>
        <v>-24 51 33.91515</v>
      </c>
      <c r="J29" s="66" t="str">
        <f t="shared" si="6"/>
        <v>113 41 05.34693</v>
      </c>
      <c r="K29" s="67">
        <f t="shared" si="7"/>
        <v>0.99999800154456742</v>
      </c>
      <c r="L29" s="68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6" t="str">
        <f t="shared" si="5"/>
        <v>-10 27 37.13457</v>
      </c>
      <c r="J30" s="66" t="str">
        <f t="shared" si="6"/>
        <v>105 41 28.16162</v>
      </c>
      <c r="K30" s="67">
        <f t="shared" si="7"/>
        <v>1.0000257888424182</v>
      </c>
      <c r="L30" s="68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6" t="str">
        <f t="shared" si="5"/>
        <v>-12 11 18.06832</v>
      </c>
      <c r="J31" s="66" t="str">
        <f t="shared" si="6"/>
        <v>96 50 02.27115</v>
      </c>
      <c r="K31" s="67">
        <f t="shared" si="7"/>
        <v>0.99999411662224358</v>
      </c>
      <c r="L31" s="68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6" t="str">
        <f t="shared" si="5"/>
        <v>-33 56 22.71861</v>
      </c>
      <c r="J32" s="66" t="str">
        <f t="shared" si="6"/>
        <v>115 57 48.99885</v>
      </c>
      <c r="K32" s="67">
        <f t="shared" si="7"/>
        <v>1.0000190965487414</v>
      </c>
      <c r="L32" s="68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6" t="str">
        <f t="shared" si="5"/>
        <v>-33 22 12.24897</v>
      </c>
      <c r="J33" s="66" t="str">
        <f t="shared" si="6"/>
        <v>121 53 56.85395</v>
      </c>
      <c r="K33" s="67">
        <f t="shared" si="7"/>
        <v>1.0000055266191219</v>
      </c>
      <c r="L33" s="68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6" t="str">
        <f t="shared" si="5"/>
        <v>-21 58 34.96494</v>
      </c>
      <c r="J34" s="66" t="str">
        <f t="shared" si="6"/>
        <v>113 55 59.10748</v>
      </c>
      <c r="K34" s="67">
        <f t="shared" si="7"/>
        <v>1.0000047107347156</v>
      </c>
      <c r="L34" s="68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6" t="str">
        <f t="shared" ref="I35:I62" si="14">datumlat(D35,E35,F35,A35)</f>
        <v>-28 46 46.23571</v>
      </c>
      <c r="J35" s="66" t="str">
        <f t="shared" ref="J35:J62" si="15">datumlong(D35,E35,F35,A35)</f>
        <v>114 36 52.78073</v>
      </c>
      <c r="K35" s="67">
        <f t="shared" ref="K35:K62" si="16">DatumPntScle(D35,E35,F35,A35)</f>
        <v>1.0000063954298013</v>
      </c>
      <c r="L35" s="68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6" t="str">
        <f t="shared" si="14"/>
        <v>-30 50 44.46118</v>
      </c>
      <c r="J36" s="66" t="str">
        <f t="shared" si="15"/>
        <v>121 30 28.14346</v>
      </c>
      <c r="K36" s="67">
        <f t="shared" si="16"/>
        <v>1.0000494968957403</v>
      </c>
      <c r="L36" s="68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6" t="str">
        <f t="shared" si="14"/>
        <v>-30 17 56.17927</v>
      </c>
      <c r="J37" s="66" t="str">
        <f t="shared" si="15"/>
        <v>115 04 30.68762</v>
      </c>
      <c r="K37" s="67">
        <f t="shared" si="16"/>
        <v>1.000004102859031</v>
      </c>
      <c r="L37" s="68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6" t="str">
        <f t="shared" si="14"/>
        <v>-27 16 20.97566</v>
      </c>
      <c r="J38" s="66" t="str">
        <f t="shared" si="15"/>
        <v>114 01 36.41041</v>
      </c>
      <c r="K38" s="67">
        <f t="shared" si="16"/>
        <v>1.0000240685610091</v>
      </c>
      <c r="L38" s="68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6" t="str">
        <f t="shared" si="14"/>
        <v>-20 44 13.05506</v>
      </c>
      <c r="J39" s="66" t="str">
        <f t="shared" si="15"/>
        <v>116 49 17.52917</v>
      </c>
      <c r="K39" s="67">
        <f t="shared" si="16"/>
        <v>1.0000005748069882</v>
      </c>
      <c r="L39" s="68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6" t="str">
        <f t="shared" si="14"/>
        <v>-15 53 18.40697</v>
      </c>
      <c r="J40" s="66" t="str">
        <f t="shared" si="15"/>
        <v>128 47 23.47014</v>
      </c>
      <c r="K40" s="67">
        <f t="shared" si="16"/>
        <v>1.0000167251726273</v>
      </c>
      <c r="L40" s="68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6" t="str">
        <f t="shared" si="14"/>
        <v>-31 01 17.64914</v>
      </c>
      <c r="J41" s="66" t="str">
        <f t="shared" si="15"/>
        <v>115 19 57.04730</v>
      </c>
      <c r="K41" s="67">
        <f t="shared" si="16"/>
        <v>1.0000017011219715</v>
      </c>
      <c r="L41" s="68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6" t="str">
        <f t="shared" si="14"/>
        <v>-33 58 29.07011</v>
      </c>
      <c r="J42" s="66" t="str">
        <f t="shared" si="15"/>
        <v>115 03 52.31910</v>
      </c>
      <c r="K42" s="67">
        <f t="shared" si="16"/>
        <v>1.000006597689044</v>
      </c>
      <c r="L42" s="68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6" t="str">
        <f t="shared" si="14"/>
        <v>-31 48 07.09684</v>
      </c>
      <c r="J43" s="66" t="str">
        <f t="shared" si="15"/>
        <v>115 53 06.88632</v>
      </c>
      <c r="K43" s="67">
        <f t="shared" si="16"/>
        <v>0.99999957991473221</v>
      </c>
      <c r="L43" s="68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9" t="str">
        <f t="shared" si="14"/>
        <v>-20 23 32.85711</v>
      </c>
      <c r="J44" s="69" t="str">
        <f t="shared" si="15"/>
        <v>118 30 54.92383</v>
      </c>
      <c r="K44" s="70">
        <f t="shared" si="16"/>
        <v>1.000002316683299</v>
      </c>
      <c r="L44" s="71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60" t="str">
        <f t="shared" si="14"/>
        <v>-35 02 04.28500</v>
      </c>
      <c r="J45" s="60" t="str">
        <f t="shared" si="15"/>
        <v>117 24 29.04796</v>
      </c>
      <c r="K45" s="61">
        <f t="shared" si="16"/>
        <v>0.99961707426259239</v>
      </c>
      <c r="L45" s="62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3" t="str">
        <f t="shared" si="14"/>
        <v>-35 01 21.40083</v>
      </c>
      <c r="J46" s="63" t="str">
        <f t="shared" si="15"/>
        <v>117 54 27.43886</v>
      </c>
      <c r="K46" s="64">
        <f t="shared" si="16"/>
        <v>1.0000120083940511</v>
      </c>
      <c r="L46" s="65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6" t="str">
        <f t="shared" si="14"/>
        <v>-33 39 45.60330</v>
      </c>
      <c r="J47" s="66" t="str">
        <f t="shared" si="15"/>
        <v>115 21 41.67183</v>
      </c>
      <c r="K47" s="67">
        <f t="shared" si="16"/>
        <v>1.00000754583996</v>
      </c>
      <c r="L47" s="68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6" t="str">
        <f t="shared" si="14"/>
        <v>-18 00 14.33350</v>
      </c>
      <c r="J48" s="66" t="str">
        <f t="shared" si="15"/>
        <v>122 12 32.69078</v>
      </c>
      <c r="K48" s="67">
        <f t="shared" si="16"/>
        <v>1.0000051397834631</v>
      </c>
      <c r="L48" s="68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6" t="str">
        <f t="shared" si="14"/>
        <v>-24 51 33.91515</v>
      </c>
      <c r="J49" s="66" t="str">
        <f t="shared" si="15"/>
        <v>113 41 05.34693</v>
      </c>
      <c r="K49" s="67">
        <f t="shared" si="16"/>
        <v>1.0000050415448656</v>
      </c>
      <c r="L49" s="68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6" t="str">
        <f t="shared" si="14"/>
        <v>-10 27 37.13457</v>
      </c>
      <c r="J50" s="66" t="str">
        <f t="shared" si="15"/>
        <v>105 41 28.16162</v>
      </c>
      <c r="K50" s="67">
        <f t="shared" si="16"/>
        <v>1.0000246488417808</v>
      </c>
      <c r="L50" s="68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6" t="str">
        <f t="shared" si="14"/>
        <v>-12 11 18.06832</v>
      </c>
      <c r="J51" s="66" t="str">
        <f t="shared" si="15"/>
        <v>96 50 02.27115</v>
      </c>
      <c r="K51" s="67">
        <f t="shared" si="16"/>
        <v>1.0000002466237938</v>
      </c>
      <c r="L51" s="68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6" t="str">
        <f t="shared" si="14"/>
        <v>-33 22 12.24897</v>
      </c>
      <c r="J52" s="66" t="str">
        <f t="shared" si="15"/>
        <v>121 53 56.85395</v>
      </c>
      <c r="K52" s="67">
        <f t="shared" si="16"/>
        <v>1.000012026619298</v>
      </c>
      <c r="L52" s="68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6" t="str">
        <f t="shared" si="14"/>
        <v>-21 58 34.96494</v>
      </c>
      <c r="J53" s="66" t="str">
        <f t="shared" si="15"/>
        <v>113 55 59.10748</v>
      </c>
      <c r="K53" s="67">
        <f t="shared" si="16"/>
        <v>1.0000113507506538</v>
      </c>
      <c r="L53" s="68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6" t="str">
        <f t="shared" si="14"/>
        <v>-28 46 46.23571</v>
      </c>
      <c r="J54" s="66" t="str">
        <f t="shared" si="15"/>
        <v>114 36 52.78073</v>
      </c>
      <c r="K54" s="67">
        <f t="shared" si="16"/>
        <v>1.0000163180926043</v>
      </c>
      <c r="L54" s="68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6" t="str">
        <f t="shared" si="14"/>
        <v>-30 50 44.46118</v>
      </c>
      <c r="J55" s="66" t="str">
        <f t="shared" si="15"/>
        <v>121 30 28.14346</v>
      </c>
      <c r="K55" s="67">
        <f t="shared" si="16"/>
        <v>1.0000573771853924</v>
      </c>
      <c r="L55" s="68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6" t="str">
        <f t="shared" si="14"/>
        <v>-30 17 56.17927</v>
      </c>
      <c r="J56" s="66" t="str">
        <f t="shared" si="15"/>
        <v>115 04 30.68762</v>
      </c>
      <c r="K56" s="67">
        <f t="shared" si="16"/>
        <v>1.0000109628657532</v>
      </c>
      <c r="L56" s="68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6" t="str">
        <f t="shared" si="14"/>
        <v>-20 44 13.05506</v>
      </c>
      <c r="J57" s="66" t="str">
        <f t="shared" si="15"/>
        <v>116 49 17.52917</v>
      </c>
      <c r="K57" s="67">
        <f t="shared" si="16"/>
        <v>1.0000056748157686</v>
      </c>
      <c r="L57" s="68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6" t="str">
        <f t="shared" si="14"/>
        <v>-15 53 18.40697</v>
      </c>
      <c r="J58" s="66" t="str">
        <f t="shared" si="15"/>
        <v>128 47 23.47014</v>
      </c>
      <c r="K58" s="67">
        <f t="shared" si="16"/>
        <v>1.0000142251720983</v>
      </c>
      <c r="L58" s="68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6" t="str">
        <f t="shared" si="14"/>
        <v>-31 01 17.64914</v>
      </c>
      <c r="J59" s="66" t="str">
        <f t="shared" si="15"/>
        <v>115 19 57.04730</v>
      </c>
      <c r="K59" s="67">
        <f t="shared" si="16"/>
        <v>1.0000081311228304</v>
      </c>
      <c r="L59" s="68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6" t="str">
        <f t="shared" si="14"/>
        <v>-33 58 29.07011</v>
      </c>
      <c r="J60" s="66" t="str">
        <f t="shared" si="15"/>
        <v>115 03 52.31910</v>
      </c>
      <c r="K60" s="67">
        <f t="shared" si="16"/>
        <v>1.0000141323709175</v>
      </c>
      <c r="L60" s="68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6" t="str">
        <f t="shared" si="14"/>
        <v>-31 48 07.09684</v>
      </c>
      <c r="J61" s="66" t="str">
        <f t="shared" si="15"/>
        <v>115 53 06.88632</v>
      </c>
      <c r="K61" s="67">
        <f t="shared" si="16"/>
        <v>1.0000062979175621</v>
      </c>
      <c r="L61" s="68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6" t="str">
        <f t="shared" si="14"/>
        <v>-20 23 32.85711</v>
      </c>
      <c r="J62" s="66" t="str">
        <f t="shared" si="15"/>
        <v>118 30 54.92383</v>
      </c>
      <c r="K62" s="67">
        <f t="shared" si="16"/>
        <v>1.000004623836694</v>
      </c>
      <c r="L62" s="68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>
      <selection activeCell="P1" sqref="P1"/>
    </sheetView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7" t="str">
        <f t="shared" ref="I3:I66" si="5">datumlat(D3,E3,F3,A3)</f>
        <v>-31 32 30.16061</v>
      </c>
      <c r="J3" s="57" t="str">
        <f t="shared" ref="J3:J66" si="6">datumlong(D3,E3,F3,A3)</f>
        <v>116 26 04.50344</v>
      </c>
      <c r="K3" s="58">
        <f t="shared" ref="K3:K66" si="7">DatumPntScle(D3,E3,F3,A3)</f>
        <v>1.0000317756914199</v>
      </c>
      <c r="L3" s="59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4" t="str">
        <f t="shared" si="5"/>
        <v>-27 50 04.94948</v>
      </c>
      <c r="J4" s="54" t="str">
        <f t="shared" si="6"/>
        <v>114 43 34.31363</v>
      </c>
      <c r="K4" s="55">
        <f t="shared" si="7"/>
        <v>1.0000279438535875</v>
      </c>
      <c r="L4" s="56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4" t="str">
        <f t="shared" si="5"/>
        <v>-28 38 38.55980</v>
      </c>
      <c r="J5" s="54" t="str">
        <f t="shared" si="6"/>
        <v>115 17 42.91508</v>
      </c>
      <c r="K5" s="55">
        <f t="shared" si="7"/>
        <v>1.0000310414971871</v>
      </c>
      <c r="L5" s="56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4" t="str">
        <f t="shared" si="5"/>
        <v>-34 08 32.79757</v>
      </c>
      <c r="J6" s="54" t="str">
        <f t="shared" si="6"/>
        <v>118 12 23.35900</v>
      </c>
      <c r="K6" s="55">
        <f t="shared" si="7"/>
        <v>1.0000408723914107</v>
      </c>
      <c r="L6" s="56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4" t="str">
        <f t="shared" si="5"/>
        <v>-28 07 45.58800</v>
      </c>
      <c r="J7" s="54" t="str">
        <f t="shared" si="6"/>
        <v>119 03 20.29468</v>
      </c>
      <c r="K7" s="55">
        <f t="shared" si="7"/>
        <v>1.0000815324397301</v>
      </c>
      <c r="L7" s="56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4" t="str">
        <f t="shared" si="5"/>
        <v>-31 52 06.52613</v>
      </c>
      <c r="J8" s="54" t="str">
        <f t="shared" si="6"/>
        <v>116 48 58.51321</v>
      </c>
      <c r="K8" s="55">
        <f t="shared" si="7"/>
        <v>1.0000279929193416</v>
      </c>
      <c r="L8" s="56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4" t="str">
        <f t="shared" si="5"/>
        <v>-26 41 17.70698</v>
      </c>
      <c r="J9" s="54" t="str">
        <f t="shared" si="6"/>
        <v>126 08 02.16604</v>
      </c>
      <c r="K9" s="55">
        <f t="shared" si="7"/>
        <v>1.0000607634649323</v>
      </c>
      <c r="L9" s="56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4" t="str">
        <f t="shared" si="5"/>
        <v>-32 25 03.47765</v>
      </c>
      <c r="J10" s="54" t="str">
        <f t="shared" si="6"/>
        <v>123 53 31.76264</v>
      </c>
      <c r="K10" s="55">
        <f t="shared" si="7"/>
        <v>1.0000190184897433</v>
      </c>
      <c r="L10" s="56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4" t="str">
        <f t="shared" si="5"/>
        <v>-33 38 42.74045</v>
      </c>
      <c r="J11" s="54" t="str">
        <f t="shared" si="6"/>
        <v>115 26 22.75818</v>
      </c>
      <c r="K11" s="55">
        <f t="shared" si="7"/>
        <v>0.9999959242380777</v>
      </c>
      <c r="L11" s="56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4" t="str">
        <f t="shared" si="5"/>
        <v>-22 57 14.13709</v>
      </c>
      <c r="J12" s="54" t="str">
        <f t="shared" si="6"/>
        <v>117 56 03.29824</v>
      </c>
      <c r="K12" s="55">
        <f t="shared" si="7"/>
        <v>1.0001015641547761</v>
      </c>
      <c r="L12" s="56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4" t="str">
        <f t="shared" si="5"/>
        <v>-18 41 17.80217</v>
      </c>
      <c r="J13" s="54" t="str">
        <f t="shared" si="6"/>
        <v>121 57 25.02569</v>
      </c>
      <c r="K13" s="55">
        <f t="shared" si="7"/>
        <v>1.0000070598775124</v>
      </c>
      <c r="L13" s="56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4" t="str">
        <f t="shared" si="5"/>
        <v>-18 53 21.00908</v>
      </c>
      <c r="J14" s="54" t="str">
        <f t="shared" si="6"/>
        <v>126 08 05.15231</v>
      </c>
      <c r="K14" s="55">
        <f t="shared" si="7"/>
        <v>1.0000386145414313</v>
      </c>
      <c r="L14" s="56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4" t="str">
        <f t="shared" si="5"/>
        <v>-26 46 03.33703</v>
      </c>
      <c r="J15" s="54" t="str">
        <f t="shared" si="6"/>
        <v>116 35 26.15482</v>
      </c>
      <c r="K15" s="55">
        <f t="shared" si="7"/>
        <v>1.0000546564435009</v>
      </c>
      <c r="L15" s="56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4" t="str">
        <f t="shared" si="5"/>
        <v>-31 10 50.25562</v>
      </c>
      <c r="J16" s="54" t="str">
        <f t="shared" si="6"/>
        <v>120 21 49.80283</v>
      </c>
      <c r="K16" s="55">
        <f t="shared" si="7"/>
        <v>1.0000645960557943</v>
      </c>
      <c r="L16" s="56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4" t="str">
        <f t="shared" si="5"/>
        <v>-29 14 46.60620</v>
      </c>
      <c r="J17" s="54" t="str">
        <f t="shared" si="6"/>
        <v>116 11 23.99770</v>
      </c>
      <c r="K17" s="55">
        <f t="shared" si="7"/>
        <v>1.0000423617304526</v>
      </c>
      <c r="L17" s="56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4" t="str">
        <f t="shared" si="5"/>
        <v>-34 23 43.26994</v>
      </c>
      <c r="J18" s="54" t="str">
        <f t="shared" si="6"/>
        <v>118 45 14.72918</v>
      </c>
      <c r="K18" s="55">
        <f t="shared" si="7"/>
        <v>1.0000110017439965</v>
      </c>
      <c r="L18" s="56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4" t="str">
        <f t="shared" si="5"/>
        <v>-33 41 27.38944</v>
      </c>
      <c r="J19" s="54" t="str">
        <f t="shared" si="6"/>
        <v>116 11 31.02893</v>
      </c>
      <c r="K19" s="55">
        <f t="shared" si="7"/>
        <v>1.000034436451916</v>
      </c>
      <c r="L19" s="56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4" t="str">
        <f t="shared" si="5"/>
        <v>-32 18 52.89260</v>
      </c>
      <c r="J20" s="54" t="str">
        <f t="shared" si="6"/>
        <v>117 02 55.63352</v>
      </c>
      <c r="K20" s="55">
        <f t="shared" si="7"/>
        <v>1.0000415801834874</v>
      </c>
      <c r="L20" s="56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4" t="str">
        <f t="shared" si="5"/>
        <v>-17 55 34.19951</v>
      </c>
      <c r="J21" s="54" t="str">
        <f t="shared" si="6"/>
        <v>122 20 59.43962</v>
      </c>
      <c r="K21" s="55">
        <f t="shared" si="7"/>
        <v>1.0000030178172743</v>
      </c>
      <c r="L21" s="56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4" t="str">
        <f t="shared" si="5"/>
        <v>-32 05 51.42361</v>
      </c>
      <c r="J22" s="54" t="str">
        <f t="shared" si="6"/>
        <v>122 09 09.91948</v>
      </c>
      <c r="K22" s="55">
        <f t="shared" si="7"/>
        <v>1.0000431930529985</v>
      </c>
      <c r="L22" s="56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4" t="str">
        <f t="shared" si="5"/>
        <v>-31 05 46.64260</v>
      </c>
      <c r="J23" s="54" t="str">
        <f t="shared" si="6"/>
        <v>120 54 46.14214</v>
      </c>
      <c r="K23" s="55">
        <f t="shared" si="7"/>
        <v>1.0000625890560781</v>
      </c>
      <c r="L23" s="56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4" t="str">
        <f t="shared" si="5"/>
        <v>-17 17 59.52048</v>
      </c>
      <c r="J24" s="54" t="str">
        <f t="shared" si="6"/>
        <v>122 29 16.98191</v>
      </c>
      <c r="K24" s="55">
        <f t="shared" si="7"/>
        <v>1.0000264337926204</v>
      </c>
      <c r="L24" s="56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4" t="str">
        <f t="shared" si="5"/>
        <v>-28 05 58.19424</v>
      </c>
      <c r="J25" s="54" t="str">
        <f t="shared" si="6"/>
        <v>118 24 09.84254</v>
      </c>
      <c r="K25" s="55">
        <f t="shared" si="7"/>
        <v>1.0000704366525774</v>
      </c>
      <c r="L25" s="56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4" t="str">
        <f t="shared" si="5"/>
        <v>-22 58 28.36081</v>
      </c>
      <c r="J26" s="54" t="str">
        <f t="shared" si="6"/>
        <v>117 01 18.46240</v>
      </c>
      <c r="K26" s="55">
        <f t="shared" si="7"/>
        <v>1.0000506516814704</v>
      </c>
      <c r="L26" s="56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4" t="str">
        <f t="shared" si="5"/>
        <v>-22 09 04.90381</v>
      </c>
      <c r="J27" s="54" t="str">
        <f t="shared" si="6"/>
        <v>118 51 36.85090</v>
      </c>
      <c r="K27" s="55">
        <f t="shared" si="7"/>
        <v>1.0000666304759362</v>
      </c>
      <c r="L27" s="56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4" t="str">
        <f t="shared" si="5"/>
        <v>-21 32 26.05193</v>
      </c>
      <c r="J28" s="54" t="str">
        <f t="shared" si="6"/>
        <v>117 20 09.36373</v>
      </c>
      <c r="K28" s="55">
        <f t="shared" si="7"/>
        <v>1.0000460408967591</v>
      </c>
      <c r="L28" s="56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4" t="str">
        <f t="shared" si="5"/>
        <v>-30 01 08.31659</v>
      </c>
      <c r="J29" s="54" t="str">
        <f t="shared" si="6"/>
        <v>115 55 19.60244</v>
      </c>
      <c r="K29" s="55">
        <f t="shared" si="7"/>
        <v>1.0000350434028213</v>
      </c>
      <c r="L29" s="56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4" t="str">
        <f t="shared" si="5"/>
        <v>-32 22 40.93284</v>
      </c>
      <c r="J30" s="54" t="str">
        <f t="shared" si="6"/>
        <v>117 35 16.12244</v>
      </c>
      <c r="K30" s="55">
        <f t="shared" si="7"/>
        <v>1.0000407021893492</v>
      </c>
      <c r="L30" s="56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4" t="str">
        <f t="shared" si="5"/>
        <v>-28 14 45.69922</v>
      </c>
      <c r="J31" s="54" t="str">
        <f t="shared" si="6"/>
        <v>122 43 09.15838</v>
      </c>
      <c r="K31" s="55">
        <f t="shared" si="7"/>
        <v>1.0000770730067521</v>
      </c>
      <c r="L31" s="56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4" t="str">
        <f t="shared" si="5"/>
        <v>-33 43 48.14537</v>
      </c>
      <c r="J32" s="54" t="str">
        <f t="shared" si="6"/>
        <v>117 31 27.32092</v>
      </c>
      <c r="K32" s="55">
        <f t="shared" si="7"/>
        <v>1.0000358260959379</v>
      </c>
      <c r="L32" s="56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4" t="str">
        <f t="shared" si="5"/>
        <v>-27 39 45.26053</v>
      </c>
      <c r="J33" s="54" t="str">
        <f t="shared" si="6"/>
        <v>117 55 57.97348</v>
      </c>
      <c r="K33" s="55">
        <f t="shared" si="7"/>
        <v>1.0000620696468641</v>
      </c>
      <c r="L33" s="56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4" t="str">
        <f t="shared" si="5"/>
        <v>-31 56 38.43388</v>
      </c>
      <c r="J34" s="54" t="str">
        <f t="shared" si="6"/>
        <v>123 08 06.30312</v>
      </c>
      <c r="K34" s="55">
        <f t="shared" si="7"/>
        <v>1.0000444842300309</v>
      </c>
      <c r="L34" s="56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4" t="str">
        <f t="shared" si="5"/>
        <v>-30 47 17.85844</v>
      </c>
      <c r="J35" s="54" t="str">
        <f t="shared" si="6"/>
        <v>115 37 39.26266</v>
      </c>
      <c r="K35" s="55">
        <f t="shared" si="7"/>
        <v>1.0000320507478446</v>
      </c>
      <c r="L35" s="56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4" t="str">
        <f t="shared" si="5"/>
        <v>-27 55 10.37532</v>
      </c>
      <c r="J36" s="54" t="str">
        <f t="shared" si="6"/>
        <v>120 04 25.40723</v>
      </c>
      <c r="K36" s="55">
        <f t="shared" si="7"/>
        <v>1.0000661673807731</v>
      </c>
      <c r="L36" s="56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4" t="str">
        <f t="shared" si="5"/>
        <v>-17 33 06.35134</v>
      </c>
      <c r="J37" s="54" t="str">
        <f t="shared" si="6"/>
        <v>123 42 31.30675</v>
      </c>
      <c r="K37" s="55">
        <f t="shared" si="7"/>
        <v>1.0000040196130087</v>
      </c>
      <c r="L37" s="56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4" t="str">
        <f t="shared" si="5"/>
        <v>-24 53 27.92720</v>
      </c>
      <c r="J38" s="54" t="str">
        <f t="shared" si="6"/>
        <v>129 09 35.63118</v>
      </c>
      <c r="K38" s="55">
        <f t="shared" si="7"/>
        <v>1.0001001332712571</v>
      </c>
      <c r="L38" s="56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4" t="str">
        <f t="shared" si="5"/>
        <v>-26 14 14.02501</v>
      </c>
      <c r="J39" s="54" t="str">
        <f t="shared" si="6"/>
        <v>119 30 48.53214</v>
      </c>
      <c r="K39" s="55">
        <f t="shared" si="7"/>
        <v>1.0000841323934377</v>
      </c>
      <c r="L39" s="56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4" t="str">
        <f t="shared" si="5"/>
        <v>-30 44 35.07328</v>
      </c>
      <c r="J40" s="54" t="str">
        <f t="shared" si="6"/>
        <v>116 56 13.70926</v>
      </c>
      <c r="K40" s="55">
        <f t="shared" si="7"/>
        <v>1.000041948635449</v>
      </c>
      <c r="L40" s="56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4" t="str">
        <f t="shared" si="5"/>
        <v>-15 35 26.83306</v>
      </c>
      <c r="J41" s="54" t="str">
        <f t="shared" si="6"/>
        <v>127 48 00.91724</v>
      </c>
      <c r="K41" s="55">
        <f t="shared" si="7"/>
        <v>1.0000248700092309</v>
      </c>
      <c r="L41" s="56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4" t="str">
        <f t="shared" si="5"/>
        <v>-34 46 55.34846</v>
      </c>
      <c r="J42" s="54" t="str">
        <f t="shared" si="6"/>
        <v>118 20 06.41126</v>
      </c>
      <c r="K42" s="55">
        <f t="shared" si="7"/>
        <v>1.0000127103273524</v>
      </c>
      <c r="L42" s="56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4" t="str">
        <f t="shared" si="5"/>
        <v>-21 07 08.03230</v>
      </c>
      <c r="J43" s="54" t="str">
        <f t="shared" si="6"/>
        <v>120 14 56.03694</v>
      </c>
      <c r="K43" s="55">
        <f t="shared" si="7"/>
        <v>1.0000415087852073</v>
      </c>
      <c r="L43" s="56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4" t="str">
        <f t="shared" si="5"/>
        <v>-16 03 26.89985</v>
      </c>
      <c r="J44" s="54" t="str">
        <f t="shared" si="6"/>
        <v>126 55 52.80722</v>
      </c>
      <c r="K44" s="55">
        <f t="shared" si="7"/>
        <v>1.0000627596196749</v>
      </c>
      <c r="L44" s="56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4" t="str">
        <f t="shared" si="5"/>
        <v>-31 37 07.30776</v>
      </c>
      <c r="J45" s="54" t="str">
        <f t="shared" si="6"/>
        <v>128 46 39.17752</v>
      </c>
      <c r="K45" s="55">
        <f t="shared" si="7"/>
        <v>1.0000059142349633</v>
      </c>
      <c r="L45" s="56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4" t="str">
        <f t="shared" si="5"/>
        <v>-23 15 45.86076</v>
      </c>
      <c r="J46" s="54" t="str">
        <f t="shared" si="6"/>
        <v>114 04 56.43833</v>
      </c>
      <c r="K46" s="55">
        <f t="shared" si="7"/>
        <v>1.0000062476634577</v>
      </c>
      <c r="L46" s="56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4" t="str">
        <f t="shared" si="5"/>
        <v>-33 40 00.90757</v>
      </c>
      <c r="J47" s="54" t="str">
        <f t="shared" si="6"/>
        <v>119 33 40.84261</v>
      </c>
      <c r="K47" s="55">
        <f t="shared" si="7"/>
        <v>1.0000358215890508</v>
      </c>
      <c r="L47" s="56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4" t="str">
        <f t="shared" si="5"/>
        <v>-18 18 04.63993</v>
      </c>
      <c r="J48" s="54" t="str">
        <f t="shared" si="6"/>
        <v>125 34 06.60958</v>
      </c>
      <c r="K48" s="55">
        <f t="shared" si="7"/>
        <v>1.0000224704656107</v>
      </c>
      <c r="L48" s="56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4" t="str">
        <f t="shared" si="5"/>
        <v>-21 24 57.25764</v>
      </c>
      <c r="J49" s="54" t="str">
        <f t="shared" si="6"/>
        <v>115 59 47.34341</v>
      </c>
      <c r="K49" s="55">
        <f t="shared" si="7"/>
        <v>1.0000178095151284</v>
      </c>
      <c r="L49" s="56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4" t="str">
        <f t="shared" si="5"/>
        <v>-34 39 17.09939</v>
      </c>
      <c r="J50" s="54" t="str">
        <f t="shared" si="6"/>
        <v>116 27 42.12752</v>
      </c>
      <c r="K50" s="55">
        <f t="shared" si="7"/>
        <v>1.000016036777666</v>
      </c>
      <c r="L50" s="56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0</v>
      </c>
      <c r="E51" s="10">
        <f>gridnorthing(B51,C51,A51)</f>
        <v>0</v>
      </c>
      <c r="F51" s="11">
        <f t="shared" si="2"/>
        <v>2</v>
      </c>
      <c r="G51" s="11" t="str">
        <f t="shared" si="3"/>
        <v>-39 24 23.81</v>
      </c>
      <c r="H51" s="12">
        <f t="shared" si="4"/>
        <v>0</v>
      </c>
      <c r="I51" s="54" t="str">
        <f t="shared" si="5"/>
        <v>Division by zero</v>
      </c>
      <c r="J51" s="54" t="str">
        <f t="shared" si="6"/>
        <v>Division by zero</v>
      </c>
      <c r="K51" s="55" t="str">
        <f t="shared" si="7"/>
        <v>Division by zero</v>
      </c>
      <c r="L51" s="56" t="str">
        <f t="shared" si="8"/>
        <v>Division by zero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4" t="str">
        <f t="shared" si="5"/>
        <v>-28 28 55.70594</v>
      </c>
      <c r="J52" s="54" t="str">
        <f t="shared" si="6"/>
        <v>116 21 31.04798</v>
      </c>
      <c r="K52" s="55">
        <f t="shared" si="7"/>
        <v>1.0000473767169886</v>
      </c>
      <c r="L52" s="56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4" t="str">
        <f t="shared" si="5"/>
        <v>-16 44 51.59994</v>
      </c>
      <c r="J53" s="54" t="str">
        <f t="shared" si="6"/>
        <v>125 52 59.04350</v>
      </c>
      <c r="K53" s="55">
        <f t="shared" si="7"/>
        <v>1.0000702676129214</v>
      </c>
      <c r="L53" s="56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4" t="str">
        <f t="shared" si="5"/>
        <v>-25 02 23.07019</v>
      </c>
      <c r="J54" s="54" t="str">
        <f t="shared" si="6"/>
        <v>115 19 19.03620</v>
      </c>
      <c r="K54" s="55">
        <f t="shared" si="7"/>
        <v>1.0000203853283829</v>
      </c>
      <c r="L54" s="56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0</v>
      </c>
      <c r="E55" s="10">
        <f t="shared" si="1"/>
        <v>0</v>
      </c>
      <c r="F55" s="11">
        <f t="shared" si="2"/>
        <v>2</v>
      </c>
      <c r="G55" s="11" t="str">
        <f t="shared" si="3"/>
        <v>-22 12 51.72</v>
      </c>
      <c r="H55" s="12">
        <f t="shared" si="4"/>
        <v>0</v>
      </c>
      <c r="I55" s="54" t="str">
        <f t="shared" si="5"/>
        <v>Division by zero</v>
      </c>
      <c r="J55" s="54" t="str">
        <f t="shared" si="6"/>
        <v>Division by zero</v>
      </c>
      <c r="K55" s="55" t="str">
        <f t="shared" si="7"/>
        <v>Division by zero</v>
      </c>
      <c r="L55" s="56" t="str">
        <f t="shared" si="8"/>
        <v>Division by zero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4" t="str">
        <f t="shared" si="5"/>
        <v>-16 09 49.48679</v>
      </c>
      <c r="J56" s="54" t="str">
        <f t="shared" si="6"/>
        <v>126 22 32.98537</v>
      </c>
      <c r="K56" s="55">
        <f t="shared" si="7"/>
        <v>1.0000781965329362</v>
      </c>
      <c r="L56" s="56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4" t="str">
        <f t="shared" si="5"/>
        <v>-25 17 45.71020</v>
      </c>
      <c r="J57" s="54" t="str">
        <f t="shared" si="6"/>
        <v>127 53 22.38590</v>
      </c>
      <c r="K57" s="55">
        <f t="shared" si="7"/>
        <v>1.0000849302802231</v>
      </c>
      <c r="L57" s="56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4" t="str">
        <f t="shared" si="5"/>
        <v>-22 27 57.12300</v>
      </c>
      <c r="J58" s="54" t="str">
        <f t="shared" si="6"/>
        <v>114 44 06.06995</v>
      </c>
      <c r="K58" s="55">
        <f t="shared" si="7"/>
        <v>1.0000042840622574</v>
      </c>
      <c r="L58" s="56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4" t="str">
        <f t="shared" si="5"/>
        <v>-32 47 34.06261</v>
      </c>
      <c r="J59" s="54" t="str">
        <f t="shared" si="6"/>
        <v>116 40 54.91409</v>
      </c>
      <c r="K59" s="55">
        <f t="shared" si="7"/>
        <v>1.0000444951642928</v>
      </c>
      <c r="L59" s="56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4" t="str">
        <f t="shared" si="5"/>
        <v>-16 53 01.89535</v>
      </c>
      <c r="J60" s="54" t="str">
        <f t="shared" si="6"/>
        <v>128 10 08.90094</v>
      </c>
      <c r="K60" s="55">
        <f t="shared" si="7"/>
        <v>1.0000476108578531</v>
      </c>
      <c r="L60" s="56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4" t="str">
        <f t="shared" si="5"/>
        <v>-18 41 28.21124</v>
      </c>
      <c r="J61" s="54" t="str">
        <f t="shared" si="6"/>
        <v>127 50 33.15624</v>
      </c>
      <c r="K61" s="55">
        <f t="shared" si="7"/>
        <v>1.0000568920554784</v>
      </c>
      <c r="L61" s="56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4" t="str">
        <f t="shared" si="5"/>
        <v>-34 43 50.72869</v>
      </c>
      <c r="J62" s="54" t="str">
        <f t="shared" si="6"/>
        <v>117 00 27.98435</v>
      </c>
      <c r="K62" s="55">
        <f t="shared" si="7"/>
        <v>1.0000099617277001</v>
      </c>
      <c r="L62" s="56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4" t="str">
        <f t="shared" si="5"/>
        <v>-33 06 14.75953</v>
      </c>
      <c r="J63" s="54" t="str">
        <f t="shared" si="6"/>
        <v>120 20 41.66279</v>
      </c>
      <c r="K63" s="55">
        <f t="shared" si="7"/>
        <v>1.0000462143827333</v>
      </c>
      <c r="L63" s="56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4" t="str">
        <f t="shared" si="5"/>
        <v>-21 54 56.07551</v>
      </c>
      <c r="J64" s="54" t="str">
        <f t="shared" si="6"/>
        <v>117 42 59.70715</v>
      </c>
      <c r="K64" s="55">
        <f t="shared" si="7"/>
        <v>1.0000712162712866</v>
      </c>
      <c r="L64" s="56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4" t="str">
        <f t="shared" si="5"/>
        <v>-31 45 35.52023</v>
      </c>
      <c r="J65" s="54" t="str">
        <f t="shared" si="6"/>
        <v>128 10 17.74495</v>
      </c>
      <c r="K65" s="55">
        <f t="shared" si="7"/>
        <v>1.0000124665721739</v>
      </c>
      <c r="L65" s="56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4" t="str">
        <f t="shared" si="5"/>
        <v>-32 13 30.69250</v>
      </c>
      <c r="J66" s="54" t="str">
        <f t="shared" si="6"/>
        <v>123 19 51.36434</v>
      </c>
      <c r="K66" s="55">
        <f t="shared" si="7"/>
        <v>1.0000288533630555</v>
      </c>
      <c r="L66" s="56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4" t="str">
        <f t="shared" ref="I67:I130" si="14">datumlat(D67,E67,F67,A67)</f>
        <v>-15 59 40.01284</v>
      </c>
      <c r="J67" s="54" t="str">
        <f t="shared" ref="J67:J130" si="15">datumlong(D67,E67,F67,A67)</f>
        <v>127 24 46.82056</v>
      </c>
      <c r="K67" s="55">
        <f t="shared" ref="K67:K130" si="16">DatumPntScle(D67,E67,F67,A67)</f>
        <v>1.0000522256315498</v>
      </c>
      <c r="L67" s="56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4" t="str">
        <f t="shared" si="14"/>
        <v>-33 49 14.47252</v>
      </c>
      <c r="J68" s="54" t="str">
        <f t="shared" si="15"/>
        <v>120 06 33.41153</v>
      </c>
      <c r="K68" s="55">
        <f t="shared" si="16"/>
        <v>1.0000086657610476</v>
      </c>
      <c r="L68" s="56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4" t="str">
        <f t="shared" si="14"/>
        <v>-32 07 09.75590</v>
      </c>
      <c r="J69" s="54" t="str">
        <f t="shared" si="15"/>
        <v>116 13 35.23289</v>
      </c>
      <c r="K69" s="55">
        <f t="shared" si="16"/>
        <v>1.0000347251962187</v>
      </c>
      <c r="L69" s="56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4" t="str">
        <f t="shared" si="14"/>
        <v>-32 29 38.24185</v>
      </c>
      <c r="J70" s="54" t="str">
        <f t="shared" si="15"/>
        <v>119 02 42.39438</v>
      </c>
      <c r="K70" s="55">
        <f t="shared" si="16"/>
        <v>1.0000455615518979</v>
      </c>
      <c r="L70" s="56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4" t="str">
        <f t="shared" si="14"/>
        <v>-17 07 58.68926</v>
      </c>
      <c r="J71" s="54" t="str">
        <f t="shared" si="15"/>
        <v>125 25 55.33381</v>
      </c>
      <c r="K71" s="55">
        <f t="shared" si="16"/>
        <v>1.000064067488821</v>
      </c>
      <c r="L71" s="56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4" t="str">
        <f t="shared" si="14"/>
        <v>-34 02 12.61903</v>
      </c>
      <c r="J72" s="54" t="str">
        <f t="shared" si="15"/>
        <v>118 54 33.94609</v>
      </c>
      <c r="K72" s="55">
        <f t="shared" si="16"/>
        <v>1.0000347293431024</v>
      </c>
      <c r="L72" s="56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4" t="str">
        <f t="shared" si="14"/>
        <v>-31 59 08.42590</v>
      </c>
      <c r="J73" s="54" t="str">
        <f t="shared" si="15"/>
        <v>125 45 13.04600</v>
      </c>
      <c r="K73" s="55">
        <f t="shared" si="16"/>
        <v>1.000013150385608</v>
      </c>
      <c r="L73" s="56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4" t="str">
        <f t="shared" si="14"/>
        <v>-22 55 16.05925</v>
      </c>
      <c r="J74" s="54" t="str">
        <f t="shared" si="15"/>
        <v>117 35 47.93550</v>
      </c>
      <c r="K74" s="55">
        <f t="shared" si="16"/>
        <v>1.0000726886633462</v>
      </c>
      <c r="L74" s="56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4" t="str">
        <f t="shared" si="14"/>
        <v>-27 24 32.74798</v>
      </c>
      <c r="J75" s="54" t="str">
        <f t="shared" si="15"/>
        <v>114 20 34.19912</v>
      </c>
      <c r="K75" s="55">
        <f t="shared" si="16"/>
        <v>1.0000200326221553</v>
      </c>
      <c r="L75" s="56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4" t="str">
        <f t="shared" si="14"/>
        <v>-28 00 56.45999</v>
      </c>
      <c r="J76" s="54" t="str">
        <f t="shared" si="15"/>
        <v>119 39 14.56992</v>
      </c>
      <c r="K76" s="55">
        <f t="shared" si="16"/>
        <v>1.0000847010754357</v>
      </c>
      <c r="L76" s="56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4" t="str">
        <f t="shared" si="14"/>
        <v>-22 36 32.35547</v>
      </c>
      <c r="J77" s="54" t="str">
        <f t="shared" si="15"/>
        <v>118 26 09.23003</v>
      </c>
      <c r="K77" s="55">
        <f t="shared" si="16"/>
        <v>1.0001139833056971</v>
      </c>
      <c r="L77" s="56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4" t="str">
        <f t="shared" si="14"/>
        <v>-31 21 09.42163</v>
      </c>
      <c r="J78" s="54" t="str">
        <f t="shared" si="15"/>
        <v>117 41 46.82868</v>
      </c>
      <c r="K78" s="55">
        <f t="shared" si="16"/>
        <v>1.0000417197206071</v>
      </c>
      <c r="L78" s="56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4" t="str">
        <f t="shared" si="14"/>
        <v>-26 34 30.75622</v>
      </c>
      <c r="J79" s="54" t="str">
        <f t="shared" si="15"/>
        <v>119 03 14.40335</v>
      </c>
      <c r="K79" s="55">
        <f t="shared" si="16"/>
        <v>1.0000917951899846</v>
      </c>
      <c r="L79" s="56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4" t="str">
        <f t="shared" si="14"/>
        <v>-33 48 39.02850</v>
      </c>
      <c r="J80" s="54" t="str">
        <f t="shared" si="15"/>
        <v>117 04 48.73152</v>
      </c>
      <c r="K80" s="55">
        <f t="shared" si="16"/>
        <v>1.0000382763693603</v>
      </c>
      <c r="L80" s="56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4" t="str">
        <f t="shared" si="14"/>
        <v>-32 21 07.85160</v>
      </c>
      <c r="J81" s="54" t="str">
        <f t="shared" si="15"/>
        <v>118 13 47.37634</v>
      </c>
      <c r="K81" s="55">
        <f t="shared" si="16"/>
        <v>1.0000431471675744</v>
      </c>
      <c r="L81" s="56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4" t="str">
        <f t="shared" si="14"/>
        <v>-29 46 46.38464</v>
      </c>
      <c r="J82" s="54" t="str">
        <f t="shared" si="15"/>
        <v>117 28 29.30365</v>
      </c>
      <c r="K82" s="55">
        <f t="shared" si="16"/>
        <v>1.0000507353683545</v>
      </c>
      <c r="L82" s="56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4" t="str">
        <f t="shared" si="14"/>
        <v>-24 49 08.99202</v>
      </c>
      <c r="J83" s="54" t="str">
        <f t="shared" si="15"/>
        <v>119 30 34.60288</v>
      </c>
      <c r="K83" s="55">
        <f t="shared" si="16"/>
        <v>1.0000882865306073</v>
      </c>
      <c r="L83" s="56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0</v>
      </c>
      <c r="E84" s="10">
        <f t="shared" si="10"/>
        <v>0</v>
      </c>
      <c r="F84" s="11">
        <f t="shared" si="11"/>
        <v>2</v>
      </c>
      <c r="G84" s="11" t="str">
        <f t="shared" si="12"/>
        <v>-45 06 26.01</v>
      </c>
      <c r="H84" s="12">
        <f t="shared" si="13"/>
        <v>0</v>
      </c>
      <c r="I84" s="54" t="str">
        <f t="shared" si="14"/>
        <v>Division by zero</v>
      </c>
      <c r="J84" s="54" t="str">
        <f t="shared" si="15"/>
        <v>Division by zero</v>
      </c>
      <c r="K84" s="55" t="str">
        <f t="shared" si="16"/>
        <v>Division by zero</v>
      </c>
      <c r="L84" s="56" t="str">
        <f t="shared" si="17"/>
        <v>Division by zero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4" t="str">
        <f t="shared" si="14"/>
        <v>-32 58 50.57141</v>
      </c>
      <c r="J85" s="54" t="str">
        <f t="shared" si="15"/>
        <v>119 44 16.69232</v>
      </c>
      <c r="K85" s="55">
        <f t="shared" si="16"/>
        <v>1.0000462583810856</v>
      </c>
      <c r="L85" s="56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4" t="str">
        <f t="shared" si="14"/>
        <v>-18 35 28.22042</v>
      </c>
      <c r="J86" s="54" t="str">
        <f t="shared" si="15"/>
        <v>127 17 43.56254</v>
      </c>
      <c r="K86" s="55">
        <f t="shared" si="16"/>
        <v>1.0000585540056457</v>
      </c>
      <c r="L86" s="56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4" t="str">
        <f t="shared" si="14"/>
        <v>-28 48 34.43184</v>
      </c>
      <c r="J87" s="54" t="str">
        <f t="shared" si="15"/>
        <v>122 09 55.09894</v>
      </c>
      <c r="K87" s="55">
        <f t="shared" si="16"/>
        <v>1.0000653813295803</v>
      </c>
      <c r="L87" s="56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4" t="str">
        <f t="shared" si="14"/>
        <v>-27 54 37.34377</v>
      </c>
      <c r="J88" s="54" t="str">
        <f t="shared" si="15"/>
        <v>120 40 47.03714</v>
      </c>
      <c r="K88" s="55">
        <f t="shared" si="16"/>
        <v>1.0000779426072448</v>
      </c>
      <c r="L88" s="56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4" t="str">
        <f t="shared" si="14"/>
        <v>-19 46 44.62352</v>
      </c>
      <c r="J89" s="54" t="str">
        <f t="shared" si="15"/>
        <v>128 50 17.66299</v>
      </c>
      <c r="K89" s="55">
        <f t="shared" si="16"/>
        <v>1.0000668184040731</v>
      </c>
      <c r="L89" s="56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4" t="str">
        <f t="shared" si="14"/>
        <v>-17 40 36.48011</v>
      </c>
      <c r="J90" s="54" t="str">
        <f t="shared" si="15"/>
        <v>123 05 08.35084</v>
      </c>
      <c r="K90" s="55">
        <f t="shared" si="16"/>
        <v>1.0000086620534301</v>
      </c>
      <c r="L90" s="56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4" t="str">
        <f t="shared" si="14"/>
        <v>-18 49 33.27614</v>
      </c>
      <c r="J91" s="54" t="str">
        <f t="shared" si="15"/>
        <v>126 41 34.96675</v>
      </c>
      <c r="K91" s="55">
        <f t="shared" si="16"/>
        <v>1.0000453300409728</v>
      </c>
      <c r="L91" s="56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4" t="str">
        <f t="shared" si="14"/>
        <v>-31 53 53.90542</v>
      </c>
      <c r="J92" s="54" t="str">
        <f t="shared" si="15"/>
        <v>127 02 42.64627</v>
      </c>
      <c r="K92" s="55">
        <f t="shared" si="16"/>
        <v>1.0000009854806511</v>
      </c>
      <c r="L92" s="56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4" t="str">
        <f t="shared" si="14"/>
        <v>-32 04 20.27712</v>
      </c>
      <c r="J93" s="54" t="str">
        <f t="shared" si="15"/>
        <v>122 45 55.58684</v>
      </c>
      <c r="K93" s="55">
        <f t="shared" si="16"/>
        <v>1.0000497812579787</v>
      </c>
      <c r="L93" s="56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4" t="str">
        <f t="shared" si="14"/>
        <v>-20 50 50.80150</v>
      </c>
      <c r="J94" s="54" t="str">
        <f t="shared" si="15"/>
        <v>119 52 31.39990</v>
      </c>
      <c r="K94" s="55">
        <f t="shared" si="16"/>
        <v>1.0000239662497845</v>
      </c>
      <c r="L94" s="56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0</v>
      </c>
      <c r="E95" s="10">
        <f t="shared" si="10"/>
        <v>0</v>
      </c>
      <c r="F95" s="11">
        <f t="shared" si="11"/>
        <v>2</v>
      </c>
      <c r="G95" s="11" t="str">
        <f t="shared" si="12"/>
        <v>-41 43 00.70</v>
      </c>
      <c r="H95" s="12">
        <f t="shared" si="13"/>
        <v>0</v>
      </c>
      <c r="I95" s="54" t="str">
        <f t="shared" si="14"/>
        <v>Division by zero</v>
      </c>
      <c r="J95" s="54" t="str">
        <f t="shared" si="15"/>
        <v>Division by zero</v>
      </c>
      <c r="K95" s="55" t="str">
        <f t="shared" si="16"/>
        <v>Division by zero</v>
      </c>
      <c r="L95" s="56" t="str">
        <f t="shared" si="17"/>
        <v>Division by zero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4" t="str">
        <f t="shared" si="14"/>
        <v>-17 35 38.48525</v>
      </c>
      <c r="J96" s="54" t="str">
        <f t="shared" si="15"/>
        <v>124 06 56.40610</v>
      </c>
      <c r="K96" s="55">
        <f t="shared" si="16"/>
        <v>1.0000201055860027</v>
      </c>
      <c r="L96" s="56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4" t="str">
        <f t="shared" si="14"/>
        <v>-26 27 25.23596</v>
      </c>
      <c r="J97" s="54" t="str">
        <f t="shared" si="15"/>
        <v>118 21 28.69243</v>
      </c>
      <c r="K97" s="55">
        <f t="shared" si="16"/>
        <v>1.0000768524896713</v>
      </c>
      <c r="L97" s="56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4" t="str">
        <f t="shared" si="14"/>
        <v>-29 39 41.26655</v>
      </c>
      <c r="J98" s="54" t="str">
        <f t="shared" si="15"/>
        <v>121 08 06.20164</v>
      </c>
      <c r="K98" s="55">
        <f t="shared" si="16"/>
        <v>1.0000654306778689</v>
      </c>
      <c r="L98" s="56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4" t="str">
        <f t="shared" si="14"/>
        <v>-31 23 47.25456</v>
      </c>
      <c r="J99" s="54" t="str">
        <f t="shared" si="15"/>
        <v>118 22 12.37555</v>
      </c>
      <c r="K99" s="55">
        <f t="shared" si="16"/>
        <v>1.0000503296810754</v>
      </c>
      <c r="L99" s="56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4" t="str">
        <f t="shared" si="14"/>
        <v>-21 13 37.33172</v>
      </c>
      <c r="J100" s="54" t="str">
        <f t="shared" si="15"/>
        <v>117 07 35.71414</v>
      </c>
      <c r="K100" s="55">
        <f t="shared" si="16"/>
        <v>1.0000297576627659</v>
      </c>
      <c r="L100" s="56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4" t="str">
        <f t="shared" si="14"/>
        <v>-29 11 53.45574</v>
      </c>
      <c r="J101" s="54" t="str">
        <f t="shared" si="15"/>
        <v>115 23 11.59573</v>
      </c>
      <c r="K101" s="55">
        <f t="shared" si="16"/>
        <v>1.000025300440559</v>
      </c>
      <c r="L101" s="56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4" t="str">
        <f t="shared" si="14"/>
        <v>-31 55 20.89524</v>
      </c>
      <c r="J102" s="54" t="str">
        <f t="shared" si="15"/>
        <v>126 29 53.62782</v>
      </c>
      <c r="K102" s="55">
        <f t="shared" si="16"/>
        <v>1.0000116432286168</v>
      </c>
      <c r="L102" s="56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4" t="str">
        <f t="shared" si="14"/>
        <v>-34 53 35.81282</v>
      </c>
      <c r="J103" s="54" t="str">
        <f t="shared" si="15"/>
        <v>117 29 27.16649</v>
      </c>
      <c r="K103" s="55">
        <f t="shared" si="16"/>
        <v>1.0000013203453333</v>
      </c>
      <c r="L103" s="56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4" t="str">
        <f t="shared" si="14"/>
        <v>-16 59 31.71307</v>
      </c>
      <c r="J104" s="54" t="str">
        <f t="shared" si="15"/>
        <v>125 11 07.54285</v>
      </c>
      <c r="K104" s="55">
        <f t="shared" si="16"/>
        <v>1.0000499957425659</v>
      </c>
      <c r="L104" s="56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4" t="str">
        <f t="shared" si="14"/>
        <v>-28 43 32.13145</v>
      </c>
      <c r="J105" s="54" t="str">
        <f t="shared" si="15"/>
        <v>117 51 47.56338</v>
      </c>
      <c r="K105" s="55">
        <f t="shared" si="16"/>
        <v>1.0000631604660408</v>
      </c>
      <c r="L105" s="56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4" t="str">
        <f t="shared" si="14"/>
        <v>-31 09 36.29599</v>
      </c>
      <c r="J106" s="54" t="str">
        <f t="shared" si="15"/>
        <v>115 59 40.38043</v>
      </c>
      <c r="K106" s="55">
        <f t="shared" si="16"/>
        <v>1.0000183524522641</v>
      </c>
      <c r="L106" s="56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4" t="str">
        <f t="shared" si="14"/>
        <v>-19 45 42.98648</v>
      </c>
      <c r="J107" s="54" t="str">
        <f t="shared" si="15"/>
        <v>128 18 08.51447</v>
      </c>
      <c r="K107" s="55">
        <f t="shared" si="16"/>
        <v>1.0000609607591415</v>
      </c>
      <c r="L107" s="56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4" t="str">
        <f t="shared" si="14"/>
        <v>-27 06 08.04953</v>
      </c>
      <c r="J108" s="54" t="str">
        <f t="shared" si="15"/>
        <v>125 26 42.27864</v>
      </c>
      <c r="K108" s="55">
        <f t="shared" si="16"/>
        <v>1.0000677340219835</v>
      </c>
      <c r="L108" s="56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0</v>
      </c>
      <c r="E109" s="10">
        <f t="shared" si="10"/>
        <v>0</v>
      </c>
      <c r="F109" s="11">
        <f t="shared" si="11"/>
        <v>2</v>
      </c>
      <c r="G109" s="11" t="str">
        <f t="shared" si="12"/>
        <v>-42 51 23.96</v>
      </c>
      <c r="H109" s="12">
        <f t="shared" si="13"/>
        <v>0</v>
      </c>
      <c r="I109" s="54" t="str">
        <f t="shared" si="14"/>
        <v>Division by zero</v>
      </c>
      <c r="J109" s="54" t="str">
        <f t="shared" si="15"/>
        <v>Division by zero</v>
      </c>
      <c r="K109" s="55" t="str">
        <f t="shared" si="16"/>
        <v>Division by zero</v>
      </c>
      <c r="L109" s="56" t="str">
        <f t="shared" si="17"/>
        <v>Division by zero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4" t="str">
        <f t="shared" si="14"/>
        <v>-22 12 55.90350</v>
      </c>
      <c r="J110" s="54" t="str">
        <f t="shared" si="15"/>
        <v>118 32 12.86250</v>
      </c>
      <c r="K110" s="55">
        <f t="shared" si="16"/>
        <v>1.0000656862624406</v>
      </c>
      <c r="L110" s="56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4" t="str">
        <f t="shared" si="14"/>
        <v>-31 57 03.48311</v>
      </c>
      <c r="J111" s="54" t="str">
        <f t="shared" si="15"/>
        <v>127 36 13.20527</v>
      </c>
      <c r="K111" s="55">
        <f t="shared" si="16"/>
        <v>0.99999900587084001</v>
      </c>
      <c r="L111" s="56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4" t="str">
        <f t="shared" si="14"/>
        <v>-33 39 31.94809</v>
      </c>
      <c r="J112" s="54" t="str">
        <f t="shared" si="15"/>
        <v>120 37 30.60462</v>
      </c>
      <c r="K112" s="55">
        <f t="shared" si="16"/>
        <v>1.0000158776619255</v>
      </c>
      <c r="L112" s="56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4" t="str">
        <f t="shared" si="14"/>
        <v>-27 07 32.68740</v>
      </c>
      <c r="J113" s="54" t="str">
        <f t="shared" si="15"/>
        <v>116 00 30.00964</v>
      </c>
      <c r="K113" s="55">
        <f t="shared" si="16"/>
        <v>1.0000379332688594</v>
      </c>
      <c r="L113" s="56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4" t="str">
        <f t="shared" si="14"/>
        <v>-26 55 31.01790</v>
      </c>
      <c r="J114" s="54" t="str">
        <f t="shared" si="15"/>
        <v>118 18 47.31620</v>
      </c>
      <c r="K114" s="55">
        <f t="shared" si="16"/>
        <v>1.0000675530576795</v>
      </c>
      <c r="L114" s="56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4" t="str">
        <f t="shared" si="14"/>
        <v>-22 10 14.69222</v>
      </c>
      <c r="J115" s="54" t="str">
        <f t="shared" si="15"/>
        <v>115 25 13.44461</v>
      </c>
      <c r="K115" s="55">
        <f t="shared" si="16"/>
        <v>1.0000078618323307</v>
      </c>
      <c r="L115" s="56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4" t="str">
        <f t="shared" si="14"/>
        <v>-17 05 41.31690</v>
      </c>
      <c r="J116" s="54" t="str">
        <f t="shared" si="15"/>
        <v>125 00 55.64894</v>
      </c>
      <c r="K116" s="55">
        <f t="shared" si="16"/>
        <v>1.0000268320248731</v>
      </c>
      <c r="L116" s="56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4" t="str">
        <f t="shared" si="14"/>
        <v>-32 54 58.68742</v>
      </c>
      <c r="J117" s="54" t="str">
        <f t="shared" si="15"/>
        <v>117 11 32.73864</v>
      </c>
      <c r="K117" s="55">
        <f t="shared" si="16"/>
        <v>1.0000454815688653</v>
      </c>
      <c r="L117" s="56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4" t="str">
        <f t="shared" si="14"/>
        <v>-33 05 30.48749</v>
      </c>
      <c r="J118" s="54" t="str">
        <f t="shared" si="15"/>
        <v>119 03 31.41198</v>
      </c>
      <c r="K118" s="55">
        <f t="shared" si="16"/>
        <v>1.0000444781781805</v>
      </c>
      <c r="L118" s="56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4" t="str">
        <f t="shared" si="14"/>
        <v>-23 47 10.47383</v>
      </c>
      <c r="J119" s="54" t="str">
        <f t="shared" si="15"/>
        <v>119 43 19.13801</v>
      </c>
      <c r="K119" s="55">
        <f t="shared" si="16"/>
        <v>1.0000886236248627</v>
      </c>
      <c r="L119" s="56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4" t="str">
        <f t="shared" si="14"/>
        <v>-22 01 17.70226</v>
      </c>
      <c r="J120" s="54" t="str">
        <f t="shared" si="15"/>
        <v>120 06 26.94686</v>
      </c>
      <c r="K120" s="55">
        <f t="shared" si="16"/>
        <v>1.0000612873768389</v>
      </c>
      <c r="L120" s="56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4" t="str">
        <f t="shared" si="14"/>
        <v>-21 23 20.25352</v>
      </c>
      <c r="J121" s="54" t="str">
        <f t="shared" si="15"/>
        <v>121 05 02.75611</v>
      </c>
      <c r="K121" s="55">
        <f t="shared" si="16"/>
        <v>1.0000372228775942</v>
      </c>
      <c r="L121" s="56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4" t="str">
        <f t="shared" si="14"/>
        <v>-33 58 43.38822</v>
      </c>
      <c r="J122" s="54" t="str">
        <f t="shared" si="15"/>
        <v>118 29 27.96378</v>
      </c>
      <c r="K122" s="55">
        <f t="shared" si="16"/>
        <v>1.0000380972787</v>
      </c>
      <c r="L122" s="56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4" t="str">
        <f t="shared" si="14"/>
        <v>-23 07 43.76770</v>
      </c>
      <c r="J123" s="54" t="str">
        <f t="shared" si="15"/>
        <v>119 26 48.01963</v>
      </c>
      <c r="K123" s="55">
        <f t="shared" si="16"/>
        <v>1.0001095716908184</v>
      </c>
      <c r="L123" s="56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4" t="str">
        <f t="shared" si="14"/>
        <v>-20 00 39.62329</v>
      </c>
      <c r="J124" s="54" t="str">
        <f t="shared" si="15"/>
        <v>119 57 24.64988</v>
      </c>
      <c r="K124" s="55">
        <f t="shared" si="16"/>
        <v>1.0000084199835364</v>
      </c>
      <c r="L124" s="56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4" t="str">
        <f t="shared" si="14"/>
        <v>-16 42 26.37526</v>
      </c>
      <c r="J125" s="54" t="str">
        <f t="shared" si="15"/>
        <v>122 53 58.54938</v>
      </c>
      <c r="K125" s="55">
        <f t="shared" si="16"/>
        <v>1.000006980003274</v>
      </c>
      <c r="L125" s="56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4" t="str">
        <f t="shared" si="14"/>
        <v>-34 08 09.63913</v>
      </c>
      <c r="J126" s="54" t="str">
        <f t="shared" si="15"/>
        <v>116 32 48.84968</v>
      </c>
      <c r="K126" s="55">
        <f t="shared" si="16"/>
        <v>1.0000334593024498</v>
      </c>
      <c r="L126" s="56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4" t="str">
        <f t="shared" si="14"/>
        <v>-28 33 30.29112</v>
      </c>
      <c r="J127" s="54" t="str">
        <f t="shared" si="15"/>
        <v>115 48 50.55300</v>
      </c>
      <c r="K127" s="55">
        <f t="shared" si="16"/>
        <v>1.0000432332916447</v>
      </c>
      <c r="L127" s="56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4" t="str">
        <f t="shared" si="14"/>
        <v>-34 16 21.31122</v>
      </c>
      <c r="J128" s="54" t="str">
        <f t="shared" si="15"/>
        <v>119 27 21.83969</v>
      </c>
      <c r="K128" s="55">
        <f t="shared" si="16"/>
        <v>1.0000046638455253</v>
      </c>
      <c r="L128" s="56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4" t="str">
        <f t="shared" si="14"/>
        <v>-17 57 53.37050</v>
      </c>
      <c r="J129" s="54" t="str">
        <f t="shared" si="15"/>
        <v>125 09 54.51962</v>
      </c>
      <c r="K129" s="55">
        <f t="shared" si="16"/>
        <v>1.0000296980837668</v>
      </c>
      <c r="L129" s="56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4" t="str">
        <f t="shared" si="14"/>
        <v>-33 24 03.37097</v>
      </c>
      <c r="J130" s="54" t="str">
        <f t="shared" si="15"/>
        <v>120 03 52.50546</v>
      </c>
      <c r="K130" s="55">
        <f t="shared" si="16"/>
        <v>1.0000320041648751</v>
      </c>
      <c r="L130" s="56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4" t="str">
        <f t="shared" ref="I131:I194" si="23">datumlat(D131,E131,F131,A131)</f>
        <v>-21 21 43.69644</v>
      </c>
      <c r="J131" s="54" t="str">
        <f t="shared" ref="J131:J194" si="24">datumlong(D131,E131,F131,A131)</f>
        <v>120 32 12.63649</v>
      </c>
      <c r="K131" s="55">
        <f t="shared" ref="K131:K194" si="25">DatumPntScle(D131,E131,F131,A131)</f>
        <v>1.0000496147393221</v>
      </c>
      <c r="L131" s="56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4" t="str">
        <f t="shared" si="23"/>
        <v>-19 25 15.72244</v>
      </c>
      <c r="J132" s="54" t="str">
        <f t="shared" si="24"/>
        <v>121 19 02.01148</v>
      </c>
      <c r="K132" s="55">
        <f t="shared" si="25"/>
        <v>1.0000049004368854</v>
      </c>
      <c r="L132" s="56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4" t="str">
        <f t="shared" si="23"/>
        <v>-32 56 08.52893</v>
      </c>
      <c r="J133" s="54" t="str">
        <f t="shared" si="24"/>
        <v>121 43 44.42275</v>
      </c>
      <c r="K133" s="55">
        <f t="shared" si="25"/>
        <v>1.0000279006972135</v>
      </c>
      <c r="L133" s="56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4" t="str">
        <f t="shared" si="23"/>
        <v>-31 13 54.67174</v>
      </c>
      <c r="J134" s="54" t="str">
        <f t="shared" si="24"/>
        <v>119 03 07.28708</v>
      </c>
      <c r="K134" s="55">
        <f t="shared" si="25"/>
        <v>1.0000528004585578</v>
      </c>
      <c r="L134" s="56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4" t="str">
        <f t="shared" si="23"/>
        <v>-34 42 10.01822</v>
      </c>
      <c r="J135" s="54" t="str">
        <f t="shared" si="24"/>
        <v>116 27 53.94870</v>
      </c>
      <c r="K135" s="55">
        <f t="shared" si="25"/>
        <v>1.0000077832233805</v>
      </c>
      <c r="L135" s="56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4" t="str">
        <f t="shared" si="23"/>
        <v>-20 35 21.73596</v>
      </c>
      <c r="J136" s="54" t="str">
        <f t="shared" si="24"/>
        <v>119 15 05.84539</v>
      </c>
      <c r="K136" s="55">
        <f t="shared" si="25"/>
        <v>1.000010840353978</v>
      </c>
      <c r="L136" s="56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4" t="str">
        <f t="shared" si="23"/>
        <v>-26 29 44.48616</v>
      </c>
      <c r="J137" s="54" t="str">
        <f t="shared" si="24"/>
        <v>118 53 43.37452</v>
      </c>
      <c r="K137" s="55">
        <f t="shared" si="25"/>
        <v>1.0000836316578021</v>
      </c>
      <c r="L137" s="56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0</v>
      </c>
      <c r="E138" s="10">
        <f t="shared" si="19"/>
        <v>0</v>
      </c>
      <c r="F138" s="11">
        <f t="shared" si="20"/>
        <v>2</v>
      </c>
      <c r="G138" s="11" t="str">
        <f t="shared" si="21"/>
        <v>-42 13 18.28</v>
      </c>
      <c r="H138" s="12">
        <f t="shared" si="22"/>
        <v>0</v>
      </c>
      <c r="I138" s="54" t="str">
        <f t="shared" si="23"/>
        <v>Division by zero</v>
      </c>
      <c r="J138" s="54" t="str">
        <f t="shared" si="24"/>
        <v>Division by zero</v>
      </c>
      <c r="K138" s="55" t="str">
        <f t="shared" si="25"/>
        <v>Division by zero</v>
      </c>
      <c r="L138" s="56" t="str">
        <f t="shared" si="26"/>
        <v>Division by zero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4" t="str">
        <f t="shared" si="23"/>
        <v>-21 12 20.43842</v>
      </c>
      <c r="J139" s="54" t="str">
        <f t="shared" si="24"/>
        <v>116 27 47.29302</v>
      </c>
      <c r="K139" s="55">
        <f t="shared" si="25"/>
        <v>1.000014990805101</v>
      </c>
      <c r="L139" s="56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4" t="str">
        <f t="shared" si="23"/>
        <v>-27 44 04.73622</v>
      </c>
      <c r="J140" s="54" t="str">
        <f t="shared" si="24"/>
        <v>124 05 27.42497</v>
      </c>
      <c r="K140" s="55">
        <f t="shared" si="25"/>
        <v>1.0000616056586271</v>
      </c>
      <c r="L140" s="56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4" t="str">
        <f t="shared" si="23"/>
        <v>-33 46 05.13833</v>
      </c>
      <c r="J141" s="54" t="str">
        <f t="shared" si="24"/>
        <v>118 25 30.12312</v>
      </c>
      <c r="K141" s="55">
        <f t="shared" si="25"/>
        <v>1.0000511102607248</v>
      </c>
      <c r="L141" s="56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4" t="str">
        <f t="shared" si="23"/>
        <v>-27 27 07.95290</v>
      </c>
      <c r="J142" s="54" t="str">
        <f t="shared" si="24"/>
        <v>124 45 07.32251</v>
      </c>
      <c r="K142" s="55">
        <f t="shared" si="25"/>
        <v>1.0000681313815007</v>
      </c>
      <c r="L142" s="56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4" t="str">
        <f t="shared" si="23"/>
        <v>-22 25 33.12520</v>
      </c>
      <c r="J143" s="54" t="str">
        <f t="shared" si="24"/>
        <v>117 46 02.79714</v>
      </c>
      <c r="K143" s="55">
        <f t="shared" si="25"/>
        <v>1.0001011823103074</v>
      </c>
      <c r="L143" s="56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4" t="str">
        <f t="shared" si="23"/>
        <v>-22 34 57.37130</v>
      </c>
      <c r="J144" s="54" t="str">
        <f t="shared" si="24"/>
        <v>115 56 04.87727</v>
      </c>
      <c r="K144" s="55">
        <f t="shared" si="25"/>
        <v>1.0000253002397084</v>
      </c>
      <c r="L144" s="56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4" t="str">
        <f t="shared" si="23"/>
        <v>-32 14 51.24203</v>
      </c>
      <c r="J145" s="54" t="str">
        <f t="shared" si="24"/>
        <v>125 11 34.86340</v>
      </c>
      <c r="K145" s="55">
        <f t="shared" si="25"/>
        <v>1.0000155602668936</v>
      </c>
      <c r="L145" s="56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4" t="str">
        <f t="shared" si="23"/>
        <v>-28 49 47.75736</v>
      </c>
      <c r="J146" s="54" t="str">
        <f t="shared" si="24"/>
        <v>114 50 24.09511</v>
      </c>
      <c r="K146" s="55">
        <f t="shared" si="25"/>
        <v>1.0000048541160109</v>
      </c>
      <c r="L146" s="56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4" t="str">
        <f t="shared" si="23"/>
        <v>-19 50 47.43773</v>
      </c>
      <c r="J147" s="54" t="str">
        <f t="shared" si="24"/>
        <v>120 36 16.64629</v>
      </c>
      <c r="K147" s="55">
        <f t="shared" si="25"/>
        <v>1.000005578069241</v>
      </c>
      <c r="L147" s="56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4" t="str">
        <f t="shared" si="23"/>
        <v>-34 56 35.08415</v>
      </c>
      <c r="J148" s="54" t="str">
        <f t="shared" si="24"/>
        <v>116 45 03.45910</v>
      </c>
      <c r="K148" s="55">
        <f t="shared" si="25"/>
        <v>1.0000019001835063</v>
      </c>
      <c r="L148" s="56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4" t="str">
        <f t="shared" si="23"/>
        <v>-25 43 17.63090</v>
      </c>
      <c r="J149" s="54" t="str">
        <f t="shared" si="24"/>
        <v>127 15 50.94313</v>
      </c>
      <c r="K149" s="55">
        <f t="shared" si="25"/>
        <v>1.0000813460787661</v>
      </c>
      <c r="L149" s="56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4" t="str">
        <f t="shared" si="23"/>
        <v>-24 56 48.59945</v>
      </c>
      <c r="J150" s="54" t="str">
        <f t="shared" si="24"/>
        <v>128 38 36.32150</v>
      </c>
      <c r="K150" s="55">
        <f t="shared" si="25"/>
        <v>1.000093253635195</v>
      </c>
      <c r="L150" s="56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4" t="str">
        <f t="shared" si="23"/>
        <v>-26 04 48.71111</v>
      </c>
      <c r="J151" s="54" t="str">
        <f t="shared" si="24"/>
        <v>126 47 29.33722</v>
      </c>
      <c r="K151" s="55">
        <f t="shared" si="25"/>
        <v>1.0000835860658543</v>
      </c>
      <c r="L151" s="56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4" t="str">
        <f t="shared" si="23"/>
        <v>-29 56 37.52819</v>
      </c>
      <c r="J152" s="54" t="str">
        <f t="shared" si="24"/>
        <v>115 19 06.74018</v>
      </c>
      <c r="K152" s="55">
        <f t="shared" si="25"/>
        <v>1.0000205804029179</v>
      </c>
      <c r="L152" s="56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0</v>
      </c>
      <c r="E153" s="10">
        <f t="shared" si="19"/>
        <v>0</v>
      </c>
      <c r="F153" s="11">
        <f t="shared" si="20"/>
        <v>2</v>
      </c>
      <c r="G153" s="11" t="str">
        <f t="shared" si="21"/>
        <v>-30 15 09.12</v>
      </c>
      <c r="H153" s="12">
        <f t="shared" si="22"/>
        <v>0</v>
      </c>
      <c r="I153" s="54" t="str">
        <f t="shared" si="23"/>
        <v>Division by zero</v>
      </c>
      <c r="J153" s="54" t="str">
        <f t="shared" si="24"/>
        <v>Division by zero</v>
      </c>
      <c r="K153" s="55" t="str">
        <f t="shared" si="25"/>
        <v>Division by zero</v>
      </c>
      <c r="L153" s="56" t="str">
        <f t="shared" si="26"/>
        <v>Division by zero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4" t="str">
        <f t="shared" si="23"/>
        <v>-28 21 52.55176</v>
      </c>
      <c r="J154" s="54" t="str">
        <f t="shared" si="24"/>
        <v>121 05 40.18078</v>
      </c>
      <c r="K154" s="55">
        <f t="shared" si="25"/>
        <v>1.00006707861257</v>
      </c>
      <c r="L154" s="56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4" t="str">
        <f t="shared" si="23"/>
        <v>-22 56 02.54789</v>
      </c>
      <c r="J155" s="54" t="str">
        <f t="shared" si="24"/>
        <v>119 02 03.64027</v>
      </c>
      <c r="K155" s="55">
        <f t="shared" si="25"/>
        <v>1.0001037172361062</v>
      </c>
      <c r="L155" s="56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4" t="str">
        <f t="shared" si="23"/>
        <v>-20 51 32.07996</v>
      </c>
      <c r="J156" s="54" t="str">
        <f t="shared" si="24"/>
        <v>117 47 21.20417</v>
      </c>
      <c r="K156" s="55">
        <f t="shared" si="25"/>
        <v>1.0000054080688763</v>
      </c>
      <c r="L156" s="56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4" t="str">
        <f t="shared" si="23"/>
        <v>-20 49 00.45343</v>
      </c>
      <c r="J157" s="54" t="str">
        <f t="shared" si="24"/>
        <v>117 59 20.48546</v>
      </c>
      <c r="K157" s="55">
        <f t="shared" si="25"/>
        <v>1.0000049751469986</v>
      </c>
      <c r="L157" s="56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4" t="str">
        <f t="shared" si="23"/>
        <v>-20 52 12.82894</v>
      </c>
      <c r="J158" s="54" t="str">
        <f t="shared" si="24"/>
        <v>117 35 06.05533</v>
      </c>
      <c r="K158" s="55">
        <f t="shared" si="25"/>
        <v>1.0000016150339683</v>
      </c>
      <c r="L158" s="56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4" t="str">
        <f t="shared" si="23"/>
        <v>-27 57 49.61437</v>
      </c>
      <c r="J159" s="54" t="str">
        <f t="shared" si="24"/>
        <v>123 24 07.42342</v>
      </c>
      <c r="K159" s="55">
        <f t="shared" si="25"/>
        <v>1.0000673468800567</v>
      </c>
      <c r="L159" s="56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4" t="str">
        <f t="shared" si="23"/>
        <v>-26 38 10.37623</v>
      </c>
      <c r="J160" s="54" t="str">
        <f t="shared" si="24"/>
        <v>120 16 04.06308</v>
      </c>
      <c r="K160" s="55">
        <f t="shared" si="25"/>
        <v>1.0000771423923704</v>
      </c>
      <c r="L160" s="56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4" t="str">
        <f t="shared" si="23"/>
        <v>-22 14 52.67094</v>
      </c>
      <c r="J161" s="54" t="str">
        <f t="shared" si="24"/>
        <v>118 03 11.48508</v>
      </c>
      <c r="K161" s="55">
        <f t="shared" si="25"/>
        <v>1.0000822038347004</v>
      </c>
      <c r="L161" s="56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4" t="str">
        <f t="shared" si="23"/>
        <v>-21 19 20.62898</v>
      </c>
      <c r="J162" s="54" t="str">
        <f t="shared" si="24"/>
        <v>118 48 56.42874</v>
      </c>
      <c r="K162" s="55">
        <f t="shared" si="25"/>
        <v>1.0000360171652674</v>
      </c>
      <c r="L162" s="56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4" t="str">
        <f t="shared" si="23"/>
        <v>-32 22 26.52006</v>
      </c>
      <c r="J163" s="54" t="str">
        <f t="shared" si="24"/>
        <v>124 40 47.60735</v>
      </c>
      <c r="K163" s="55">
        <f t="shared" si="25"/>
        <v>1.0000169075361718</v>
      </c>
      <c r="L163" s="56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4" t="str">
        <f t="shared" si="23"/>
        <v>-29 59 12.89915</v>
      </c>
      <c r="J164" s="54" t="str">
        <f t="shared" si="24"/>
        <v>116 44 49.09074</v>
      </c>
      <c r="K164" s="55">
        <f t="shared" si="25"/>
        <v>1.000045973364228</v>
      </c>
      <c r="L164" s="56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4" t="str">
        <f t="shared" si="23"/>
        <v>-22 42 45.56977</v>
      </c>
      <c r="J165" s="54" t="str">
        <f t="shared" si="24"/>
        <v>116 33 05.91037</v>
      </c>
      <c r="K165" s="55">
        <f t="shared" si="25"/>
        <v>1.0000383676284943</v>
      </c>
      <c r="L165" s="56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4" t="str">
        <f t="shared" si="23"/>
        <v>-15 53 37.03675</v>
      </c>
      <c r="J166" s="54" t="str">
        <f t="shared" si="24"/>
        <v>128 11 12.49534</v>
      </c>
      <c r="K166" s="55">
        <f t="shared" si="25"/>
        <v>1.0000235946857032</v>
      </c>
      <c r="L166" s="56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4" t="str">
        <f t="shared" si="23"/>
        <v>-28 25 39.85194</v>
      </c>
      <c r="J167" s="54" t="str">
        <f t="shared" si="24"/>
        <v>116 54 14.94875</v>
      </c>
      <c r="K167" s="55">
        <f t="shared" si="25"/>
        <v>1.0000476351676908</v>
      </c>
      <c r="L167" s="56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4" t="str">
        <f t="shared" si="23"/>
        <v>-22 45 11.38453</v>
      </c>
      <c r="J168" s="54" t="str">
        <f t="shared" si="24"/>
        <v>115 07 00.45178</v>
      </c>
      <c r="K168" s="55">
        <f t="shared" si="25"/>
        <v>1.0000141458362037</v>
      </c>
      <c r="L168" s="56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4" t="str">
        <f t="shared" si="23"/>
        <v>-26 05 46.38052</v>
      </c>
      <c r="J169" s="54" t="str">
        <f t="shared" si="24"/>
        <v>114 26 12.63692</v>
      </c>
      <c r="K169" s="55">
        <f t="shared" si="25"/>
        <v>1.0000065782439174</v>
      </c>
      <c r="L169" s="56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4" t="str">
        <f t="shared" si="23"/>
        <v>-21 15 00.39269</v>
      </c>
      <c r="J170" s="54" t="str">
        <f t="shared" si="24"/>
        <v>120 47 10.70246</v>
      </c>
      <c r="K170" s="55">
        <f t="shared" si="25"/>
        <v>1.0000395470118586</v>
      </c>
      <c r="L170" s="56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4" t="str">
        <f t="shared" si="23"/>
        <v>-21 49 55.04977</v>
      </c>
      <c r="J171" s="54" t="str">
        <f t="shared" si="24"/>
        <v>118 51 11.81707</v>
      </c>
      <c r="K171" s="55">
        <f t="shared" si="25"/>
        <v>1.0000463125371697</v>
      </c>
      <c r="L171" s="56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4" t="str">
        <f t="shared" si="23"/>
        <v>-28 17 17.41553</v>
      </c>
      <c r="J172" s="54" t="str">
        <f t="shared" si="24"/>
        <v>114 56 20.51333</v>
      </c>
      <c r="K172" s="55">
        <f t="shared" si="25"/>
        <v>1.0000345893836526</v>
      </c>
      <c r="L172" s="56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4" t="str">
        <f t="shared" si="23"/>
        <v>-31 36 47.27372</v>
      </c>
      <c r="J173" s="54" t="str">
        <f t="shared" si="24"/>
        <v>116 26 11.00123</v>
      </c>
      <c r="K173" s="55">
        <f t="shared" si="25"/>
        <v>1.0000317831778562</v>
      </c>
      <c r="L173" s="56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4" t="str">
        <f t="shared" si="23"/>
        <v>-27 49 34.48686</v>
      </c>
      <c r="J174" s="54" t="str">
        <f t="shared" si="24"/>
        <v>114 40 53.31857</v>
      </c>
      <c r="K174" s="55">
        <f t="shared" si="25"/>
        <v>1.0000276350243977</v>
      </c>
      <c r="L174" s="56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4" t="str">
        <f t="shared" si="23"/>
        <v>-28 39 50.55815</v>
      </c>
      <c r="J175" s="54" t="str">
        <f t="shared" si="24"/>
        <v>115 15 08.53538</v>
      </c>
      <c r="K175" s="55">
        <f t="shared" si="25"/>
        <v>1.0000308006626262</v>
      </c>
      <c r="L175" s="56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4" t="str">
        <f t="shared" si="23"/>
        <v>-34 12 58.33087</v>
      </c>
      <c r="J176" s="54" t="str">
        <f t="shared" si="24"/>
        <v>118 15 43.21112</v>
      </c>
      <c r="K176" s="55">
        <f t="shared" si="25"/>
        <v>1.0000399126537234</v>
      </c>
      <c r="L176" s="56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4" t="str">
        <f t="shared" si="23"/>
        <v>-28 07 47.33220</v>
      </c>
      <c r="J177" s="54" t="str">
        <f t="shared" si="24"/>
        <v>119 04 44.66424</v>
      </c>
      <c r="K177" s="55">
        <f t="shared" si="25"/>
        <v>1.0000816231100569</v>
      </c>
      <c r="L177" s="56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4" t="str">
        <f t="shared" si="23"/>
        <v>-31 51 38.28316</v>
      </c>
      <c r="J178" s="54" t="str">
        <f t="shared" si="24"/>
        <v>116 48 45.67781</v>
      </c>
      <c r="K178" s="55">
        <f t="shared" si="25"/>
        <v>1.0000279902746361</v>
      </c>
      <c r="L178" s="56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4" t="str">
        <f t="shared" si="23"/>
        <v>-26 43 33.54802</v>
      </c>
      <c r="J179" s="54" t="str">
        <f t="shared" si="24"/>
        <v>126 08 10.80996</v>
      </c>
      <c r="K179" s="55">
        <f t="shared" si="25"/>
        <v>1.0000607672902326</v>
      </c>
      <c r="L179" s="56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4" t="str">
        <f t="shared" si="23"/>
        <v>-32 22 58.86494</v>
      </c>
      <c r="J180" s="54" t="str">
        <f t="shared" si="24"/>
        <v>123 56 20.63764</v>
      </c>
      <c r="K180" s="55">
        <f t="shared" si="25"/>
        <v>1.0000193490165417</v>
      </c>
      <c r="L180" s="56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4" t="str">
        <f t="shared" si="23"/>
        <v>-33 41 18.44804</v>
      </c>
      <c r="J181" s="54" t="str">
        <f t="shared" si="24"/>
        <v>115 29 04.99398</v>
      </c>
      <c r="K181" s="55">
        <f t="shared" si="25"/>
        <v>0.99999619975016074</v>
      </c>
      <c r="L181" s="56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4" t="str">
        <f t="shared" si="23"/>
        <v>-22 59 43.95264</v>
      </c>
      <c r="J182" s="54" t="str">
        <f t="shared" si="24"/>
        <v>117 59 47.35388</v>
      </c>
      <c r="K182" s="55">
        <f t="shared" si="25"/>
        <v>1.0001025664835019</v>
      </c>
      <c r="L182" s="56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4" t="str">
        <f t="shared" si="23"/>
        <v>-18 39 55.95408</v>
      </c>
      <c r="J183" s="54" t="str">
        <f t="shared" si="24"/>
        <v>121 58 53.86354</v>
      </c>
      <c r="K183" s="55">
        <f t="shared" si="25"/>
        <v>1.0000073266063156</v>
      </c>
      <c r="L183" s="56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4" t="str">
        <f t="shared" si="23"/>
        <v>-18 53 39.75400</v>
      </c>
      <c r="J184" s="54" t="str">
        <f t="shared" si="24"/>
        <v>126 07 46.57206</v>
      </c>
      <c r="K184" s="55">
        <f t="shared" si="25"/>
        <v>1.0000385992555367</v>
      </c>
      <c r="L184" s="56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4" t="str">
        <f t="shared" si="23"/>
        <v>-26 46 20.69188</v>
      </c>
      <c r="J185" s="54" t="str">
        <f t="shared" si="24"/>
        <v>116 35 32.10695</v>
      </c>
      <c r="K185" s="55">
        <f t="shared" si="25"/>
        <v>1.0000546597091107</v>
      </c>
      <c r="L185" s="56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4" t="str">
        <f t="shared" si="23"/>
        <v>-31 08 41.39783</v>
      </c>
      <c r="J186" s="54" t="str">
        <f t="shared" si="24"/>
        <v>120 18 36.93683</v>
      </c>
      <c r="K186" s="55">
        <f t="shared" si="25"/>
        <v>1.0000639512965224</v>
      </c>
      <c r="L186" s="56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4" t="str">
        <f t="shared" si="23"/>
        <v>-29 18 38.66062</v>
      </c>
      <c r="J187" s="54" t="str">
        <f t="shared" si="24"/>
        <v>116 08 54.21768</v>
      </c>
      <c r="K187" s="55">
        <f t="shared" si="25"/>
        <v>1.0000421501201657</v>
      </c>
      <c r="L187" s="56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4" t="str">
        <f t="shared" si="23"/>
        <v>-34 21 04.73090</v>
      </c>
      <c r="J188" s="54" t="str">
        <f t="shared" si="24"/>
        <v>118 48 40.49428</v>
      </c>
      <c r="K188" s="55">
        <f t="shared" si="25"/>
        <v>1.000011391238858</v>
      </c>
      <c r="L188" s="56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4" t="str">
        <f t="shared" si="23"/>
        <v>-33 40 52.28720</v>
      </c>
      <c r="J189" s="54" t="str">
        <f t="shared" si="24"/>
        <v>116 09 32.39975</v>
      </c>
      <c r="K189" s="55">
        <f t="shared" si="25"/>
        <v>1.0000342585827966</v>
      </c>
      <c r="L189" s="56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4" t="str">
        <f t="shared" si="23"/>
        <v>-32 18 20.88281</v>
      </c>
      <c r="J190" s="54" t="str">
        <f t="shared" si="24"/>
        <v>117 01 36.10672</v>
      </c>
      <c r="K190" s="55">
        <f t="shared" si="25"/>
        <v>1.0000413979216325</v>
      </c>
      <c r="L190" s="56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4" t="str">
        <f t="shared" si="23"/>
        <v>-17 57 33.13847</v>
      </c>
      <c r="J191" s="54" t="str">
        <f t="shared" si="24"/>
        <v>122 21 27.95155</v>
      </c>
      <c r="K191" s="55">
        <f t="shared" si="25"/>
        <v>1.0000030627679151</v>
      </c>
      <c r="L191" s="56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4" t="str">
        <f t="shared" si="23"/>
        <v>-32 03 05.21996</v>
      </c>
      <c r="J192" s="54" t="str">
        <f t="shared" si="24"/>
        <v>122 09 11.50358</v>
      </c>
      <c r="K192" s="55">
        <f t="shared" si="25"/>
        <v>1.0000431967115446</v>
      </c>
      <c r="L192" s="56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4" t="str">
        <f t="shared" si="23"/>
        <v>-31 04 49.68275</v>
      </c>
      <c r="J193" s="54" t="str">
        <f t="shared" si="24"/>
        <v>120 52 56.13949</v>
      </c>
      <c r="K193" s="55">
        <f t="shared" si="25"/>
        <v>1.0000623773037565</v>
      </c>
      <c r="L193" s="56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4" t="str">
        <f t="shared" si="23"/>
        <v>-17 19 11.23252</v>
      </c>
      <c r="J194" s="54" t="str">
        <f t="shared" si="24"/>
        <v>122 30 08.79757</v>
      </c>
      <c r="K194" s="55">
        <f t="shared" si="25"/>
        <v>1.000026515191053</v>
      </c>
      <c r="L194" s="56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4" t="str">
        <f t="shared" ref="I195:I258" si="32">datumlat(D195,E195,F195,A195)</f>
        <v>-28 03 57.59042</v>
      </c>
      <c r="J195" s="54" t="str">
        <f t="shared" ref="J195:J258" si="33">datumlong(D195,E195,F195,A195)</f>
        <v>118 24 04.75560</v>
      </c>
      <c r="K195" s="55">
        <f t="shared" ref="K195:K258" si="34">DatumPntScle(D195,E195,F195,A195)</f>
        <v>1.0000704318680236</v>
      </c>
      <c r="L195" s="56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4" t="str">
        <f t="shared" si="32"/>
        <v>-22 57 30.59950</v>
      </c>
      <c r="J196" s="54" t="str">
        <f t="shared" si="33"/>
        <v>117 03 33.49397</v>
      </c>
      <c r="K196" s="55">
        <f t="shared" si="34"/>
        <v>1.0000510467794468</v>
      </c>
      <c r="L196" s="56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4" t="str">
        <f t="shared" si="32"/>
        <v>-22 13 13.39723</v>
      </c>
      <c r="J197" s="54" t="str">
        <f t="shared" si="33"/>
        <v>118 55 31.09973</v>
      </c>
      <c r="K197" s="55">
        <f t="shared" si="34"/>
        <v>1.0000672188677986</v>
      </c>
      <c r="L197" s="56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4" t="str">
        <f t="shared" si="32"/>
        <v>-21 31 45.96704</v>
      </c>
      <c r="J198" s="54" t="str">
        <f t="shared" si="33"/>
        <v>117 16 39.94684</v>
      </c>
      <c r="K198" s="55">
        <f t="shared" si="34"/>
        <v>1.0000464493888215</v>
      </c>
      <c r="L198" s="56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4" t="str">
        <f t="shared" si="32"/>
        <v>-30 01 06.82244</v>
      </c>
      <c r="J199" s="54" t="str">
        <f t="shared" si="33"/>
        <v>115 55 48.15181</v>
      </c>
      <c r="K199" s="55">
        <f t="shared" si="34"/>
        <v>1.0000350605327812</v>
      </c>
      <c r="L199" s="56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4" t="str">
        <f t="shared" si="32"/>
        <v>-32 20 52.04206</v>
      </c>
      <c r="J200" s="54" t="str">
        <f t="shared" si="33"/>
        <v>117 35 00.14104</v>
      </c>
      <c r="K200" s="55">
        <f t="shared" si="34"/>
        <v>1.0000407000001676</v>
      </c>
      <c r="L200" s="56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4" t="str">
        <f t="shared" si="32"/>
        <v>-28 13 34.66895</v>
      </c>
      <c r="J201" s="54" t="str">
        <f t="shared" si="33"/>
        <v>122 42 44.42616</v>
      </c>
      <c r="K201" s="55">
        <f t="shared" si="34"/>
        <v>1.0000770200173039</v>
      </c>
      <c r="L201" s="56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4" t="str">
        <f t="shared" si="32"/>
        <v>-33 40 51.80588</v>
      </c>
      <c r="J202" s="54" t="str">
        <f t="shared" si="33"/>
        <v>117 34 27.07601</v>
      </c>
      <c r="K202" s="55">
        <f t="shared" si="34"/>
        <v>1.0000361705961964</v>
      </c>
      <c r="L202" s="56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4" t="str">
        <f t="shared" si="32"/>
        <v>-27 39 08.43685</v>
      </c>
      <c r="J203" s="54" t="str">
        <f t="shared" si="33"/>
        <v>117 57 51.77412</v>
      </c>
      <c r="K203" s="55">
        <f t="shared" si="34"/>
        <v>1.0000623277041392</v>
      </c>
      <c r="L203" s="56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4" t="str">
        <f t="shared" si="32"/>
        <v>-31 55 25.34156</v>
      </c>
      <c r="J204" s="54" t="str">
        <f t="shared" si="33"/>
        <v>123 09 40.57819</v>
      </c>
      <c r="K204" s="55">
        <f t="shared" si="34"/>
        <v>1.0000445956217985</v>
      </c>
      <c r="L204" s="56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4" t="str">
        <f t="shared" si="32"/>
        <v>-30 47 31.13646</v>
      </c>
      <c r="J205" s="54" t="str">
        <f t="shared" si="33"/>
        <v>115 42 19.61701</v>
      </c>
      <c r="K205" s="55">
        <f t="shared" si="34"/>
        <v>1.0000327810628673</v>
      </c>
      <c r="L205" s="56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4" t="str">
        <f t="shared" si="32"/>
        <v>-27 55 05.70299</v>
      </c>
      <c r="J206" s="54" t="str">
        <f t="shared" si="33"/>
        <v>120 03 53.47073</v>
      </c>
      <c r="K206" s="55">
        <f t="shared" si="34"/>
        <v>1.0000661512137734</v>
      </c>
      <c r="L206" s="56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4" t="str">
        <f t="shared" si="32"/>
        <v>-17 33 10.44317</v>
      </c>
      <c r="J207" s="54" t="str">
        <f t="shared" si="33"/>
        <v>123 41 33.08230</v>
      </c>
      <c r="K207" s="55">
        <f t="shared" si="34"/>
        <v>1.000003941763896</v>
      </c>
      <c r="L207" s="56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4" t="str">
        <f t="shared" si="32"/>
        <v>-24 52 05.28654</v>
      </c>
      <c r="J208" s="54" t="str">
        <f t="shared" si="33"/>
        <v>129 10 54.94508</v>
      </c>
      <c r="K208" s="55">
        <f t="shared" si="34"/>
        <v>1.0001004532632949</v>
      </c>
      <c r="L208" s="56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4" t="str">
        <f t="shared" si="32"/>
        <v>-26 14 36.64655</v>
      </c>
      <c r="J209" s="54" t="str">
        <f t="shared" si="33"/>
        <v>119 33 59.36414</v>
      </c>
      <c r="K209" s="55">
        <f t="shared" si="34"/>
        <v>1.0000846546694344</v>
      </c>
      <c r="L209" s="56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4" t="str">
        <f t="shared" si="32"/>
        <v>-30 45 00.87199</v>
      </c>
      <c r="J210" s="54" t="str">
        <f t="shared" si="33"/>
        <v>116 53 24.83671</v>
      </c>
      <c r="K210" s="55">
        <f t="shared" si="34"/>
        <v>1.0000412729979906</v>
      </c>
      <c r="L210" s="56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4" t="str">
        <f t="shared" si="32"/>
        <v>-15 39 38.08174</v>
      </c>
      <c r="J211" s="54" t="str">
        <f t="shared" si="33"/>
        <v>127 49 08.61618</v>
      </c>
      <c r="K211" s="55">
        <f t="shared" si="34"/>
        <v>1.0000249216215569</v>
      </c>
      <c r="L211" s="56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4" t="str">
        <f t="shared" si="32"/>
        <v>-34 46 16.81705</v>
      </c>
      <c r="J212" s="54" t="str">
        <f t="shared" si="33"/>
        <v>118 25 36.33514</v>
      </c>
      <c r="K212" s="55">
        <f t="shared" si="34"/>
        <v>1.0000136111278521</v>
      </c>
      <c r="L212" s="56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4" t="str">
        <f t="shared" si="32"/>
        <v>-21 10 46.91777</v>
      </c>
      <c r="J213" s="54" t="str">
        <f t="shared" si="33"/>
        <v>120 14 45.45272</v>
      </c>
      <c r="K213" s="55">
        <f t="shared" si="34"/>
        <v>1.0000414940335236</v>
      </c>
      <c r="L213" s="56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4" t="str">
        <f t="shared" si="32"/>
        <v>-16 00 39.01802</v>
      </c>
      <c r="J214" s="54" t="str">
        <f t="shared" si="33"/>
        <v>126 57 38.85228</v>
      </c>
      <c r="K214" s="55">
        <f t="shared" si="34"/>
        <v>1.0000632112201377</v>
      </c>
      <c r="L214" s="56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4" t="str">
        <f t="shared" si="32"/>
        <v>-31 36 19.33146</v>
      </c>
      <c r="J215" s="54" t="str">
        <f t="shared" si="33"/>
        <v>128 48 17.18406</v>
      </c>
      <c r="K215" s="55">
        <f t="shared" si="34"/>
        <v>1.0000061630692407</v>
      </c>
      <c r="L215" s="56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4" t="str">
        <f t="shared" si="32"/>
        <v>-23 14 54.65389</v>
      </c>
      <c r="J216" s="54" t="str">
        <f t="shared" si="33"/>
        <v>114 03 27.06307</v>
      </c>
      <c r="K216" s="55">
        <f t="shared" si="34"/>
        <v>1.0000059057927075</v>
      </c>
      <c r="L216" s="56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4" t="str">
        <f t="shared" si="32"/>
        <v>-33 43 51.08164</v>
      </c>
      <c r="J217" s="54" t="str">
        <f t="shared" si="33"/>
        <v>119 30 56.02745</v>
      </c>
      <c r="K217" s="55">
        <f t="shared" si="34"/>
        <v>1.0000356101288785</v>
      </c>
      <c r="L217" s="56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4" t="str">
        <f t="shared" si="32"/>
        <v>-18 17 01.83163</v>
      </c>
      <c r="J218" s="54" t="str">
        <f t="shared" si="33"/>
        <v>125 38 37.46864</v>
      </c>
      <c r="K218" s="55">
        <f t="shared" si="34"/>
        <v>1.0000232907127451</v>
      </c>
      <c r="L218" s="56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4" t="str">
        <f t="shared" si="32"/>
        <v>-21 26 47.49133</v>
      </c>
      <c r="J219" s="54" t="str">
        <f t="shared" si="33"/>
        <v>115 57 11.51201</v>
      </c>
      <c r="K219" s="55">
        <f t="shared" si="34"/>
        <v>1.0000173323706767</v>
      </c>
      <c r="L219" s="56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4" t="str">
        <f t="shared" si="32"/>
        <v>-34 38 34.40677</v>
      </c>
      <c r="J220" s="54" t="str">
        <f t="shared" si="33"/>
        <v>116 30 53.00075</v>
      </c>
      <c r="K220" s="55">
        <f t="shared" si="34"/>
        <v>1.0000164167642942</v>
      </c>
      <c r="L220" s="56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0</v>
      </c>
      <c r="E221" s="10">
        <f t="shared" si="28"/>
        <v>0</v>
      </c>
      <c r="F221" s="11">
        <f t="shared" si="29"/>
        <v>2</v>
      </c>
      <c r="G221" s="11" t="str">
        <f t="shared" si="30"/>
        <v>-39 25 56.17</v>
      </c>
      <c r="H221" s="12">
        <f t="shared" si="31"/>
        <v>0</v>
      </c>
      <c r="I221" s="54" t="str">
        <f t="shared" si="32"/>
        <v>Division by zero</v>
      </c>
      <c r="J221" s="54" t="str">
        <f t="shared" si="33"/>
        <v>Division by zero</v>
      </c>
      <c r="K221" s="55" t="str">
        <f t="shared" si="34"/>
        <v>Division by zero</v>
      </c>
      <c r="L221" s="56" t="str">
        <f t="shared" si="35"/>
        <v>Division by zero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4" t="str">
        <f t="shared" si="32"/>
        <v>-28 27 23.76702</v>
      </c>
      <c r="J222" s="54" t="str">
        <f t="shared" si="33"/>
        <v>116 26 50.94060</v>
      </c>
      <c r="K222" s="55">
        <f t="shared" si="34"/>
        <v>1.0000484696678662</v>
      </c>
      <c r="L222" s="56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4" t="str">
        <f t="shared" si="32"/>
        <v>-16 46 30.11084</v>
      </c>
      <c r="J223" s="54" t="str">
        <f t="shared" si="33"/>
        <v>125 49 51.57224</v>
      </c>
      <c r="K223" s="55">
        <f t="shared" si="34"/>
        <v>1.0000699207699761</v>
      </c>
      <c r="L223" s="56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4" t="str">
        <f t="shared" si="32"/>
        <v>-25 03 56.12306</v>
      </c>
      <c r="J224" s="54" t="str">
        <f t="shared" si="33"/>
        <v>115 17 43.53853</v>
      </c>
      <c r="K224" s="55">
        <f t="shared" si="34"/>
        <v>1.0000202717772708</v>
      </c>
      <c r="L224" s="56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0</v>
      </c>
      <c r="E225" s="10">
        <f t="shared" si="28"/>
        <v>0</v>
      </c>
      <c r="F225" s="11">
        <f t="shared" si="29"/>
        <v>2</v>
      </c>
      <c r="G225" s="11" t="str">
        <f t="shared" si="30"/>
        <v>-22 16 30.08</v>
      </c>
      <c r="H225" s="12">
        <f t="shared" si="31"/>
        <v>0</v>
      </c>
      <c r="I225" s="54" t="str">
        <f t="shared" si="32"/>
        <v>Division by zero</v>
      </c>
      <c r="J225" s="54" t="str">
        <f t="shared" si="33"/>
        <v>Division by zero</v>
      </c>
      <c r="K225" s="55" t="str">
        <f t="shared" si="34"/>
        <v>Division by zero</v>
      </c>
      <c r="L225" s="56" t="str">
        <f t="shared" si="35"/>
        <v>Division by zero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4" t="str">
        <f t="shared" si="32"/>
        <v>-16 11 31.92983</v>
      </c>
      <c r="J226" s="54" t="str">
        <f t="shared" si="33"/>
        <v>126 23 52.05332</v>
      </c>
      <c r="K226" s="55">
        <f t="shared" si="34"/>
        <v>1.0000783888557909</v>
      </c>
      <c r="L226" s="56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4" t="str">
        <f t="shared" si="32"/>
        <v>-25 16 50.71526</v>
      </c>
      <c r="J227" s="54" t="str">
        <f t="shared" si="33"/>
        <v>127 53 55.83102</v>
      </c>
      <c r="K227" s="55">
        <f t="shared" si="34"/>
        <v>1.0000849445698408</v>
      </c>
      <c r="L227" s="56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4" t="str">
        <f t="shared" si="32"/>
        <v>-22 26 25.53670</v>
      </c>
      <c r="J228" s="54" t="str">
        <f t="shared" si="33"/>
        <v>114 45 23.21226</v>
      </c>
      <c r="K228" s="55">
        <f t="shared" si="34"/>
        <v>1.0000044470997294</v>
      </c>
      <c r="L228" s="56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4" t="str">
        <f t="shared" si="32"/>
        <v>-32 50 23.51069</v>
      </c>
      <c r="J229" s="54" t="str">
        <f t="shared" si="33"/>
        <v>116 41 58.36247</v>
      </c>
      <c r="K229" s="55">
        <f t="shared" si="34"/>
        <v>1.0000445867838772</v>
      </c>
      <c r="L229" s="56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4" t="str">
        <f t="shared" si="32"/>
        <v>-16 54 21.11515</v>
      </c>
      <c r="J230" s="54" t="str">
        <f t="shared" si="33"/>
        <v>128 10 09.85098</v>
      </c>
      <c r="K230" s="55">
        <f t="shared" si="34"/>
        <v>1.000047611050505</v>
      </c>
      <c r="L230" s="56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4" t="str">
        <f t="shared" si="32"/>
        <v>-18 41 39.14549</v>
      </c>
      <c r="J231" s="54" t="str">
        <f t="shared" si="33"/>
        <v>127 48 50.25344</v>
      </c>
      <c r="K231" s="55">
        <f t="shared" si="34"/>
        <v>1.0000565389642777</v>
      </c>
      <c r="L231" s="56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4" t="str">
        <f t="shared" si="32"/>
        <v>-34 42 42.48713</v>
      </c>
      <c r="J232" s="54" t="str">
        <f t="shared" si="33"/>
        <v>117 01 56.88671</v>
      </c>
      <c r="K232" s="55">
        <f t="shared" si="34"/>
        <v>1.000010149608707</v>
      </c>
      <c r="L232" s="56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4" t="str">
        <f t="shared" si="32"/>
        <v>-33 07 59.43202</v>
      </c>
      <c r="J233" s="54" t="str">
        <f t="shared" si="33"/>
        <v>120 20 57.49152</v>
      </c>
      <c r="K233" s="55">
        <f t="shared" si="34"/>
        <v>1.0000462273692827</v>
      </c>
      <c r="L233" s="56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4" t="str">
        <f t="shared" si="32"/>
        <v>-21 58 35.03633</v>
      </c>
      <c r="J234" s="54" t="str">
        <f t="shared" si="33"/>
        <v>117 44 50.04895</v>
      </c>
      <c r="K234" s="55">
        <f t="shared" si="34"/>
        <v>1.0000714739575391</v>
      </c>
      <c r="L234" s="56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4" t="str">
        <f t="shared" si="32"/>
        <v>-31 43 47.64324</v>
      </c>
      <c r="J235" s="54" t="str">
        <f t="shared" si="33"/>
        <v>128 09 56.71447</v>
      </c>
      <c r="K235" s="55">
        <f t="shared" si="34"/>
        <v>1.0000124603851652</v>
      </c>
      <c r="L235" s="56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4" t="str">
        <f t="shared" si="32"/>
        <v>-32 11 16.52057</v>
      </c>
      <c r="J236" s="54" t="str">
        <f t="shared" si="33"/>
        <v>123 24 54.18936</v>
      </c>
      <c r="K236" s="55">
        <f t="shared" si="34"/>
        <v>1.0000314298058377</v>
      </c>
      <c r="L236" s="56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4" t="str">
        <f t="shared" si="32"/>
        <v>-15 58 01.05442</v>
      </c>
      <c r="J237" s="54" t="str">
        <f t="shared" si="33"/>
        <v>127 27 04.43754</v>
      </c>
      <c r="K237" s="55">
        <f t="shared" si="34"/>
        <v>1.0000525464429095</v>
      </c>
      <c r="L237" s="56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4" t="str">
        <f t="shared" si="32"/>
        <v>-33 44 16.76454</v>
      </c>
      <c r="J238" s="54" t="str">
        <f t="shared" si="33"/>
        <v>120 07 23.94361</v>
      </c>
      <c r="K238" s="55">
        <f t="shared" si="34"/>
        <v>1.0000086646809772</v>
      </c>
      <c r="L238" s="56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4" t="str">
        <f t="shared" si="32"/>
        <v>-32 06 30.10979</v>
      </c>
      <c r="J239" s="54" t="str">
        <f t="shared" si="33"/>
        <v>116 19 12.29250</v>
      </c>
      <c r="K239" s="55">
        <f t="shared" si="34"/>
        <v>1.0000355463525683</v>
      </c>
      <c r="L239" s="56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4" t="str">
        <f t="shared" si="32"/>
        <v>-32 28 25.22096</v>
      </c>
      <c r="J240" s="54" t="str">
        <f t="shared" si="33"/>
        <v>119 01 38.24724</v>
      </c>
      <c r="K240" s="55">
        <f t="shared" si="34"/>
        <v>1.0000454211280196</v>
      </c>
      <c r="L240" s="56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4" t="str">
        <f t="shared" si="32"/>
        <v>-17 03 57.63528</v>
      </c>
      <c r="J241" s="54" t="str">
        <f t="shared" si="33"/>
        <v>125 28 01.95694</v>
      </c>
      <c r="K241" s="55">
        <f t="shared" si="34"/>
        <v>1.0000643128358839</v>
      </c>
      <c r="L241" s="56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4" t="str">
        <f t="shared" si="32"/>
        <v>-34 03 20.20446</v>
      </c>
      <c r="J242" s="54" t="str">
        <f t="shared" si="33"/>
        <v>118 54 01.17479</v>
      </c>
      <c r="K242" s="55">
        <f t="shared" si="34"/>
        <v>1.000034720011185</v>
      </c>
      <c r="L242" s="56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4" t="str">
        <f t="shared" si="32"/>
        <v>-32 01 23.93076</v>
      </c>
      <c r="J243" s="54" t="str">
        <f t="shared" si="33"/>
        <v>125 43 05.75036</v>
      </c>
      <c r="K243" s="55">
        <f t="shared" si="34"/>
        <v>1.0000130002806946</v>
      </c>
      <c r="L243" s="56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4" t="str">
        <f t="shared" si="32"/>
        <v>-22 54 32.39453</v>
      </c>
      <c r="J244" s="54" t="str">
        <f t="shared" si="33"/>
        <v>117 33 44.05212</v>
      </c>
      <c r="K244" s="55">
        <f t="shared" si="34"/>
        <v>1.0000718292071253</v>
      </c>
      <c r="L244" s="56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4" t="str">
        <f t="shared" si="32"/>
        <v>-27 24 42.77038</v>
      </c>
      <c r="J245" s="54" t="str">
        <f t="shared" si="33"/>
        <v>114 21 07.63726</v>
      </c>
      <c r="K245" s="55">
        <f t="shared" si="34"/>
        <v>1.0000201016826098</v>
      </c>
      <c r="L245" s="56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4" t="str">
        <f t="shared" si="32"/>
        <v>-28 00 07.56655</v>
      </c>
      <c r="J246" s="54" t="str">
        <f t="shared" si="33"/>
        <v>119 40 44.72162</v>
      </c>
      <c r="K246" s="55">
        <f t="shared" si="34"/>
        <v>1.0000851556389503</v>
      </c>
      <c r="L246" s="56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4" t="str">
        <f t="shared" si="32"/>
        <v>-22 38 06.55505</v>
      </c>
      <c r="J247" s="54" t="str">
        <f t="shared" si="33"/>
        <v>118 21 46.86048</v>
      </c>
      <c r="K247" s="55">
        <f t="shared" si="34"/>
        <v>1.0001130421130031</v>
      </c>
      <c r="L247" s="56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4" t="str">
        <f t="shared" si="32"/>
        <v>-31 24 45.54007</v>
      </c>
      <c r="J248" s="54" t="str">
        <f t="shared" si="33"/>
        <v>117 41 49.27117</v>
      </c>
      <c r="K248" s="55">
        <f t="shared" si="34"/>
        <v>1.0000417264745507</v>
      </c>
      <c r="L248" s="56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4" t="str">
        <f t="shared" si="32"/>
        <v>-26 35 17.16911</v>
      </c>
      <c r="J249" s="54" t="str">
        <f t="shared" si="33"/>
        <v>119 01 59.81563</v>
      </c>
      <c r="K249" s="55">
        <f t="shared" si="34"/>
        <v>1.0000915902713265</v>
      </c>
      <c r="L249" s="56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4" t="str">
        <f t="shared" si="32"/>
        <v>-33 49 37.80592</v>
      </c>
      <c r="J250" s="54" t="str">
        <f t="shared" si="33"/>
        <v>117 03 35.57732</v>
      </c>
      <c r="K250" s="55">
        <f t="shared" si="34"/>
        <v>1.0000381903135436</v>
      </c>
      <c r="L250" s="56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4" t="str">
        <f t="shared" si="32"/>
        <v>-32 20 49.51853</v>
      </c>
      <c r="J251" s="54" t="str">
        <f t="shared" si="33"/>
        <v>118 12 52.18265</v>
      </c>
      <c r="K251" s="55">
        <f t="shared" si="34"/>
        <v>1.0000430729512075</v>
      </c>
      <c r="L251" s="56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4" t="str">
        <f t="shared" si="32"/>
        <v>-29 46 47.36921</v>
      </c>
      <c r="J252" s="54" t="str">
        <f t="shared" si="33"/>
        <v>117 25 49.86296</v>
      </c>
      <c r="K252" s="55">
        <f t="shared" si="34"/>
        <v>1.0000501974046914</v>
      </c>
      <c r="L252" s="56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4" t="str">
        <f t="shared" si="32"/>
        <v>-24 50 46.40658</v>
      </c>
      <c r="J253" s="54" t="str">
        <f t="shared" si="33"/>
        <v>119 30 31.76734</v>
      </c>
      <c r="K253" s="55">
        <f t="shared" si="34"/>
        <v>1.0000882807889881</v>
      </c>
      <c r="L253" s="56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0</v>
      </c>
      <c r="E254" s="10">
        <f t="shared" si="28"/>
        <v>0</v>
      </c>
      <c r="F254" s="11">
        <f t="shared" si="29"/>
        <v>2</v>
      </c>
      <c r="G254" s="11" t="str">
        <f t="shared" si="30"/>
        <v>-45 11 54.38</v>
      </c>
      <c r="H254" s="12">
        <f t="shared" si="31"/>
        <v>0</v>
      </c>
      <c r="I254" s="54" t="str">
        <f t="shared" si="32"/>
        <v>Division by zero</v>
      </c>
      <c r="J254" s="54" t="str">
        <f t="shared" si="33"/>
        <v>Division by zero</v>
      </c>
      <c r="K254" s="55" t="str">
        <f t="shared" si="34"/>
        <v>Division by zero</v>
      </c>
      <c r="L254" s="56" t="str">
        <f t="shared" si="35"/>
        <v>Division by zero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4" t="str">
        <f t="shared" si="32"/>
        <v>-32 58 50.54966</v>
      </c>
      <c r="J255" s="54" t="str">
        <f t="shared" si="33"/>
        <v>119 42 28.26443</v>
      </c>
      <c r="K255" s="55">
        <f t="shared" si="34"/>
        <v>1.0000460445308619</v>
      </c>
      <c r="L255" s="56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4" t="str">
        <f t="shared" si="32"/>
        <v>-18 34 55.17505</v>
      </c>
      <c r="J256" s="54" t="str">
        <f t="shared" si="33"/>
        <v>127 16 00.60110</v>
      </c>
      <c r="K256" s="55">
        <f t="shared" si="34"/>
        <v>1.0000583350931582</v>
      </c>
      <c r="L256" s="56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4" t="str">
        <f t="shared" si="32"/>
        <v>-28 51 08.94769</v>
      </c>
      <c r="J257" s="54" t="str">
        <f t="shared" si="33"/>
        <v>122 08 16.60085</v>
      </c>
      <c r="K257" s="55">
        <f t="shared" si="34"/>
        <v>1.0000650491097662</v>
      </c>
      <c r="L257" s="56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4" t="str">
        <f t="shared" si="32"/>
        <v>-27 50 30.81408</v>
      </c>
      <c r="J258" s="54" t="str">
        <f t="shared" si="33"/>
        <v>120 40 18.60244</v>
      </c>
      <c r="K258" s="55">
        <f t="shared" si="34"/>
        <v>1.0000778805383062</v>
      </c>
      <c r="L258" s="56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4" t="str">
        <f t="shared" ref="I259:I322" si="41">datumlat(D259,E259,F259,A259)</f>
        <v>-19 45 40.28105</v>
      </c>
      <c r="J259" s="54" t="str">
        <f t="shared" ref="J259:J322" si="42">datumlong(D259,E259,F259,A259)</f>
        <v>128 48 56.43360</v>
      </c>
      <c r="K259" s="55">
        <f t="shared" ref="K259:K322" si="43">DatumPntScle(D259,E259,F259,A259)</f>
        <v>1.0000666533495217</v>
      </c>
      <c r="L259" s="56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4" t="str">
        <f t="shared" si="41"/>
        <v>-17 40 22.59779</v>
      </c>
      <c r="J260" s="54" t="str">
        <f t="shared" si="42"/>
        <v>123 03 34.81366</v>
      </c>
      <c r="K260" s="55">
        <f t="shared" si="43"/>
        <v>1.0000082572757993</v>
      </c>
      <c r="L260" s="56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4" t="str">
        <f t="shared" si="41"/>
        <v>-18 49 31.44288</v>
      </c>
      <c r="J261" s="54" t="str">
        <f t="shared" si="42"/>
        <v>126 41 40.65756</v>
      </c>
      <c r="K261" s="55">
        <f t="shared" si="43"/>
        <v>1.0000453306211288</v>
      </c>
      <c r="L261" s="56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4" t="str">
        <f t="shared" si="41"/>
        <v>-31 53 41.52001</v>
      </c>
      <c r="J262" s="54" t="str">
        <f t="shared" si="42"/>
        <v>127 05 15.42844</v>
      </c>
      <c r="K262" s="55">
        <f t="shared" si="43"/>
        <v>1.0000012951137494</v>
      </c>
      <c r="L262" s="56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4" t="str">
        <f t="shared" si="41"/>
        <v>-32 01 02.92271</v>
      </c>
      <c r="J263" s="54" t="str">
        <f t="shared" si="42"/>
        <v>122 47 48.97684</v>
      </c>
      <c r="K263" s="55">
        <f t="shared" si="43"/>
        <v>1.0000496510316397</v>
      </c>
      <c r="L263" s="56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4" t="str">
        <f t="shared" si="41"/>
        <v>-20 50 53.02820</v>
      </c>
      <c r="J264" s="54" t="str">
        <f t="shared" si="42"/>
        <v>119 51 04.69238</v>
      </c>
      <c r="K264" s="55">
        <f t="shared" si="43"/>
        <v>1.000023880227326</v>
      </c>
      <c r="L264" s="56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0</v>
      </c>
      <c r="E265" s="10">
        <f t="shared" si="37"/>
        <v>0</v>
      </c>
      <c r="F265" s="11">
        <f t="shared" si="38"/>
        <v>2</v>
      </c>
      <c r="G265" s="11" t="str">
        <f t="shared" si="39"/>
        <v>-41 45 43.28</v>
      </c>
      <c r="H265" s="12">
        <f t="shared" si="40"/>
        <v>0</v>
      </c>
      <c r="I265" s="54" t="str">
        <f t="shared" si="41"/>
        <v>Division by zero</v>
      </c>
      <c r="J265" s="54" t="str">
        <f t="shared" si="42"/>
        <v>Division by zero</v>
      </c>
      <c r="K265" s="55" t="str">
        <f t="shared" si="43"/>
        <v>Division by zero</v>
      </c>
      <c r="L265" s="56" t="str">
        <f t="shared" si="44"/>
        <v>Division by zero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4" t="str">
        <f t="shared" si="41"/>
        <v>-17 31 59.58624</v>
      </c>
      <c r="J266" s="54" t="str">
        <f t="shared" si="42"/>
        <v>124 06 15.05909</v>
      </c>
      <c r="K266" s="55">
        <f t="shared" si="43"/>
        <v>1.0000200205714886</v>
      </c>
      <c r="L266" s="56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4" t="str">
        <f t="shared" si="41"/>
        <v>-26 31 20.85514</v>
      </c>
      <c r="J267" s="54" t="str">
        <f t="shared" si="42"/>
        <v>118 18 24.92575</v>
      </c>
      <c r="K267" s="55">
        <f t="shared" si="43"/>
        <v>1.0000764458775848</v>
      </c>
      <c r="L267" s="56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4" t="str">
        <f t="shared" si="41"/>
        <v>-29 37 27.17281</v>
      </c>
      <c r="J268" s="54" t="str">
        <f t="shared" si="42"/>
        <v>121 06 11.47133</v>
      </c>
      <c r="K268" s="55">
        <f t="shared" si="43"/>
        <v>1.0000650442913879</v>
      </c>
      <c r="L268" s="56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4" t="str">
        <f t="shared" si="41"/>
        <v>-31 28 20.23716</v>
      </c>
      <c r="J269" s="54" t="str">
        <f t="shared" si="42"/>
        <v>118 24 28.11017</v>
      </c>
      <c r="K269" s="55">
        <f t="shared" si="43"/>
        <v>1.0000512151388734</v>
      </c>
      <c r="L269" s="56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4" t="str">
        <f t="shared" si="41"/>
        <v>-21 12 43.53613</v>
      </c>
      <c r="J270" s="54" t="str">
        <f t="shared" si="42"/>
        <v>117 05 10.29340</v>
      </c>
      <c r="K270" s="55">
        <f t="shared" si="43"/>
        <v>1.0000289720304327</v>
      </c>
      <c r="L270" s="56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4" t="str">
        <f t="shared" si="41"/>
        <v>-29 12 27.47304</v>
      </c>
      <c r="J271" s="54" t="str">
        <f t="shared" si="42"/>
        <v>115 20 41.84491</v>
      </c>
      <c r="K271" s="55">
        <f t="shared" si="43"/>
        <v>1.0000249857589183</v>
      </c>
      <c r="L271" s="56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4" t="str">
        <f t="shared" si="41"/>
        <v>-31 56 01.43041</v>
      </c>
      <c r="J272" s="54" t="str">
        <f t="shared" si="42"/>
        <v>126 26 28.85129</v>
      </c>
      <c r="K272" s="55">
        <f t="shared" si="43"/>
        <v>1.0000112800291503</v>
      </c>
      <c r="L272" s="56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4" t="str">
        <f t="shared" si="41"/>
        <v>-34 50 14.53790</v>
      </c>
      <c r="J273" s="54" t="str">
        <f t="shared" si="42"/>
        <v>117 31 30.21035</v>
      </c>
      <c r="K273" s="55">
        <f t="shared" si="43"/>
        <v>1.0000016114358088</v>
      </c>
      <c r="L273" s="56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4" t="str">
        <f t="shared" si="41"/>
        <v>-16 59 00.09308</v>
      </c>
      <c r="J274" s="54" t="str">
        <f t="shared" si="42"/>
        <v>125 12 00.77015</v>
      </c>
      <c r="K274" s="55">
        <f t="shared" si="43"/>
        <v>1.000050213573568</v>
      </c>
      <c r="L274" s="56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4" t="str">
        <f t="shared" si="41"/>
        <v>-28 43 41.57918</v>
      </c>
      <c r="J275" s="54" t="str">
        <f t="shared" si="42"/>
        <v>117 48 36.44942</v>
      </c>
      <c r="K275" s="55">
        <f t="shared" si="43"/>
        <v>1.0000627020693178</v>
      </c>
      <c r="L275" s="56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4" t="str">
        <f t="shared" si="41"/>
        <v>-31 10 23.09603</v>
      </c>
      <c r="J276" s="54" t="str">
        <f t="shared" si="42"/>
        <v>115 57 37.48666</v>
      </c>
      <c r="K276" s="55">
        <f t="shared" si="43"/>
        <v>1.0000181421497611</v>
      </c>
      <c r="L276" s="56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4" t="str">
        <f t="shared" si="41"/>
        <v>-19 46 14.16695</v>
      </c>
      <c r="J277" s="54" t="str">
        <f t="shared" si="42"/>
        <v>128 20 18.88350</v>
      </c>
      <c r="K277" s="55">
        <f t="shared" si="43"/>
        <v>1.000061161958167</v>
      </c>
      <c r="L277" s="56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4" t="str">
        <f t="shared" si="41"/>
        <v>-27 10 02.83375</v>
      </c>
      <c r="J278" s="54" t="str">
        <f t="shared" si="42"/>
        <v>125 27 27.42588</v>
      </c>
      <c r="K278" s="55">
        <f t="shared" si="43"/>
        <v>1.0000678039484079</v>
      </c>
      <c r="L278" s="56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0</v>
      </c>
      <c r="E279" s="10">
        <f t="shared" si="37"/>
        <v>0</v>
      </c>
      <c r="F279" s="11">
        <f t="shared" si="38"/>
        <v>2</v>
      </c>
      <c r="G279" s="11" t="str">
        <f t="shared" si="39"/>
        <v>-42 52 53.92</v>
      </c>
      <c r="H279" s="12">
        <f t="shared" si="40"/>
        <v>0</v>
      </c>
      <c r="I279" s="54" t="str">
        <f t="shared" si="41"/>
        <v>Division by zero</v>
      </c>
      <c r="J279" s="54" t="str">
        <f t="shared" si="42"/>
        <v>Division by zero</v>
      </c>
      <c r="K279" s="55" t="str">
        <f t="shared" si="43"/>
        <v>Division by zero</v>
      </c>
      <c r="L279" s="56" t="str">
        <f t="shared" si="44"/>
        <v>Division by zero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4" t="str">
        <f t="shared" si="41"/>
        <v>-22 17 20.96981</v>
      </c>
      <c r="J280" s="54" t="str">
        <f t="shared" si="42"/>
        <v>118 32 42.23778</v>
      </c>
      <c r="K280" s="55">
        <f t="shared" si="43"/>
        <v>1.0000657097713495</v>
      </c>
      <c r="L280" s="56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4" t="str">
        <f t="shared" si="41"/>
        <v>-31 54 57.06076</v>
      </c>
      <c r="J281" s="54" t="str">
        <f t="shared" si="42"/>
        <v>127 36 41.78862</v>
      </c>
      <c r="K281" s="55">
        <f t="shared" si="43"/>
        <v>0.9999990338501501</v>
      </c>
      <c r="L281" s="56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4" t="str">
        <f t="shared" si="41"/>
        <v>-33 39 57.06911</v>
      </c>
      <c r="J282" s="54" t="str">
        <f t="shared" si="42"/>
        <v>120 36 20.81862</v>
      </c>
      <c r="K282" s="55">
        <f t="shared" si="43"/>
        <v>1.0000158825560377</v>
      </c>
      <c r="L282" s="56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4" t="str">
        <f t="shared" si="41"/>
        <v>-27 08 19.79272</v>
      </c>
      <c r="J283" s="54" t="str">
        <f t="shared" si="42"/>
        <v>116 03 51.92006</v>
      </c>
      <c r="K283" s="55">
        <f t="shared" si="43"/>
        <v>1.0000389948324702</v>
      </c>
      <c r="L283" s="56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4" t="str">
        <f t="shared" si="41"/>
        <v>-26 53 31.38252</v>
      </c>
      <c r="J284" s="54" t="str">
        <f t="shared" si="42"/>
        <v>118 15 06.88054</v>
      </c>
      <c r="K284" s="55">
        <f t="shared" si="43"/>
        <v>1.0000670900332376</v>
      </c>
      <c r="L284" s="56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4" t="str">
        <f t="shared" si="41"/>
        <v>-22 08 55.70711</v>
      </c>
      <c r="J285" s="54" t="str">
        <f t="shared" si="42"/>
        <v>115 27 09.13716</v>
      </c>
      <c r="K285" s="55">
        <f t="shared" si="43"/>
        <v>1.0000080291010121</v>
      </c>
      <c r="L285" s="56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4" t="str">
        <f t="shared" si="41"/>
        <v>-17 05 20.46160</v>
      </c>
      <c r="J286" s="54" t="str">
        <f t="shared" si="42"/>
        <v>124 58 55.25306</v>
      </c>
      <c r="K286" s="55">
        <f t="shared" si="43"/>
        <v>1.0000264744773977</v>
      </c>
      <c r="L286" s="56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4" t="str">
        <f t="shared" si="41"/>
        <v>-32 52 47.94629</v>
      </c>
      <c r="J287" s="54" t="str">
        <f t="shared" si="42"/>
        <v>117 11 26.41477</v>
      </c>
      <c r="K287" s="55">
        <f t="shared" si="43"/>
        <v>1.0000454721922787</v>
      </c>
      <c r="L287" s="56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4" t="str">
        <f t="shared" si="41"/>
        <v>-33 05 05.63417</v>
      </c>
      <c r="J288" s="54" t="str">
        <f t="shared" si="42"/>
        <v>119 07 36.90862</v>
      </c>
      <c r="K288" s="55">
        <f t="shared" si="43"/>
        <v>1.0000451056348285</v>
      </c>
      <c r="L288" s="56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4" t="str">
        <f t="shared" si="41"/>
        <v>-23 44 06.57593</v>
      </c>
      <c r="J289" s="54" t="str">
        <f t="shared" si="42"/>
        <v>119 43 16.09057</v>
      </c>
      <c r="K289" s="55">
        <f t="shared" si="43"/>
        <v>1.0000886225643877</v>
      </c>
      <c r="L289" s="56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4" t="str">
        <f t="shared" si="41"/>
        <v>-22 01 16.69087</v>
      </c>
      <c r="J290" s="54" t="str">
        <f t="shared" si="42"/>
        <v>120 07 35.67594</v>
      </c>
      <c r="K290" s="55">
        <f t="shared" si="43"/>
        <v>1.0000613729953438</v>
      </c>
      <c r="L290" s="56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4" t="str">
        <f t="shared" si="41"/>
        <v>-21 23 02.08046</v>
      </c>
      <c r="J291" s="54" t="str">
        <f t="shared" si="42"/>
        <v>121 05 40.35804</v>
      </c>
      <c r="K291" s="55">
        <f t="shared" si="43"/>
        <v>1.0000372502859283</v>
      </c>
      <c r="L291" s="56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4" t="str">
        <f t="shared" si="41"/>
        <v>-33 59 50.14824</v>
      </c>
      <c r="J292" s="54" t="str">
        <f t="shared" si="42"/>
        <v>118 29 25.13746</v>
      </c>
      <c r="K292" s="55">
        <f t="shared" si="43"/>
        <v>1.0000380946725118</v>
      </c>
      <c r="L292" s="56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4" t="str">
        <f t="shared" si="41"/>
        <v>-23 11 12.65305</v>
      </c>
      <c r="J293" s="54" t="str">
        <f t="shared" si="42"/>
        <v>119 26 07.88680</v>
      </c>
      <c r="K293" s="55">
        <f t="shared" si="43"/>
        <v>1.0001095321562632</v>
      </c>
      <c r="L293" s="56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4" t="str">
        <f t="shared" si="41"/>
        <v>-20 02 27.99614</v>
      </c>
      <c r="J294" s="54" t="str">
        <f t="shared" si="42"/>
        <v>119 55 45.39436</v>
      </c>
      <c r="K294" s="55">
        <f t="shared" si="43"/>
        <v>1.0000083101202148</v>
      </c>
      <c r="L294" s="56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4" t="str">
        <f t="shared" si="41"/>
        <v>-16 42 06.74165</v>
      </c>
      <c r="J295" s="54" t="str">
        <f t="shared" si="42"/>
        <v>122 56 18.68226</v>
      </c>
      <c r="K295" s="55">
        <f t="shared" si="43"/>
        <v>1.0000071947039202</v>
      </c>
      <c r="L295" s="56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4" t="str">
        <f t="shared" si="41"/>
        <v>-34 09 10.79312</v>
      </c>
      <c r="J296" s="54" t="str">
        <f t="shared" si="42"/>
        <v>116 37 36.89166</v>
      </c>
      <c r="K296" s="55">
        <f t="shared" si="43"/>
        <v>1.0000343576863293</v>
      </c>
      <c r="L296" s="56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4" t="str">
        <f t="shared" si="41"/>
        <v>-28 38 19.92480</v>
      </c>
      <c r="J297" s="54" t="str">
        <f t="shared" si="42"/>
        <v>115 48 05.27742</v>
      </c>
      <c r="K297" s="55">
        <f t="shared" si="43"/>
        <v>1.0000432102534436</v>
      </c>
      <c r="L297" s="56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4" t="str">
        <f t="shared" si="41"/>
        <v>-34 16 38.04665</v>
      </c>
      <c r="J298" s="54" t="str">
        <f t="shared" si="42"/>
        <v>119 27 41.68955</v>
      </c>
      <c r="K298" s="55">
        <f t="shared" si="43"/>
        <v>1.0000046740109922</v>
      </c>
      <c r="L298" s="56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4" t="str">
        <f t="shared" si="41"/>
        <v>-17 53 53.68254</v>
      </c>
      <c r="J299" s="54" t="str">
        <f t="shared" si="42"/>
        <v>125 06 44.20357</v>
      </c>
      <c r="K299" s="55">
        <f t="shared" si="43"/>
        <v>1.0000288862658684</v>
      </c>
      <c r="L299" s="56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4" t="str">
        <f t="shared" si="41"/>
        <v>-33 25 35.93183</v>
      </c>
      <c r="J300" s="54" t="str">
        <f t="shared" si="42"/>
        <v>120 04 12.81317</v>
      </c>
      <c r="K300" s="55">
        <f t="shared" si="43"/>
        <v>1.0000320450768261</v>
      </c>
      <c r="L300" s="56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4" t="str">
        <f t="shared" si="41"/>
        <v>-21 19 06.28716</v>
      </c>
      <c r="J301" s="54" t="str">
        <f t="shared" si="42"/>
        <v>120 31 29.12196</v>
      </c>
      <c r="K301" s="55">
        <f t="shared" si="43"/>
        <v>1.0000495318939204</v>
      </c>
      <c r="L301" s="56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4" t="str">
        <f t="shared" si="41"/>
        <v>-19 26 11.12287</v>
      </c>
      <c r="J302" s="54" t="str">
        <f t="shared" si="42"/>
        <v>121 21 36.34513</v>
      </c>
      <c r="K302" s="55">
        <f t="shared" si="43"/>
        <v>1.0000053520906591</v>
      </c>
      <c r="L302" s="56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4" t="str">
        <f t="shared" si="41"/>
        <v>-32 55 03.05929</v>
      </c>
      <c r="J303" s="54" t="str">
        <f t="shared" si="42"/>
        <v>121 43 02.37299</v>
      </c>
      <c r="K303" s="55">
        <f t="shared" si="43"/>
        <v>1.000027842372496</v>
      </c>
      <c r="L303" s="56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4" t="str">
        <f t="shared" si="41"/>
        <v>-31 12 19.45933</v>
      </c>
      <c r="J304" s="54" t="str">
        <f t="shared" si="42"/>
        <v>119 02 31.92230</v>
      </c>
      <c r="K304" s="55">
        <f t="shared" si="43"/>
        <v>1.0000528068116805</v>
      </c>
      <c r="L304" s="56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4" t="str">
        <f t="shared" si="41"/>
        <v>-34 45 56.52500</v>
      </c>
      <c r="J305" s="54" t="str">
        <f t="shared" si="42"/>
        <v>116 30 09.57265</v>
      </c>
      <c r="K305" s="55">
        <f t="shared" si="43"/>
        <v>1.0000080463192775</v>
      </c>
      <c r="L305" s="56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4" t="str">
        <f t="shared" si="41"/>
        <v>-20 33 06.99527</v>
      </c>
      <c r="J306" s="54" t="str">
        <f t="shared" si="42"/>
        <v>119 17 35.47867</v>
      </c>
      <c r="K306" s="55">
        <f t="shared" si="43"/>
        <v>1.0000110905562554</v>
      </c>
      <c r="L306" s="56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4" t="str">
        <f t="shared" si="41"/>
        <v>-26 26 14.84797</v>
      </c>
      <c r="J307" s="54" t="str">
        <f t="shared" si="42"/>
        <v>118 52 47.11055</v>
      </c>
      <c r="K307" s="55">
        <f t="shared" si="43"/>
        <v>1.000083540901785</v>
      </c>
      <c r="L307" s="56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0</v>
      </c>
      <c r="E308" s="10">
        <f t="shared" si="37"/>
        <v>0</v>
      </c>
      <c r="F308" s="11">
        <f t="shared" si="38"/>
        <v>2</v>
      </c>
      <c r="G308" s="11" t="str">
        <f t="shared" si="39"/>
        <v>-42 13 02.82</v>
      </c>
      <c r="H308" s="12">
        <f t="shared" si="40"/>
        <v>0</v>
      </c>
      <c r="I308" s="54" t="str">
        <f t="shared" si="41"/>
        <v>Division by zero</v>
      </c>
      <c r="J308" s="54" t="str">
        <f t="shared" si="42"/>
        <v>Division by zero</v>
      </c>
      <c r="K308" s="55" t="str">
        <f t="shared" si="43"/>
        <v>Division by zero</v>
      </c>
      <c r="L308" s="56" t="str">
        <f t="shared" si="44"/>
        <v>Division by zero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4" t="str">
        <f t="shared" si="41"/>
        <v>-21 09 57.78875</v>
      </c>
      <c r="J309" s="54" t="str">
        <f t="shared" si="42"/>
        <v>116 26 24.91174</v>
      </c>
      <c r="K309" s="55">
        <f t="shared" si="43"/>
        <v>1.000014675875877</v>
      </c>
      <c r="L309" s="56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4" t="str">
        <f t="shared" si="41"/>
        <v>-27 40 42.95507</v>
      </c>
      <c r="J310" s="54" t="str">
        <f t="shared" si="42"/>
        <v>124 05 38.15232</v>
      </c>
      <c r="K310" s="55">
        <f t="shared" si="43"/>
        <v>1.0000616508056197</v>
      </c>
      <c r="L310" s="56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4" t="str">
        <f t="shared" si="41"/>
        <v>-33 46 46.71458</v>
      </c>
      <c r="J311" s="54" t="str">
        <f t="shared" si="42"/>
        <v>118 26 59.22010</v>
      </c>
      <c r="K311" s="55">
        <f t="shared" si="43"/>
        <v>1.0000514803536724</v>
      </c>
      <c r="L311" s="56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4" t="str">
        <f t="shared" si="41"/>
        <v>-27 29 29.43722</v>
      </c>
      <c r="J312" s="54" t="str">
        <f t="shared" si="42"/>
        <v>124 42 52.35678</v>
      </c>
      <c r="K312" s="55">
        <f t="shared" si="43"/>
        <v>1.0000677600366128</v>
      </c>
      <c r="L312" s="56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4" t="str">
        <f t="shared" si="41"/>
        <v>-22 22 31.42128</v>
      </c>
      <c r="J313" s="54" t="str">
        <f t="shared" si="42"/>
        <v>117 47 42.38981</v>
      </c>
      <c r="K313" s="55">
        <f t="shared" si="43"/>
        <v>1.0001015299192506</v>
      </c>
      <c r="L313" s="56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4" t="str">
        <f t="shared" si="41"/>
        <v>-22 33 57.90726</v>
      </c>
      <c r="J314" s="54" t="str">
        <f t="shared" si="42"/>
        <v>115 59 27.12818</v>
      </c>
      <c r="K314" s="55">
        <f t="shared" si="43"/>
        <v>1.0000257324272288</v>
      </c>
      <c r="L314" s="56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4" t="str">
        <f t="shared" si="41"/>
        <v>-32 11 47.99810</v>
      </c>
      <c r="J315" s="54" t="str">
        <f t="shared" si="42"/>
        <v>125 15 29.71904</v>
      </c>
      <c r="K315" s="55">
        <f t="shared" si="43"/>
        <v>1.0000161651933355</v>
      </c>
      <c r="L315" s="56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4" t="str">
        <f t="shared" si="41"/>
        <v>-28 47 14.11555</v>
      </c>
      <c r="J316" s="54" t="str">
        <f t="shared" si="42"/>
        <v>114 52 59.53469</v>
      </c>
      <c r="K316" s="55">
        <f t="shared" si="43"/>
        <v>1.0000053106185209</v>
      </c>
      <c r="L316" s="56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4" t="str">
        <f t="shared" si="41"/>
        <v>-19 50 38.34992</v>
      </c>
      <c r="J317" s="54" t="str">
        <f t="shared" si="42"/>
        <v>120 34 40.98562</v>
      </c>
      <c r="K317" s="55">
        <f t="shared" si="43"/>
        <v>1.0000054703747583</v>
      </c>
      <c r="L317" s="56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4" t="str">
        <f t="shared" si="41"/>
        <v>-34 59 27.54834</v>
      </c>
      <c r="J318" s="54" t="str">
        <f t="shared" si="42"/>
        <v>116 41 41.80837</v>
      </c>
      <c r="K318" s="55">
        <f t="shared" si="43"/>
        <v>1.0000014438494185</v>
      </c>
      <c r="L318" s="56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4" t="str">
        <f t="shared" si="41"/>
        <v>-25 44 03.70774</v>
      </c>
      <c r="J319" s="54" t="str">
        <f t="shared" si="42"/>
        <v>127 20 12.24571</v>
      </c>
      <c r="K319" s="55">
        <f t="shared" si="43"/>
        <v>1.000082206026365</v>
      </c>
      <c r="L319" s="56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4" t="str">
        <f t="shared" si="41"/>
        <v>-24 57 15.24550</v>
      </c>
      <c r="J320" s="54" t="str">
        <f t="shared" si="42"/>
        <v>128 41 56.64800</v>
      </c>
      <c r="K320" s="55">
        <f t="shared" si="43"/>
        <v>1.0000938354670339</v>
      </c>
      <c r="L320" s="56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4" t="str">
        <f t="shared" si="41"/>
        <v>-26 05 27.00877</v>
      </c>
      <c r="J321" s="54" t="str">
        <f t="shared" si="42"/>
        <v>126 48 06.33002</v>
      </c>
      <c r="K321" s="55">
        <f t="shared" si="43"/>
        <v>1.0000837613967599</v>
      </c>
      <c r="L321" s="56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4" t="str">
        <f t="shared" si="41"/>
        <v>-30 01 56.53520</v>
      </c>
      <c r="J322" s="54" t="str">
        <f t="shared" si="42"/>
        <v>115 19 00.84313</v>
      </c>
      <c r="K322" s="55">
        <f t="shared" si="43"/>
        <v>1.0000205800062933</v>
      </c>
      <c r="L322" s="56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0</v>
      </c>
      <c r="E323" s="10">
        <f t="shared" ref="E323:E342" si="46">gridnorthing(B323,C323,A323)</f>
        <v>0</v>
      </c>
      <c r="F323" s="11">
        <f t="shared" ref="F323:F342" si="47">gridzone(B323,C323,A323)</f>
        <v>2</v>
      </c>
      <c r="G323" s="11" t="str">
        <f t="shared" ref="G323:G342" si="48">GridGridCon(B323,C323,A323)</f>
        <v>-30 11 30.38</v>
      </c>
      <c r="H323" s="12">
        <f t="shared" ref="H323:H342" si="49">GridPntScleFact(B323,C323,A323)</f>
        <v>0</v>
      </c>
      <c r="I323" s="54" t="str">
        <f t="shared" ref="I323:I342" si="50">datumlat(D323,E323,F323,A323)</f>
        <v>Division by zero</v>
      </c>
      <c r="J323" s="54" t="str">
        <f t="shared" ref="J323:J342" si="51">datumlong(D323,E323,F323,A323)</f>
        <v>Division by zero</v>
      </c>
      <c r="K323" s="55" t="str">
        <f t="shared" ref="K323:K342" si="52">DatumPntScle(D323,E323,F323,A323)</f>
        <v>Division by zero</v>
      </c>
      <c r="L323" s="56" t="str">
        <f t="shared" ref="L323:L342" si="53">DatumGridConv(D323,E323,F323,A323)</f>
        <v>Division by zero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4" t="str">
        <f t="shared" si="50"/>
        <v>-28 19 14.57540</v>
      </c>
      <c r="J324" s="54" t="str">
        <f t="shared" si="51"/>
        <v>121 03 08.46058</v>
      </c>
      <c r="K324" s="55">
        <f t="shared" si="52"/>
        <v>1.0000663451764198</v>
      </c>
      <c r="L324" s="56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4" t="str">
        <f t="shared" si="50"/>
        <v>-22 52 07.21963</v>
      </c>
      <c r="J325" s="54" t="str">
        <f t="shared" si="51"/>
        <v>119 02 29.14321</v>
      </c>
      <c r="K325" s="55">
        <f t="shared" si="52"/>
        <v>1.0001037589436921</v>
      </c>
      <c r="L325" s="56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4" t="str">
        <f t="shared" si="50"/>
        <v>-20 51 51.99149</v>
      </c>
      <c r="J326" s="54" t="str">
        <f t="shared" si="51"/>
        <v>117 46 39.17849</v>
      </c>
      <c r="K326" s="55">
        <f t="shared" si="52"/>
        <v>1.0000053558436466</v>
      </c>
      <c r="L326" s="56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4" t="str">
        <f t="shared" si="50"/>
        <v>-20 48 21.41986</v>
      </c>
      <c r="J327" s="54" t="str">
        <f t="shared" si="51"/>
        <v>117 56 30.03716</v>
      </c>
      <c r="K327" s="55">
        <f t="shared" si="52"/>
        <v>1.0000045693200144</v>
      </c>
      <c r="L327" s="56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4" t="str">
        <f t="shared" si="50"/>
        <v>-20 51 56.95247</v>
      </c>
      <c r="J328" s="54" t="str">
        <f t="shared" si="51"/>
        <v>117 36 08.42033</v>
      </c>
      <c r="K328" s="55">
        <f t="shared" si="52"/>
        <v>1.0000017402227979</v>
      </c>
      <c r="L328" s="56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4" t="str">
        <f t="shared" si="50"/>
        <v>-27 57 51.73222</v>
      </c>
      <c r="J329" s="54" t="str">
        <f t="shared" si="51"/>
        <v>123 21 43.63585</v>
      </c>
      <c r="K329" s="55">
        <f t="shared" si="52"/>
        <v>1.000067069816867</v>
      </c>
      <c r="L329" s="56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4" t="str">
        <f t="shared" si="50"/>
        <v>-26 39 30.49855</v>
      </c>
      <c r="J330" s="54" t="str">
        <f t="shared" si="51"/>
        <v>120 13 05.37082</v>
      </c>
      <c r="K330" s="55">
        <f t="shared" si="52"/>
        <v>1.0000766203304201</v>
      </c>
      <c r="L330" s="56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4" t="str">
        <f t="shared" si="50"/>
        <v>-22 12 24.08753</v>
      </c>
      <c r="J331" s="54" t="str">
        <f t="shared" si="51"/>
        <v>118 07 38.35196</v>
      </c>
      <c r="K331" s="55">
        <f t="shared" si="52"/>
        <v>1.000082663092783</v>
      </c>
      <c r="L331" s="56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4" t="str">
        <f t="shared" si="50"/>
        <v>-21 19 24.69616</v>
      </c>
      <c r="J332" s="54" t="str">
        <f t="shared" si="51"/>
        <v>118 48 48.03376</v>
      </c>
      <c r="K332" s="55">
        <f t="shared" si="52"/>
        <v>1.0000360133361481</v>
      </c>
      <c r="L332" s="56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4" t="str">
        <f t="shared" si="50"/>
        <v>-32 20 07.15646</v>
      </c>
      <c r="J333" s="54" t="str">
        <f t="shared" si="51"/>
        <v>124 43 16.51264</v>
      </c>
      <c r="K333" s="55">
        <f t="shared" si="52"/>
        <v>1.0000173647190123</v>
      </c>
      <c r="L333" s="56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4" t="str">
        <f t="shared" si="50"/>
        <v>-30 01 09.50570</v>
      </c>
      <c r="J334" s="54" t="str">
        <f t="shared" si="51"/>
        <v>116 42 14.28188</v>
      </c>
      <c r="K334" s="55">
        <f t="shared" si="52"/>
        <v>1.0000457218063061</v>
      </c>
      <c r="L334" s="56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4" t="str">
        <f t="shared" si="50"/>
        <v>-22 45 11.20435</v>
      </c>
      <c r="J335" s="54" t="str">
        <f t="shared" si="51"/>
        <v>116 31 42.45366</v>
      </c>
      <c r="K335" s="55">
        <f t="shared" si="52"/>
        <v>1.0000381255126671</v>
      </c>
      <c r="L335" s="56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4" t="str">
        <f t="shared" si="50"/>
        <v>-15 51 56.55701</v>
      </c>
      <c r="J336" s="54" t="str">
        <f t="shared" si="51"/>
        <v>128 10 28.07785</v>
      </c>
      <c r="K336" s="55">
        <f t="shared" si="52"/>
        <v>1.000023662455886</v>
      </c>
      <c r="L336" s="56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4" t="str">
        <f t="shared" si="50"/>
        <v>-28 28 05.93940</v>
      </c>
      <c r="J337" s="54" t="str">
        <f t="shared" si="51"/>
        <v>116 52 46.94495</v>
      </c>
      <c r="K337" s="55">
        <f t="shared" si="52"/>
        <v>1.0000474424625143</v>
      </c>
      <c r="L337" s="56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4" t="str">
        <f t="shared" si="50"/>
        <v>-22 47 01.78195</v>
      </c>
      <c r="J338" s="54" t="str">
        <f t="shared" si="51"/>
        <v>115 05 18.79753</v>
      </c>
      <c r="K338" s="55">
        <f t="shared" si="52"/>
        <v>1.0000140035501295</v>
      </c>
      <c r="L338" s="56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4" t="str">
        <f t="shared" si="50"/>
        <v>-26 07 49.91797</v>
      </c>
      <c r="J339" s="54" t="str">
        <f t="shared" si="51"/>
        <v>114 23 05.34930</v>
      </c>
      <c r="K339" s="55">
        <f t="shared" si="52"/>
        <v>1.0000060106733055</v>
      </c>
      <c r="L339" s="56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4" t="str">
        <f t="shared" si="50"/>
        <v>-21 17 50.34358</v>
      </c>
      <c r="J340" s="54" t="str">
        <f t="shared" si="51"/>
        <v>120 51 37.45786</v>
      </c>
      <c r="K340" s="55">
        <f t="shared" si="52"/>
        <v>1.0000405000668935</v>
      </c>
      <c r="L340" s="56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4" t="str">
        <f t="shared" si="50"/>
        <v>-21 49 05.31199</v>
      </c>
      <c r="J341" s="54" t="str">
        <f t="shared" si="51"/>
        <v>118 52 48.60174</v>
      </c>
      <c r="K341" s="55">
        <f t="shared" si="52"/>
        <v>1.000046549614199</v>
      </c>
      <c r="L341" s="56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4" t="str">
        <f t="shared" si="50"/>
        <v>-28 19 41.23474</v>
      </c>
      <c r="J342" s="54" t="str">
        <f t="shared" si="51"/>
        <v>114 55 46.40941</v>
      </c>
      <c r="K342" s="55">
        <f t="shared" si="52"/>
        <v>1.00003454971585</v>
      </c>
      <c r="L342" s="56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M8"/>
  <sheetViews>
    <sheetView workbookViewId="0">
      <selection activeCell="I14" sqref="I14"/>
    </sheetView>
  </sheetViews>
  <sheetFormatPr defaultRowHeight="15" x14ac:dyDescent="0.25"/>
  <cols>
    <col min="1" max="1" width="19.5703125" bestFit="1" customWidth="1"/>
    <col min="2" max="2" width="16.7109375" bestFit="1" customWidth="1"/>
    <col min="3" max="3" width="15" bestFit="1" customWidth="1"/>
    <col min="4" max="4" width="16.7109375" bestFit="1" customWidth="1"/>
    <col min="5" max="5" width="11.42578125" bestFit="1" customWidth="1"/>
    <col min="6" max="7" width="18.5703125" bestFit="1" customWidth="1"/>
    <col min="8" max="8" width="21.7109375" bestFit="1" customWidth="1"/>
    <col min="9" max="9" width="18.42578125" bestFit="1" customWidth="1"/>
    <col min="10" max="10" width="20.28515625" bestFit="1" customWidth="1"/>
    <col min="11" max="11" width="18.5703125" bestFit="1" customWidth="1"/>
    <col min="12" max="13" width="14.5703125" bestFit="1" customWidth="1"/>
  </cols>
  <sheetData>
    <row r="6" spans="1:13" ht="227.25" x14ac:dyDescent="0.25">
      <c r="A6" s="53" t="s">
        <v>1182</v>
      </c>
      <c r="B6" s="2"/>
      <c r="C6" s="2"/>
      <c r="D6" s="3"/>
      <c r="E6" s="3" t="s">
        <v>1183</v>
      </c>
      <c r="F6" s="3" t="s">
        <v>1184</v>
      </c>
      <c r="G6" s="3" t="s">
        <v>1184</v>
      </c>
      <c r="H6" s="3" t="s">
        <v>1185</v>
      </c>
      <c r="I6" s="3" t="s">
        <v>1186</v>
      </c>
      <c r="J6" s="3" t="s">
        <v>1187</v>
      </c>
      <c r="K6" s="3" t="s">
        <v>1188</v>
      </c>
      <c r="L6" s="3" t="s">
        <v>1189</v>
      </c>
      <c r="M6" s="3" t="s">
        <v>1190</v>
      </c>
    </row>
    <row r="7" spans="1:13" ht="18" thickBot="1" x14ac:dyDescent="0.35">
      <c r="A7" s="52" t="s">
        <v>1191</v>
      </c>
      <c r="B7" s="52" t="s">
        <v>1192</v>
      </c>
      <c r="C7" s="52" t="s">
        <v>1193</v>
      </c>
      <c r="D7" s="52" t="s">
        <v>1194</v>
      </c>
      <c r="E7" s="52" t="s">
        <v>1195</v>
      </c>
      <c r="F7" s="52" t="s">
        <v>1196</v>
      </c>
      <c r="G7" s="52" t="s">
        <v>1196</v>
      </c>
      <c r="H7" s="52" t="s">
        <v>1197</v>
      </c>
      <c r="I7" s="52" t="s">
        <v>1198</v>
      </c>
      <c r="J7" s="52" t="s">
        <v>1199</v>
      </c>
      <c r="K7" s="52" t="s">
        <v>1196</v>
      </c>
      <c r="L7" s="52" t="s">
        <v>1200</v>
      </c>
      <c r="M7" s="52" t="s">
        <v>1201</v>
      </c>
    </row>
    <row r="8" spans="1:13" x14ac:dyDescent="0.25">
      <c r="A8" s="14" t="s">
        <v>90</v>
      </c>
      <c r="B8" s="14" t="s">
        <v>91</v>
      </c>
      <c r="C8" s="14" t="s">
        <v>108</v>
      </c>
      <c r="D8" s="14" t="s">
        <v>109</v>
      </c>
      <c r="E8" s="11" t="str">
        <f>geoaz(A8,B8,C8,D8)</f>
        <v>119 01 32.35</v>
      </c>
      <c r="F8" s="11" t="str">
        <f>georevaz(A8,B8,C8,D8)</f>
        <v>298 41 26.63</v>
      </c>
      <c r="G8" s="11" t="str">
        <f>Midaz(A8,B8,C8,D8)</f>
        <v>208 51 29.49</v>
      </c>
      <c r="H8" s="10">
        <f>sphdist(A8,B8,C8,D8)</f>
        <v>63652.725837865815</v>
      </c>
      <c r="I8" s="54" t="str">
        <f>fwdlat(A8,B8,E8,H8)</f>
        <v>-33 56 22.71858</v>
      </c>
      <c r="J8" s="54" t="str">
        <f>fwdlong(A8,B8,E8,H8)</f>
        <v>115 57 48.99888</v>
      </c>
      <c r="K8" s="55" t="str">
        <f>fwdrevaz(A8,B8,E8,H8)</f>
        <v>298 41 26.63</v>
      </c>
      <c r="L8" s="56">
        <f>dd(K8)</f>
        <v>298.69073055555555</v>
      </c>
      <c r="M8" s="56" t="str">
        <f>hms(L8,5)</f>
        <v>298 41 26.63000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tabSelected="1" workbookViewId="0">
      <selection activeCell="F6" sqref="F6"/>
    </sheetView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customWidth="1"/>
    <col min="8" max="8" width="5.5703125" hidden="1" customWidth="1"/>
    <col min="9" max="9" width="8.5703125" hidden="1" customWidth="1"/>
    <col min="10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8.5703125" customWidth="1"/>
  </cols>
  <sheetData>
    <row r="1" spans="1:34" x14ac:dyDescent="0.25">
      <c r="A1" s="72"/>
      <c r="B1" s="72"/>
      <c r="C1" s="73" t="s">
        <v>1202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3" t="s">
        <v>1203</v>
      </c>
      <c r="T1" s="72"/>
      <c r="U1" s="72"/>
      <c r="V1" s="72"/>
      <c r="W1" s="73" t="s">
        <v>1204</v>
      </c>
      <c r="X1" s="72"/>
      <c r="Y1" s="72"/>
      <c r="Z1" s="74" t="s">
        <v>1205</v>
      </c>
      <c r="AA1" s="72"/>
      <c r="AB1" s="72"/>
      <c r="AC1" s="72"/>
      <c r="AD1" s="72"/>
      <c r="AE1" s="72"/>
      <c r="AF1" s="72"/>
      <c r="AG1" s="72"/>
      <c r="AH1" s="97" t="s">
        <v>1206</v>
      </c>
    </row>
    <row r="2" spans="1:34" ht="15.75" x14ac:dyDescent="0.3">
      <c r="A2" s="75" t="s">
        <v>1207</v>
      </c>
      <c r="B2" s="75" t="s">
        <v>1208</v>
      </c>
      <c r="C2" s="76" t="s">
        <v>1209</v>
      </c>
      <c r="D2" s="75" t="s">
        <v>1210</v>
      </c>
      <c r="E2" s="75" t="s">
        <v>1211</v>
      </c>
      <c r="F2" s="75" t="s">
        <v>1212</v>
      </c>
      <c r="G2" s="75" t="s">
        <v>1213</v>
      </c>
      <c r="H2" s="76" t="s">
        <v>1214</v>
      </c>
      <c r="I2" s="75" t="s">
        <v>1215</v>
      </c>
      <c r="J2" s="75" t="s">
        <v>1216</v>
      </c>
      <c r="K2" s="75" t="s">
        <v>1217</v>
      </c>
      <c r="L2" s="75" t="s">
        <v>1218</v>
      </c>
      <c r="M2" s="75" t="s">
        <v>1219</v>
      </c>
      <c r="N2" s="75" t="s">
        <v>1220</v>
      </c>
      <c r="O2" s="75" t="s">
        <v>1221</v>
      </c>
      <c r="P2" s="75" t="s">
        <v>1222</v>
      </c>
      <c r="Q2" s="75" t="s">
        <v>1223</v>
      </c>
      <c r="R2" s="75" t="s">
        <v>1224</v>
      </c>
      <c r="S2" s="76" t="s">
        <v>1225</v>
      </c>
      <c r="T2" s="75" t="s">
        <v>1226</v>
      </c>
      <c r="U2" s="75" t="s">
        <v>1227</v>
      </c>
      <c r="V2" s="75" t="s">
        <v>1228</v>
      </c>
      <c r="W2" s="76" t="s">
        <v>1229</v>
      </c>
      <c r="X2" s="77" t="s">
        <v>1230</v>
      </c>
      <c r="Y2" s="75" t="s">
        <v>1226</v>
      </c>
      <c r="Z2" s="75" t="s">
        <v>1231</v>
      </c>
      <c r="AA2" s="75"/>
      <c r="AB2" s="75"/>
      <c r="AC2" s="75"/>
      <c r="AD2" s="78"/>
      <c r="AE2" s="78"/>
      <c r="AF2" s="78"/>
      <c r="AH2" s="97"/>
    </row>
    <row r="3" spans="1:34" x14ac:dyDescent="0.25">
      <c r="A3" s="79" t="s">
        <v>1232</v>
      </c>
      <c r="B3" s="79" t="s">
        <v>1233</v>
      </c>
      <c r="C3" s="80">
        <v>2000</v>
      </c>
      <c r="D3" s="79">
        <v>0.1</v>
      </c>
      <c r="E3" s="79" t="s">
        <v>1234</v>
      </c>
      <c r="F3" s="79" t="s">
        <v>1250</v>
      </c>
      <c r="G3" s="81" cm="1">
        <f t="array" ref="G3">EarthRadius(AVERAGE(dd(E3),dd(F3)))</f>
        <v>6368593.5960599566</v>
      </c>
      <c r="H3" s="81">
        <f>-((D3^2*C3^3)/(24*G3^2))</f>
        <v>-8.2184832369945415E-8</v>
      </c>
      <c r="I3" s="81">
        <f>C3+H3</f>
        <v>1999.9999999178151</v>
      </c>
      <c r="J3" s="80">
        <v>150</v>
      </c>
      <c r="K3" s="80">
        <v>1.6</v>
      </c>
      <c r="L3" s="81">
        <f>J3+K3</f>
        <v>151.6</v>
      </c>
      <c r="M3" s="80">
        <v>200</v>
      </c>
      <c r="N3" s="80">
        <v>1.6</v>
      </c>
      <c r="O3" s="81">
        <f>M3+N3</f>
        <v>201.6</v>
      </c>
      <c r="P3" s="81">
        <f>AVERAGE(L3,O3)</f>
        <v>176.6</v>
      </c>
      <c r="Q3" s="81">
        <f>AVERAGE(J3,M3)</f>
        <v>175</v>
      </c>
      <c r="R3" s="82">
        <f>(I3^2-(L3-O3)^2)^0.5-I3</f>
        <v>-0.62509768680524758</v>
      </c>
      <c r="S3" s="81">
        <f>I3+R3</f>
        <v>1999.3749022310099</v>
      </c>
      <c r="T3" s="83">
        <f>-(P3/G3*S3)</f>
        <v>-5.5442320570187033E-2</v>
      </c>
      <c r="U3" s="83">
        <f>S3+T3</f>
        <v>1999.3194599104397</v>
      </c>
      <c r="V3" s="83">
        <f>U3^3/(24*G3^2)</f>
        <v>8.2100965803927949E-6</v>
      </c>
      <c r="W3" s="81">
        <f>U3+V3</f>
        <v>1999.3194681205364</v>
      </c>
      <c r="X3" s="84">
        <f>S3-((S3^2+(J3-M3)^2)^0.5)</f>
        <v>-0.62509768680524758</v>
      </c>
      <c r="Y3" s="81">
        <f>-((Q3/G3)*S3)</f>
        <v>-5.4940011890049441E-2</v>
      </c>
      <c r="Z3" s="81">
        <f>U3-X3-Y3</f>
        <v>1999.999497609135</v>
      </c>
      <c r="AA3" s="85"/>
      <c r="AB3" s="85"/>
      <c r="AC3" s="85"/>
      <c r="AD3" s="85"/>
      <c r="AE3" s="85"/>
      <c r="AF3" s="85"/>
      <c r="AG3" s="86" t="s">
        <v>1235</v>
      </c>
      <c r="AH3" s="87">
        <v>0.1</v>
      </c>
    </row>
    <row r="4" spans="1:34" x14ac:dyDescent="0.25">
      <c r="A4" s="79" t="s">
        <v>1232</v>
      </c>
      <c r="B4" s="79" t="s">
        <v>1233</v>
      </c>
      <c r="C4" s="88"/>
      <c r="D4" s="89"/>
      <c r="E4" s="79" t="s">
        <v>1234</v>
      </c>
      <c r="F4" s="79" t="s">
        <v>1250</v>
      </c>
      <c r="G4" s="81" cm="1">
        <f t="array" ref="G4">EarthRadius(AVERAGE(dd(E4),dd(F4)))</f>
        <v>6368593.5960599566</v>
      </c>
      <c r="H4" s="89"/>
      <c r="I4" s="81">
        <f>Z4</f>
        <v>2000.6249023742557</v>
      </c>
      <c r="J4" s="80">
        <v>150</v>
      </c>
      <c r="K4" s="89"/>
      <c r="L4" s="81">
        <f>J4+K4</f>
        <v>150</v>
      </c>
      <c r="M4" s="80">
        <v>200</v>
      </c>
      <c r="N4" s="89"/>
      <c r="O4" s="81">
        <f>M4+N4</f>
        <v>200</v>
      </c>
      <c r="P4" s="81">
        <f>AVERAGE(L4,O4)</f>
        <v>175</v>
      </c>
      <c r="Q4" s="81">
        <f>AVERAGE(J4,M4)</f>
        <v>175</v>
      </c>
      <c r="R4" s="82">
        <f>(I4^2-(L4-O4)^2)^0.5-I4</f>
        <v>-0.62490237425549822</v>
      </c>
      <c r="S4" s="80">
        <v>2000</v>
      </c>
      <c r="T4" s="83">
        <f>-(P4/G4*S4)</f>
        <v>-5.4957188698072007E-2</v>
      </c>
      <c r="U4" s="83">
        <f>S4+T4</f>
        <v>1999.9450428113018</v>
      </c>
      <c r="V4" s="83">
        <f>U4^3/(24*G4^2)</f>
        <v>8.2178057585099353E-6</v>
      </c>
      <c r="W4" s="81">
        <f>U4+V4</f>
        <v>1999.9450510291076</v>
      </c>
      <c r="X4" s="90"/>
      <c r="Y4" s="91"/>
      <c r="Z4" s="81">
        <f>(S4^2+(J4-M4)^2)^0.5</f>
        <v>2000.6249023742557</v>
      </c>
      <c r="AA4" s="72"/>
      <c r="AB4" s="72"/>
      <c r="AC4" s="72"/>
      <c r="AD4" s="72"/>
      <c r="AE4" s="72"/>
      <c r="AF4" s="72"/>
      <c r="AG4" s="86" t="s">
        <v>1236</v>
      </c>
      <c r="AH4" s="87">
        <v>0.15</v>
      </c>
    </row>
    <row r="5" spans="1:34" x14ac:dyDescent="0.25">
      <c r="A5" s="72"/>
      <c r="B5" s="72"/>
      <c r="C5" s="9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92"/>
      <c r="T5" s="72"/>
      <c r="U5" s="72"/>
      <c r="V5" s="72"/>
      <c r="W5" s="92"/>
      <c r="X5" s="72"/>
      <c r="Y5" s="72"/>
      <c r="Z5" s="72"/>
      <c r="AA5" s="72"/>
      <c r="AB5" s="72"/>
      <c r="AC5" s="72"/>
      <c r="AD5" s="72"/>
      <c r="AE5" s="72"/>
      <c r="AF5" s="72"/>
      <c r="AG5" s="86" t="s">
        <v>1237</v>
      </c>
      <c r="AH5" s="87">
        <v>0.2</v>
      </c>
    </row>
    <row r="6" spans="1:34" x14ac:dyDescent="0.25">
      <c r="A6" s="72"/>
      <c r="B6" s="72"/>
      <c r="C6" s="9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92"/>
      <c r="T6" s="72"/>
      <c r="U6" s="72"/>
      <c r="V6" s="72"/>
      <c r="W6" s="9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>
      <selection activeCell="N4" sqref="N4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18.5703125" customWidth="1"/>
  </cols>
  <sheetData>
    <row r="2" spans="1:8" x14ac:dyDescent="0.25">
      <c r="A2" s="93" t="s">
        <v>1238</v>
      </c>
    </row>
    <row r="4" spans="1:8" ht="340.5" x14ac:dyDescent="0.25">
      <c r="E4" s="1" t="s">
        <v>0</v>
      </c>
      <c r="F4" s="94" t="s">
        <v>1239</v>
      </c>
      <c r="G4" s="94" t="s">
        <v>1240</v>
      </c>
      <c r="H4" s="94" t="s">
        <v>1241</v>
      </c>
    </row>
    <row r="5" spans="1:8" ht="18" thickBot="1" x14ac:dyDescent="0.35">
      <c r="A5" s="4" t="s">
        <v>1242</v>
      </c>
      <c r="B5" s="4" t="s">
        <v>18</v>
      </c>
      <c r="C5" s="4" t="s">
        <v>19</v>
      </c>
      <c r="D5" s="4" t="s">
        <v>1243</v>
      </c>
      <c r="E5" s="4" t="s">
        <v>1242</v>
      </c>
      <c r="F5" s="4" t="s">
        <v>18</v>
      </c>
      <c r="G5" s="4" t="s">
        <v>19</v>
      </c>
      <c r="H5" s="4" t="s">
        <v>1243</v>
      </c>
    </row>
    <row r="6" spans="1:8" x14ac:dyDescent="0.25">
      <c r="A6" s="14" t="s">
        <v>1244</v>
      </c>
      <c r="B6" s="14" t="s">
        <v>1245</v>
      </c>
      <c r="C6" s="14" t="s">
        <v>1246</v>
      </c>
      <c r="D6" s="14">
        <v>603.34659999999997</v>
      </c>
      <c r="E6" s="14" t="s">
        <v>1247</v>
      </c>
      <c r="F6" s="14" t="str">
        <f>latsevenpara(A6,E6,B6,C6,D6)</f>
        <v>-23 40 12.39650</v>
      </c>
      <c r="G6" s="14" t="str">
        <f>lngsevenpara(A6,E6,B6,C6,D6)</f>
        <v>133 53 07.87779</v>
      </c>
      <c r="H6" s="95">
        <f>htsevenpara(A6,E6,B6,C6,D6)</f>
        <v>603.24887225870043</v>
      </c>
    </row>
    <row r="7" spans="1:8" x14ac:dyDescent="0.25">
      <c r="B7" s="96" t="s">
        <v>1248</v>
      </c>
      <c r="F7" s="96" t="s">
        <v>1249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2024-09-05T07:03:33Z</dcterms:modified>
</cp:coreProperties>
</file>