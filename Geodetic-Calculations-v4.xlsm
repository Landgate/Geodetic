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57250876-4F44-4883-8C39-9B23FB11894C}" xr6:coauthVersionLast="47" xr6:coauthVersionMax="47" xr10:uidLastSave="{00000000-0000-0000-0000-000000000000}"/>
  <bookViews>
    <workbookView xWindow="2535" yWindow="1680" windowWidth="28800" windowHeight="15195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EDM Reduction" sheetId="6" r:id="rId4"/>
    <sheet name="7 Parameter Transformations" sheetId="4" r:id="rId5"/>
  </sheets>
  <functionGroups builtInGroupCount="19"/>
  <externalReferences>
    <externalReference r:id="rId6"/>
  </externalReferences>
  <definedNames>
    <definedName name="_xlnm._FilterDatabase" localSheetId="1" hidden="1">'MRWA Project Grids'!$A$3:$M$343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6" l="1"/>
  <c r="I4" i="6" s="1"/>
  <c r="Q4" i="6"/>
  <c r="O4" i="6"/>
  <c r="L4" i="6"/>
  <c r="P4" i="6" s="1"/>
  <c r="Q3" i="6"/>
  <c r="O3" i="6"/>
  <c r="L3" i="6"/>
  <c r="P3" i="6" s="1"/>
  <c r="G4" i="6" a="1"/>
  <c r="G3" i="6" a="1"/>
  <c r="D242" i="5"/>
  <c r="D238" i="5"/>
  <c r="H182" i="5"/>
  <c r="D229" i="5"/>
  <c r="E51" i="5"/>
  <c r="D320" i="5"/>
  <c r="E252" i="5"/>
  <c r="G159" i="5"/>
  <c r="G210" i="5"/>
  <c r="H72" i="5"/>
  <c r="G302" i="5"/>
  <c r="F315" i="5"/>
  <c r="D147" i="5"/>
  <c r="H163" i="5"/>
  <c r="F35" i="5"/>
  <c r="E289" i="5"/>
  <c r="G299" i="5"/>
  <c r="D204" i="5"/>
  <c r="H180" i="5"/>
  <c r="F99" i="5"/>
  <c r="F148" i="5"/>
  <c r="E295" i="5"/>
  <c r="H233" i="5"/>
  <c r="D154" i="5"/>
  <c r="F44" i="5"/>
  <c r="H38" i="5"/>
  <c r="D336" i="5"/>
  <c r="H152" i="5"/>
  <c r="H169" i="5"/>
  <c r="G171" i="5"/>
  <c r="H286" i="5"/>
  <c r="F337" i="5"/>
  <c r="D223" i="5"/>
  <c r="G74" i="5"/>
  <c r="H37" i="5"/>
  <c r="F253" i="5"/>
  <c r="F146" i="5"/>
  <c r="H341" i="5"/>
  <c r="F244" i="5"/>
  <c r="F265" i="5"/>
  <c r="G157" i="5"/>
  <c r="D110" i="5"/>
  <c r="F48" i="5"/>
  <c r="F263" i="5"/>
  <c r="G306" i="5"/>
  <c r="G160" i="5"/>
  <c r="H89" i="5"/>
  <c r="G63" i="5"/>
  <c r="H237" i="5"/>
  <c r="H273" i="5"/>
  <c r="H230" i="5"/>
  <c r="H261" i="5"/>
  <c r="H320" i="5"/>
  <c r="G143" i="5"/>
  <c r="F132" i="5"/>
  <c r="F49" i="5"/>
  <c r="E244" i="5"/>
  <c r="D128" i="5"/>
  <c r="H142" i="5"/>
  <c r="F79" i="5"/>
  <c r="G18" i="5"/>
  <c r="D203" i="5"/>
  <c r="H77" i="5"/>
  <c r="H61" i="1"/>
  <c r="H327" i="5"/>
  <c r="H46" i="5"/>
  <c r="D18" i="5"/>
  <c r="G116" i="5"/>
  <c r="F78" i="5"/>
  <c r="F9" i="5"/>
  <c r="D265" i="5"/>
  <c r="H96" i="5"/>
  <c r="H18" i="5"/>
  <c r="D324" i="5"/>
  <c r="G55" i="1"/>
  <c r="F20" i="1"/>
  <c r="E214" i="5"/>
  <c r="H12" i="5"/>
  <c r="F34" i="5"/>
  <c r="G145" i="5"/>
  <c r="G96" i="5"/>
  <c r="D329" i="5"/>
  <c r="D333" i="5"/>
  <c r="F160" i="5"/>
  <c r="F211" i="5"/>
  <c r="D214" i="5"/>
  <c r="H300" i="5"/>
  <c r="E236" i="5"/>
  <c r="E137" i="5"/>
  <c r="D173" i="5"/>
  <c r="F50" i="5"/>
  <c r="H277" i="5"/>
  <c r="F299" i="5"/>
  <c r="H222" i="5"/>
  <c r="H147" i="5"/>
  <c r="D132" i="5"/>
  <c r="F264" i="5"/>
  <c r="G283" i="5"/>
  <c r="E179" i="5"/>
  <c r="H164" i="5"/>
  <c r="D77" i="5"/>
  <c r="E120" i="5"/>
  <c r="F254" i="5"/>
  <c r="G329" i="5"/>
  <c r="H134" i="5"/>
  <c r="D166" i="5"/>
  <c r="E141" i="5"/>
  <c r="H316" i="5"/>
  <c r="H131" i="5"/>
  <c r="F121" i="5"/>
  <c r="D258" i="5"/>
  <c r="F226" i="5"/>
  <c r="D207" i="5"/>
  <c r="E52" i="5"/>
  <c r="G36" i="5"/>
  <c r="D342" i="5"/>
  <c r="H279" i="5"/>
  <c r="D313" i="5"/>
  <c r="F339" i="5"/>
  <c r="D211" i="5"/>
  <c r="G141" i="5"/>
  <c r="E85" i="5"/>
  <c r="G219" i="5"/>
  <c r="G238" i="5"/>
  <c r="G290" i="5"/>
  <c r="H135" i="5"/>
  <c r="F67" i="5"/>
  <c r="G47" i="5"/>
  <c r="E327" i="5"/>
  <c r="H257" i="5"/>
  <c r="F208" i="5"/>
  <c r="D233" i="5"/>
  <c r="H304" i="5"/>
  <c r="H221" i="5"/>
  <c r="G107" i="5"/>
  <c r="E195" i="5"/>
  <c r="E97" i="5"/>
  <c r="G35" i="5"/>
  <c r="E176" i="5"/>
  <c r="G62" i="1"/>
  <c r="E225" i="5"/>
  <c r="F289" i="5"/>
  <c r="H45" i="1"/>
  <c r="H165" i="5"/>
  <c r="F60" i="1"/>
  <c r="E46" i="5"/>
  <c r="E38" i="5"/>
  <c r="H7" i="5"/>
  <c r="F262" i="5"/>
  <c r="F56" i="1"/>
  <c r="G161" i="5"/>
  <c r="H55" i="5"/>
  <c r="E33" i="1"/>
  <c r="E304" i="5"/>
  <c r="D317" i="5"/>
  <c r="D138" i="5"/>
  <c r="H193" i="5"/>
  <c r="G163" i="5"/>
  <c r="F278" i="5"/>
  <c r="D332" i="5"/>
  <c r="F249" i="5"/>
  <c r="F155" i="5"/>
  <c r="F156" i="5"/>
  <c r="H253" i="5"/>
  <c r="F283" i="5"/>
  <c r="F200" i="5"/>
  <c r="H112" i="5"/>
  <c r="G239" i="5"/>
  <c r="G267" i="5"/>
  <c r="F154" i="5"/>
  <c r="H148" i="5"/>
  <c r="H57" i="5"/>
  <c r="E104" i="5"/>
  <c r="E342" i="5"/>
  <c r="G313" i="5"/>
  <c r="E232" i="5"/>
  <c r="G98" i="5"/>
  <c r="F119" i="5"/>
  <c r="F294" i="5"/>
  <c r="D219" i="5"/>
  <c r="D103" i="5"/>
  <c r="F105" i="5"/>
  <c r="G6" i="4"/>
  <c r="G201" i="5"/>
  <c r="D191" i="5"/>
  <c r="D222" i="5"/>
  <c r="I222" i="5" s="1"/>
  <c r="D9" i="5"/>
  <c r="D326" i="5"/>
  <c r="G216" i="5"/>
  <c r="E288" i="5"/>
  <c r="F323" i="5"/>
  <c r="E186" i="5"/>
  <c r="F60" i="5"/>
  <c r="D129" i="5"/>
  <c r="D328" i="5"/>
  <c r="G274" i="5"/>
  <c r="G231" i="5"/>
  <c r="D45" i="5"/>
  <c r="F212" i="5"/>
  <c r="G285" i="5"/>
  <c r="H241" i="5"/>
  <c r="D186" i="5"/>
  <c r="F326" i="5"/>
  <c r="H288" i="5"/>
  <c r="F199" i="5"/>
  <c r="H82" i="5"/>
  <c r="H215" i="5"/>
  <c r="F19" i="5"/>
  <c r="D168" i="5"/>
  <c r="G6" i="5"/>
  <c r="G46" i="1"/>
  <c r="F279" i="5"/>
  <c r="D301" i="5"/>
  <c r="G256" i="5"/>
  <c r="E156" i="5"/>
  <c r="D122" i="5"/>
  <c r="G237" i="5"/>
  <c r="D316" i="5"/>
  <c r="F215" i="5"/>
  <c r="H137" i="5"/>
  <c r="E121" i="5"/>
  <c r="G341" i="5"/>
  <c r="F267" i="5"/>
  <c r="D178" i="5"/>
  <c r="F227" i="5"/>
  <c r="E91" i="5"/>
  <c r="G326" i="5"/>
  <c r="G251" i="5"/>
  <c r="E322" i="5"/>
  <c r="H311" i="5"/>
  <c r="E131" i="5"/>
  <c r="E88" i="5"/>
  <c r="G300" i="5"/>
  <c r="G297" i="5"/>
  <c r="G190" i="5"/>
  <c r="E76" i="5"/>
  <c r="F103" i="5"/>
  <c r="D272" i="5"/>
  <c r="E194" i="5"/>
  <c r="E78" i="5"/>
  <c r="F89" i="5"/>
  <c r="E320" i="5"/>
  <c r="H176" i="5"/>
  <c r="D175" i="5"/>
  <c r="H128" i="5"/>
  <c r="G335" i="5"/>
  <c r="E330" i="5"/>
  <c r="D310" i="5"/>
  <c r="H191" i="5"/>
  <c r="E264" i="5"/>
  <c r="F307" i="5"/>
  <c r="F161" i="5"/>
  <c r="H219" i="5"/>
  <c r="E132" i="5"/>
  <c r="D113" i="5"/>
  <c r="H308" i="5"/>
  <c r="G258" i="5"/>
  <c r="E209" i="5"/>
  <c r="I154" i="5"/>
  <c r="G179" i="5"/>
  <c r="E128" i="5"/>
  <c r="D264" i="5"/>
  <c r="G337" i="5"/>
  <c r="H166" i="5"/>
  <c r="D304" i="5"/>
  <c r="H272" i="5"/>
  <c r="D177" i="5"/>
  <c r="D54" i="5"/>
  <c r="D198" i="5"/>
  <c r="D243" i="5"/>
  <c r="H125" i="5"/>
  <c r="F63" i="1"/>
  <c r="E230" i="5"/>
  <c r="D21" i="1"/>
  <c r="G30" i="1"/>
  <c r="D216" i="5"/>
  <c r="F19" i="1"/>
  <c r="H4" i="1"/>
  <c r="E159" i="5"/>
  <c r="G18" i="1"/>
  <c r="E5" i="1"/>
  <c r="E280" i="5"/>
  <c r="D51" i="1"/>
  <c r="G28" i="1"/>
  <c r="E277" i="5"/>
  <c r="H63" i="5"/>
  <c r="H14" i="1"/>
  <c r="G296" i="5"/>
  <c r="D29" i="5"/>
  <c r="F53" i="1"/>
  <c r="G100" i="5"/>
  <c r="F46" i="1"/>
  <c r="D225" i="5"/>
  <c r="F94" i="5"/>
  <c r="H59" i="1"/>
  <c r="F93" i="5"/>
  <c r="G117" i="5"/>
  <c r="H60" i="1"/>
  <c r="E266" i="5"/>
  <c r="E113" i="5"/>
  <c r="G7" i="1"/>
  <c r="F255" i="5"/>
  <c r="D285" i="5"/>
  <c r="E216" i="5"/>
  <c r="G138" i="5"/>
  <c r="D106" i="5"/>
  <c r="F325" i="5"/>
  <c r="D300" i="5"/>
  <c r="D193" i="5"/>
  <c r="G139" i="5"/>
  <c r="E105" i="5"/>
  <c r="E319" i="5"/>
  <c r="F251" i="5"/>
  <c r="H158" i="5"/>
  <c r="H209" i="5"/>
  <c r="G49" i="5"/>
  <c r="H301" i="5"/>
  <c r="G235" i="5"/>
  <c r="G224" i="5"/>
  <c r="G226" i="5"/>
  <c r="F90" i="5"/>
  <c r="E72" i="5"/>
  <c r="E278" i="5"/>
  <c r="G281" i="5"/>
  <c r="E168" i="5"/>
  <c r="F130" i="5"/>
  <c r="F87" i="5"/>
  <c r="G253" i="5"/>
  <c r="F169" i="5"/>
  <c r="F53" i="5"/>
  <c r="F73" i="5"/>
  <c r="F295" i="5"/>
  <c r="D148" i="5"/>
  <c r="D159" i="5"/>
  <c r="E107" i="5"/>
  <c r="H310" i="5"/>
  <c r="H334" i="5"/>
  <c r="D294" i="5"/>
  <c r="D163" i="5"/>
  <c r="F239" i="5"/>
  <c r="F291" i="5"/>
  <c r="G136" i="5"/>
  <c r="H203" i="5"/>
  <c r="K110" i="5"/>
  <c r="D97" i="5"/>
  <c r="F286" i="5"/>
  <c r="G242" i="5"/>
  <c r="G167" i="5"/>
  <c r="G121" i="5"/>
  <c r="E112" i="5"/>
  <c r="H244" i="5"/>
  <c r="G321" i="5"/>
  <c r="F144" i="5"/>
  <c r="H284" i="5"/>
  <c r="H256" i="5"/>
  <c r="H157" i="5"/>
  <c r="H129" i="5"/>
  <c r="G126" i="5"/>
  <c r="F183" i="5"/>
  <c r="D41" i="5"/>
  <c r="F47" i="1"/>
  <c r="F141" i="5"/>
  <c r="E8" i="1"/>
  <c r="D160" i="5"/>
  <c r="H20" i="5"/>
  <c r="E197" i="5"/>
  <c r="F221" i="5"/>
  <c r="D16" i="5"/>
  <c r="G16" i="5"/>
  <c r="H268" i="5"/>
  <c r="F91" i="5"/>
  <c r="H31" i="1"/>
  <c r="E343" i="5"/>
  <c r="D269" i="5"/>
  <c r="G174" i="5"/>
  <c r="H146" i="5"/>
  <c r="D90" i="5"/>
  <c r="D303" i="5"/>
  <c r="D284" i="5"/>
  <c r="H173" i="5"/>
  <c r="E110" i="5"/>
  <c r="E89" i="5"/>
  <c r="G277" i="5"/>
  <c r="F235" i="5"/>
  <c r="F136" i="5"/>
  <c r="E172" i="5"/>
  <c r="E149" i="5"/>
  <c r="D273" i="5"/>
  <c r="G330" i="5"/>
  <c r="H199" i="5"/>
  <c r="D189" i="5"/>
  <c r="D68" i="5"/>
  <c r="E56" i="5"/>
  <c r="H259" i="5"/>
  <c r="G265" i="5"/>
  <c r="G312" i="5"/>
  <c r="G89" i="5"/>
  <c r="F71" i="5"/>
  <c r="F341" i="5"/>
  <c r="G144" i="5"/>
  <c r="E181" i="5"/>
  <c r="F57" i="5"/>
  <c r="G270" i="5"/>
  <c r="E218" i="5"/>
  <c r="D143" i="5"/>
  <c r="G65" i="5"/>
  <c r="D282" i="5"/>
  <c r="D306" i="5"/>
  <c r="D278" i="5"/>
  <c r="E138" i="5"/>
  <c r="I138" i="5" s="1"/>
  <c r="F275" i="5"/>
  <c r="F232" i="5"/>
  <c r="H187" i="5"/>
  <c r="G90" i="5"/>
  <c r="D81" i="5"/>
  <c r="G245" i="5"/>
  <c r="F338" i="5"/>
  <c r="E145" i="5"/>
  <c r="D100" i="5"/>
  <c r="E96" i="5"/>
  <c r="G332" i="5"/>
  <c r="G305" i="5"/>
  <c r="E263" i="5"/>
  <c r="H240" i="5"/>
  <c r="E136" i="5"/>
  <c r="F107" i="5"/>
  <c r="G110" i="5"/>
  <c r="F222" i="5"/>
  <c r="F7" i="5"/>
  <c r="F31" i="1"/>
  <c r="E212" i="5"/>
  <c r="G21" i="5"/>
  <c r="E222" i="5"/>
  <c r="D52" i="1"/>
  <c r="K128" i="5"/>
  <c r="E182" i="5"/>
  <c r="E51" i="1"/>
  <c r="K51" i="1" s="1"/>
  <c r="F4" i="1"/>
  <c r="G8" i="1"/>
  <c r="D244" i="5"/>
  <c r="D82" i="5"/>
  <c r="F37" i="5"/>
  <c r="D153" i="5"/>
  <c r="D57" i="1"/>
  <c r="H43" i="1"/>
  <c r="F272" i="5"/>
  <c r="G83" i="5"/>
  <c r="G48" i="1"/>
  <c r="F14" i="1"/>
  <c r="D192" i="5"/>
  <c r="D33" i="5"/>
  <c r="F11" i="5"/>
  <c r="F29" i="1"/>
  <c r="G301" i="5"/>
  <c r="D253" i="5"/>
  <c r="E152" i="5"/>
  <c r="D111" i="5"/>
  <c r="D74" i="5"/>
  <c r="H283" i="5"/>
  <c r="D268" i="5"/>
  <c r="F151" i="5"/>
  <c r="F85" i="5"/>
  <c r="E73" i="5"/>
  <c r="D256" i="5"/>
  <c r="E331" i="5"/>
  <c r="E242" i="5"/>
  <c r="G154" i="5"/>
  <c r="F120" i="5"/>
  <c r="D249" i="5"/>
  <c r="G314" i="5"/>
  <c r="D171" i="5"/>
  <c r="F171" i="5"/>
  <c r="H48" i="5"/>
  <c r="E40" i="5"/>
  <c r="F237" i="5"/>
  <c r="G249" i="5"/>
  <c r="G304" i="5"/>
  <c r="E67" i="5"/>
  <c r="F55" i="5"/>
  <c r="D319" i="5"/>
  <c r="H271" i="5"/>
  <c r="D118" i="5"/>
  <c r="F41" i="5"/>
  <c r="G246" i="5"/>
  <c r="F193" i="5"/>
  <c r="G288" i="5"/>
  <c r="E43" i="5"/>
  <c r="E257" i="5"/>
  <c r="E281" i="5"/>
  <c r="D262" i="5"/>
  <c r="E250" i="5"/>
  <c r="G309" i="5"/>
  <c r="F259" i="5"/>
  <c r="D210" i="5"/>
  <c r="H171" i="5"/>
  <c r="E68" i="5"/>
  <c r="D65" i="5"/>
  <c r="F333" i="5"/>
  <c r="F322" i="5"/>
  <c r="D299" i="5"/>
  <c r="H217" i="5"/>
  <c r="H80" i="5"/>
  <c r="E80" i="5"/>
  <c r="E310" i="5"/>
  <c r="G289" i="5"/>
  <c r="G222" i="5"/>
  <c r="G280" i="5"/>
  <c r="F241" i="5"/>
  <c r="D85" i="5"/>
  <c r="G94" i="5"/>
  <c r="D231" i="5"/>
  <c r="H25" i="1"/>
  <c r="G25" i="5"/>
  <c r="H161" i="5"/>
  <c r="H56" i="1"/>
  <c r="H24" i="5"/>
  <c r="D183" i="5"/>
  <c r="E27" i="1"/>
  <c r="E61" i="1"/>
  <c r="G202" i="5"/>
  <c r="F26" i="1"/>
  <c r="H35" i="1"/>
  <c r="G97" i="5"/>
  <c r="F162" i="5"/>
  <c r="D20" i="5"/>
  <c r="E44" i="1"/>
  <c r="D41" i="1"/>
  <c r="E14" i="1"/>
  <c r="E256" i="5"/>
  <c r="E279" i="5"/>
  <c r="D237" i="5"/>
  <c r="E231" i="5"/>
  <c r="E86" i="5"/>
  <c r="D58" i="5"/>
  <c r="E262" i="5"/>
  <c r="D252" i="5"/>
  <c r="K252" i="5" s="1"/>
  <c r="F230" i="5"/>
  <c r="G60" i="5"/>
  <c r="E57" i="5"/>
  <c r="H236" i="5"/>
  <c r="E315" i="5"/>
  <c r="G214" i="5"/>
  <c r="F134" i="5"/>
  <c r="F104" i="5"/>
  <c r="H340" i="5"/>
  <c r="G298" i="5"/>
  <c r="E146" i="5"/>
  <c r="H153" i="5"/>
  <c r="D123" i="5"/>
  <c r="F62" i="5"/>
  <c r="H330" i="5"/>
  <c r="G233" i="5"/>
  <c r="H178" i="5"/>
  <c r="F39" i="5"/>
  <c r="H299" i="5"/>
  <c r="E217" i="5"/>
  <c r="E93" i="5"/>
  <c r="E335" i="5"/>
  <c r="G168" i="5"/>
  <c r="E204" i="5"/>
  <c r="F164" i="5"/>
  <c r="F319" i="5"/>
  <c r="F256" i="5"/>
  <c r="D246" i="5"/>
  <c r="H214" i="5"/>
  <c r="E287" i="5"/>
  <c r="F243" i="5"/>
  <c r="H190" i="5"/>
  <c r="H155" i="5"/>
  <c r="H186" i="5"/>
  <c r="D49" i="5"/>
  <c r="D311" i="5"/>
  <c r="F306" i="5"/>
  <c r="F223" i="5"/>
  <c r="E180" i="5"/>
  <c r="F58" i="5"/>
  <c r="E64" i="5"/>
  <c r="G268" i="5"/>
  <c r="G273" i="5"/>
  <c r="E200" i="5"/>
  <c r="H331" i="5"/>
  <c r="H216" i="5"/>
  <c r="H65" i="5"/>
  <c r="G78" i="5"/>
  <c r="G188" i="5"/>
  <c r="D104" i="5"/>
  <c r="G9" i="5"/>
  <c r="F125" i="5"/>
  <c r="D28" i="1"/>
  <c r="H260" i="5"/>
  <c r="D259" i="5"/>
  <c r="E215" i="5"/>
  <c r="F61" i="5"/>
  <c r="D42" i="5"/>
  <c r="E333" i="5"/>
  <c r="D236" i="5"/>
  <c r="I236" i="5" s="1"/>
  <c r="F214" i="5"/>
  <c r="E125" i="5"/>
  <c r="E41" i="5"/>
  <c r="K41" i="5" s="1"/>
  <c r="G324" i="5"/>
  <c r="E299" i="5"/>
  <c r="E192" i="5"/>
  <c r="F109" i="5"/>
  <c r="F88" i="5"/>
  <c r="F318" i="5"/>
  <c r="G282" i="5"/>
  <c r="G199" i="5"/>
  <c r="D339" i="5"/>
  <c r="D107" i="5"/>
  <c r="F15" i="5"/>
  <c r="H314" i="5"/>
  <c r="D228" i="5"/>
  <c r="H225" i="5"/>
  <c r="E122" i="5"/>
  <c r="E55" i="5"/>
  <c r="F277" i="5"/>
  <c r="G175" i="5"/>
  <c r="F68" i="5"/>
  <c r="G118" i="5"/>
  <c r="G293" i="5"/>
  <c r="H143" i="5"/>
  <c r="G186" i="5"/>
  <c r="G120" i="5"/>
  <c r="G294" i="5"/>
  <c r="F343" i="5"/>
  <c r="D341" i="5"/>
  <c r="F192" i="5"/>
  <c r="E339" i="5"/>
  <c r="F168" i="5"/>
  <c r="H139" i="5"/>
  <c r="F122" i="5"/>
  <c r="G133" i="5"/>
  <c r="H291" i="5"/>
  <c r="F290" i="5"/>
  <c r="D201" i="5"/>
  <c r="G162" i="5"/>
  <c r="D36" i="5"/>
  <c r="E48" i="5"/>
  <c r="D247" i="5"/>
  <c r="G257" i="5"/>
  <c r="G158" i="5"/>
  <c r="F309" i="5"/>
  <c r="D188" i="5"/>
  <c r="F43" i="5"/>
  <c r="G62" i="5"/>
  <c r="E142" i="5"/>
  <c r="F22" i="5"/>
  <c r="G53" i="1"/>
  <c r="L222" i="5"/>
  <c r="E62" i="5"/>
  <c r="D9" i="1"/>
  <c r="H52" i="1"/>
  <c r="F203" i="5"/>
  <c r="F46" i="5"/>
  <c r="D6" i="1"/>
  <c r="E118" i="5"/>
  <c r="G40" i="5"/>
  <c r="H103" i="5"/>
  <c r="E57" i="1"/>
  <c r="H206" i="5"/>
  <c r="D48" i="1"/>
  <c r="D215" i="5"/>
  <c r="F54" i="5"/>
  <c r="G147" i="5"/>
  <c r="F245" i="5"/>
  <c r="F172" i="5"/>
  <c r="D40" i="5"/>
  <c r="H14" i="5"/>
  <c r="D167" i="5"/>
  <c r="F38" i="5"/>
  <c r="F23" i="1"/>
  <c r="E341" i="5"/>
  <c r="H218" i="5"/>
  <c r="H30" i="5"/>
  <c r="G134" i="5"/>
  <c r="E36" i="1"/>
  <c r="H37" i="1"/>
  <c r="D87" i="5"/>
  <c r="G4" i="5"/>
  <c r="G8" i="5"/>
  <c r="H205" i="5"/>
  <c r="I132" i="5"/>
  <c r="G52" i="1"/>
  <c r="G232" i="5"/>
  <c r="E82" i="5"/>
  <c r="F28" i="5"/>
  <c r="G7" i="5"/>
  <c r="G240" i="5"/>
  <c r="G109" i="5"/>
  <c r="F7" i="1"/>
  <c r="I216" i="5"/>
  <c r="F238" i="5"/>
  <c r="F210" i="5"/>
  <c r="E199" i="5"/>
  <c r="D126" i="5"/>
  <c r="H21" i="5"/>
  <c r="E317" i="5"/>
  <c r="G209" i="5"/>
  <c r="F198" i="5"/>
  <c r="F100" i="5"/>
  <c r="H162" i="5"/>
  <c r="E302" i="5"/>
  <c r="E283" i="5"/>
  <c r="G150" i="5"/>
  <c r="G84" i="5"/>
  <c r="F72" i="5"/>
  <c r="D296" i="5"/>
  <c r="G266" i="5"/>
  <c r="E177" i="5"/>
  <c r="I177" i="5" s="1"/>
  <c r="F133" i="5"/>
  <c r="D91" i="5"/>
  <c r="G50" i="1"/>
  <c r="H298" i="5"/>
  <c r="E203" i="5"/>
  <c r="K203" i="5" s="1"/>
  <c r="E188" i="5"/>
  <c r="E106" i="5"/>
  <c r="G14" i="5"/>
  <c r="G236" i="5"/>
  <c r="E153" i="5"/>
  <c r="G43" i="5"/>
  <c r="G102" i="5"/>
  <c r="E271" i="5"/>
  <c r="G264" i="5"/>
  <c r="D149" i="5"/>
  <c r="G104" i="5"/>
  <c r="H269" i="5"/>
  <c r="G318" i="5"/>
  <c r="D325" i="5"/>
  <c r="D170" i="5"/>
  <c r="F246" i="5"/>
  <c r="E323" i="5"/>
  <c r="D146" i="5"/>
  <c r="G30" i="5"/>
  <c r="F269" i="5"/>
  <c r="F274" i="5"/>
  <c r="H181" i="5"/>
  <c r="E189" i="5"/>
  <c r="D131" i="5"/>
  <c r="I131" i="5" s="1"/>
  <c r="F126" i="5"/>
  <c r="H338" i="5"/>
  <c r="G241" i="5"/>
  <c r="D137" i="5"/>
  <c r="D287" i="5"/>
  <c r="K287" i="5" s="1"/>
  <c r="E163" i="5"/>
  <c r="J154" i="5"/>
  <c r="E165" i="5"/>
  <c r="G46" i="5"/>
  <c r="D213" i="5"/>
  <c r="G57" i="1"/>
  <c r="E326" i="5"/>
  <c r="G185" i="5"/>
  <c r="E183" i="5"/>
  <c r="E101" i="5"/>
  <c r="D53" i="1"/>
  <c r="E301" i="5"/>
  <c r="H184" i="5"/>
  <c r="F182" i="5"/>
  <c r="G75" i="5"/>
  <c r="H76" i="5"/>
  <c r="F261" i="5"/>
  <c r="E267" i="5"/>
  <c r="G229" i="5"/>
  <c r="H59" i="5"/>
  <c r="F56" i="5"/>
  <c r="H276" i="5"/>
  <c r="G250" i="5"/>
  <c r="G135" i="5"/>
  <c r="G108" i="5"/>
  <c r="D75" i="5"/>
  <c r="D338" i="5"/>
  <c r="H282" i="5"/>
  <c r="F178" i="5"/>
  <c r="G170" i="5"/>
  <c r="E90" i="5"/>
  <c r="H49" i="1"/>
  <c r="F231" i="5"/>
  <c r="D117" i="5"/>
  <c r="G86" i="5"/>
  <c r="H252" i="5"/>
  <c r="F216" i="5"/>
  <c r="D127" i="5"/>
  <c r="G88" i="5"/>
  <c r="H245" i="5"/>
  <c r="H293" i="5"/>
  <c r="D309" i="5"/>
  <c r="H150" i="5"/>
  <c r="E334" i="5"/>
  <c r="E307" i="5"/>
  <c r="E306" i="5"/>
  <c r="I306" i="5" s="1"/>
  <c r="G218" i="5"/>
  <c r="G81" i="5"/>
  <c r="H5" i="5"/>
  <c r="F258" i="5"/>
  <c r="F159" i="5"/>
  <c r="D119" i="5"/>
  <c r="D115" i="5"/>
  <c r="H29" i="5"/>
  <c r="H322" i="5"/>
  <c r="H287" i="5"/>
  <c r="G248" i="5"/>
  <c r="H267" i="5"/>
  <c r="F138" i="5"/>
  <c r="J138" i="5"/>
  <c r="D112" i="5"/>
  <c r="K112" i="5" s="1"/>
  <c r="E164" i="5"/>
  <c r="H32" i="1"/>
  <c r="G21" i="1"/>
  <c r="E37" i="5"/>
  <c r="G56" i="1"/>
  <c r="H20" i="1"/>
  <c r="H51" i="5"/>
  <c r="H55" i="1"/>
  <c r="H11" i="1"/>
  <c r="D281" i="5"/>
  <c r="D102" i="5"/>
  <c r="D187" i="5"/>
  <c r="E129" i="5"/>
  <c r="J122" i="5"/>
  <c r="K154" i="5"/>
  <c r="F51" i="1"/>
  <c r="G284" i="5"/>
  <c r="H160" i="5"/>
  <c r="E167" i="5"/>
  <c r="F76" i="5"/>
  <c r="G319" i="5"/>
  <c r="E285" i="5"/>
  <c r="D156" i="5"/>
  <c r="F166" i="5"/>
  <c r="H50" i="5"/>
  <c r="D17" i="5"/>
  <c r="D239" i="5"/>
  <c r="E251" i="5"/>
  <c r="G213" i="5"/>
  <c r="H202" i="5"/>
  <c r="F40" i="5"/>
  <c r="E255" i="5"/>
  <c r="G234" i="5"/>
  <c r="D235" i="5"/>
  <c r="H83" i="5"/>
  <c r="D59" i="5"/>
  <c r="E313" i="5"/>
  <c r="H266" i="5"/>
  <c r="G153" i="5"/>
  <c r="E282" i="5"/>
  <c r="E74" i="5"/>
  <c r="E337" i="5"/>
  <c r="H328" i="5"/>
  <c r="D209" i="5"/>
  <c r="H97" i="5"/>
  <c r="G70" i="5"/>
  <c r="G340" i="5"/>
  <c r="D194" i="5"/>
  <c r="E102" i="5"/>
  <c r="G72" i="5"/>
  <c r="F334" i="5"/>
  <c r="D293" i="5"/>
  <c r="G320" i="5"/>
  <c r="G292" i="5"/>
  <c r="E291" i="5"/>
  <c r="E224" i="5"/>
  <c r="D181" i="5"/>
  <c r="E59" i="5"/>
  <c r="D37" i="1"/>
  <c r="G339" i="5"/>
  <c r="F242" i="5"/>
  <c r="K138" i="5"/>
  <c r="E94" i="5"/>
  <c r="D99" i="5"/>
  <c r="D61" i="1"/>
  <c r="H306" i="5"/>
  <c r="G217" i="5"/>
  <c r="E246" i="5"/>
  <c r="K236" i="5"/>
  <c r="F233" i="5"/>
  <c r="F98" i="5"/>
  <c r="E24" i="5"/>
  <c r="E126" i="5"/>
  <c r="F15" i="1"/>
  <c r="G5" i="1"/>
  <c r="D322" i="5"/>
  <c r="K322" i="5" s="1"/>
  <c r="H105" i="5"/>
  <c r="E34" i="1"/>
  <c r="G4" i="1"/>
  <c r="H106" i="5"/>
  <c r="F33" i="1"/>
  <c r="F37" i="1"/>
  <c r="D280" i="5"/>
  <c r="D230" i="5"/>
  <c r="K230" i="5" s="1"/>
  <c r="G32" i="1"/>
  <c r="D263" i="5"/>
  <c r="H343" i="5"/>
  <c r="E151" i="5"/>
  <c r="G51" i="5"/>
  <c r="H294" i="5"/>
  <c r="E269" i="5"/>
  <c r="G336" i="5"/>
  <c r="F150" i="5"/>
  <c r="G187" i="5"/>
  <c r="E52" i="1"/>
  <c r="K52" i="1" s="1"/>
  <c r="F332" i="5"/>
  <c r="E235" i="5"/>
  <c r="G197" i="5"/>
  <c r="F124" i="5"/>
  <c r="G155" i="5"/>
  <c r="D343" i="5"/>
  <c r="K343" i="5" s="1"/>
  <c r="F330" i="5"/>
  <c r="H213" i="5"/>
  <c r="D55" i="5"/>
  <c r="D43" i="5"/>
  <c r="K43" i="5" s="1"/>
  <c r="F288" i="5"/>
  <c r="H250" i="5"/>
  <c r="D315" i="5"/>
  <c r="K315" i="5" s="1"/>
  <c r="G132" i="5"/>
  <c r="E58" i="5"/>
  <c r="F312" i="5"/>
  <c r="H312" i="5"/>
  <c r="H189" i="5"/>
  <c r="F75" i="5"/>
  <c r="G54" i="5"/>
  <c r="E318" i="5"/>
  <c r="H174" i="5"/>
  <c r="F77" i="5"/>
  <c r="G56" i="5"/>
  <c r="D312" i="5"/>
  <c r="D241" i="5"/>
  <c r="D277" i="5"/>
  <c r="G206" i="5"/>
  <c r="E270" i="5"/>
  <c r="E275" i="5"/>
  <c r="F163" i="5"/>
  <c r="K132" i="5"/>
  <c r="F11" i="1"/>
  <c r="G323" i="5"/>
  <c r="H255" i="5"/>
  <c r="F69" i="5"/>
  <c r="D83" i="5"/>
  <c r="G327" i="5"/>
  <c r="H290" i="5"/>
  <c r="H192" i="5"/>
  <c r="G208" i="5"/>
  <c r="D76" i="5"/>
  <c r="I76" i="5" s="1"/>
  <c r="F59" i="1"/>
  <c r="D63" i="5"/>
  <c r="H60" i="5"/>
  <c r="D56" i="5"/>
  <c r="D305" i="5"/>
  <c r="E44" i="5"/>
  <c r="D11" i="1"/>
  <c r="H243" i="5"/>
  <c r="D227" i="5"/>
  <c r="F229" i="5"/>
  <c r="H194" i="5"/>
  <c r="D266" i="5"/>
  <c r="E253" i="5"/>
  <c r="E226" i="5"/>
  <c r="G228" i="5"/>
  <c r="F123" i="5"/>
  <c r="F27" i="1"/>
  <c r="F316" i="5"/>
  <c r="H208" i="5"/>
  <c r="G181" i="5"/>
  <c r="G99" i="5"/>
  <c r="D121" i="5"/>
  <c r="J121" i="5" s="1"/>
  <c r="H323" i="5"/>
  <c r="F314" i="5"/>
  <c r="F191" i="5"/>
  <c r="G195" i="5"/>
  <c r="D142" i="5"/>
  <c r="G263" i="5"/>
  <c r="H234" i="5"/>
  <c r="H223" i="5"/>
  <c r="H107" i="5"/>
  <c r="E42" i="5"/>
  <c r="G287" i="5"/>
  <c r="H296" i="5"/>
  <c r="F167" i="5"/>
  <c r="D53" i="5"/>
  <c r="G38" i="5"/>
  <c r="F152" i="5"/>
  <c r="G52" i="5"/>
  <c r="H303" i="5"/>
  <c r="H292" i="5"/>
  <c r="G333" i="5"/>
  <c r="D261" i="5"/>
  <c r="E184" i="5"/>
  <c r="H251" i="5"/>
  <c r="E259" i="5"/>
  <c r="G182" i="5"/>
  <c r="H145" i="5"/>
  <c r="K68" i="5"/>
  <c r="F328" i="5"/>
  <c r="G307" i="5"/>
  <c r="F218" i="5"/>
  <c r="H220" i="5"/>
  <c r="G44" i="5"/>
  <c r="D67" i="5"/>
  <c r="J67" i="5" s="1"/>
  <c r="H302" i="5"/>
  <c r="H274" i="5"/>
  <c r="D164" i="5"/>
  <c r="H326" i="5"/>
  <c r="H183" i="5"/>
  <c r="E196" i="5"/>
  <c r="H56" i="5"/>
  <c r="G34" i="1"/>
  <c r="H114" i="5"/>
  <c r="D334" i="5"/>
  <c r="E202" i="5"/>
  <c r="F213" i="5"/>
  <c r="E124" i="5"/>
  <c r="E241" i="5"/>
  <c r="K241" i="5" s="1"/>
  <c r="E237" i="5"/>
  <c r="F201" i="5"/>
  <c r="G212" i="5"/>
  <c r="D101" i="5"/>
  <c r="G343" i="5"/>
  <c r="F300" i="5"/>
  <c r="D180" i="5"/>
  <c r="G165" i="5"/>
  <c r="H74" i="5"/>
  <c r="D105" i="5"/>
  <c r="F301" i="5"/>
  <c r="F298" i="5"/>
  <c r="D169" i="5"/>
  <c r="G123" i="5"/>
  <c r="G119" i="5"/>
  <c r="H238" i="5"/>
  <c r="H329" i="5"/>
  <c r="D195" i="5"/>
  <c r="D79" i="5"/>
  <c r="E135" i="5"/>
  <c r="H262" i="5"/>
  <c r="H280" i="5"/>
  <c r="D145" i="5"/>
  <c r="E229" i="5"/>
  <c r="D48" i="5"/>
  <c r="L48" i="5" s="1"/>
  <c r="G276" i="5"/>
  <c r="G230" i="5"/>
  <c r="D174" i="5"/>
  <c r="H133" i="5"/>
  <c r="F270" i="5"/>
  <c r="E311" i="5"/>
  <c r="D245" i="5"/>
  <c r="G142" i="5"/>
  <c r="F340" i="5"/>
  <c r="E243" i="5"/>
  <c r="E160" i="5"/>
  <c r="F196" i="5"/>
  <c r="E213" i="5"/>
  <c r="G303" i="5"/>
  <c r="G291" i="5"/>
  <c r="G193" i="5"/>
  <c r="H204" i="5"/>
  <c r="E134" i="5"/>
  <c r="D51" i="5"/>
  <c r="K51" i="5" s="1"/>
  <c r="D274" i="5"/>
  <c r="H258" i="5"/>
  <c r="E139" i="5"/>
  <c r="D298" i="5"/>
  <c r="I241" i="5"/>
  <c r="D155" i="5"/>
  <c r="G178" i="5"/>
  <c r="J253" i="5"/>
  <c r="D330" i="5"/>
  <c r="D38" i="5"/>
  <c r="F57" i="1"/>
  <c r="E45" i="1"/>
  <c r="E286" i="5"/>
  <c r="D52" i="5"/>
  <c r="D22" i="5"/>
  <c r="F44" i="1"/>
  <c r="F285" i="5"/>
  <c r="G42" i="5"/>
  <c r="E21" i="5"/>
  <c r="E99" i="5"/>
  <c r="D58" i="1"/>
  <c r="K180" i="5"/>
  <c r="F158" i="5"/>
  <c r="H57" i="1"/>
  <c r="D190" i="5"/>
  <c r="J105" i="5"/>
  <c r="D197" i="5"/>
  <c r="G49" i="1"/>
  <c r="D318" i="5"/>
  <c r="K318" i="5" s="1"/>
  <c r="F177" i="5"/>
  <c r="F197" i="5"/>
  <c r="J197" i="5" s="1"/>
  <c r="G82" i="5"/>
  <c r="E328" i="5"/>
  <c r="E332" i="5"/>
  <c r="G176" i="5"/>
  <c r="G196" i="5"/>
  <c r="H81" i="5"/>
  <c r="H318" i="5"/>
  <c r="F284" i="5"/>
  <c r="E155" i="5"/>
  <c r="G149" i="5"/>
  <c r="D46" i="5"/>
  <c r="D89" i="5"/>
  <c r="K89" i="5" s="1"/>
  <c r="D279" i="5"/>
  <c r="K279" i="5" s="1"/>
  <c r="F282" i="5"/>
  <c r="H149" i="5"/>
  <c r="H98" i="5"/>
  <c r="G103" i="5"/>
  <c r="H325" i="5"/>
  <c r="H313" i="5"/>
  <c r="E170" i="5"/>
  <c r="I170" i="5" s="1"/>
  <c r="E54" i="5"/>
  <c r="H118" i="5"/>
  <c r="D234" i="5"/>
  <c r="H264" i="5"/>
  <c r="F305" i="5"/>
  <c r="G129" i="5"/>
  <c r="H13" i="5"/>
  <c r="D255" i="5"/>
  <c r="E208" i="5"/>
  <c r="E117" i="5"/>
  <c r="H117" i="5"/>
  <c r="H339" i="5"/>
  <c r="G269" i="5"/>
  <c r="K309" i="5"/>
  <c r="E223" i="5"/>
  <c r="F324" i="5"/>
  <c r="J301" i="5"/>
  <c r="I262" i="5"/>
  <c r="H123" i="5"/>
  <c r="F128" i="5"/>
  <c r="J128" i="5" s="1"/>
  <c r="H278" i="5"/>
  <c r="G275" i="5"/>
  <c r="H168" i="5"/>
  <c r="H188" i="5"/>
  <c r="E109" i="5"/>
  <c r="D206" i="5"/>
  <c r="E249" i="5"/>
  <c r="H242" i="5"/>
  <c r="D251" i="5"/>
  <c r="I251" i="5" s="1"/>
  <c r="E273" i="5"/>
  <c r="H335" i="5"/>
  <c r="D141" i="5"/>
  <c r="F129" i="5"/>
  <c r="H309" i="5"/>
  <c r="G106" i="5"/>
  <c r="D35" i="1"/>
  <c r="G27" i="1"/>
  <c r="E324" i="5"/>
  <c r="E114" i="5"/>
  <c r="H62" i="1"/>
  <c r="H6" i="4"/>
  <c r="D302" i="5"/>
  <c r="I302" i="5" s="1"/>
  <c r="G152" i="5"/>
  <c r="F181" i="5"/>
  <c r="E60" i="5"/>
  <c r="F303" i="5"/>
  <c r="E316" i="5"/>
  <c r="K316" i="5" s="1"/>
  <c r="H151" i="5"/>
  <c r="G180" i="5"/>
  <c r="F59" i="5"/>
  <c r="D290" i="5"/>
  <c r="F268" i="5"/>
  <c r="F329" i="5"/>
  <c r="H227" i="5"/>
  <c r="F180" i="5"/>
  <c r="D73" i="5"/>
  <c r="G260" i="5"/>
  <c r="F266" i="5"/>
  <c r="H319" i="5"/>
  <c r="D70" i="5"/>
  <c r="G87" i="5"/>
  <c r="D297" i="5"/>
  <c r="H297" i="5"/>
  <c r="F145" i="5"/>
  <c r="F188" i="5"/>
  <c r="H102" i="5"/>
  <c r="D321" i="5"/>
  <c r="H248" i="5"/>
  <c r="F297" i="5"/>
  <c r="D108" i="5"/>
  <c r="D45" i="1"/>
  <c r="F320" i="5"/>
  <c r="D286" i="5"/>
  <c r="E314" i="5"/>
  <c r="F165" i="5"/>
  <c r="D37" i="5"/>
  <c r="G278" i="5"/>
  <c r="E300" i="5"/>
  <c r="K300" i="5" s="1"/>
  <c r="D307" i="5"/>
  <c r="G164" i="5"/>
  <c r="E36" i="5"/>
  <c r="I36" i="5" s="1"/>
  <c r="E265" i="5"/>
  <c r="F252" i="5"/>
  <c r="F225" i="5"/>
  <c r="H211" i="5"/>
  <c r="G122" i="5"/>
  <c r="D57" i="5"/>
  <c r="K57" i="5" s="1"/>
  <c r="E238" i="5"/>
  <c r="I238" i="5" s="1"/>
  <c r="F250" i="5"/>
  <c r="H228" i="5"/>
  <c r="E45" i="5"/>
  <c r="I45" i="5" s="1"/>
  <c r="G71" i="5"/>
  <c r="E272" i="5"/>
  <c r="H281" i="5"/>
  <c r="D218" i="5"/>
  <c r="H122" i="5"/>
  <c r="H86" i="5"/>
  <c r="E296" i="5"/>
  <c r="E227" i="5"/>
  <c r="H295" i="5"/>
  <c r="H88" i="5"/>
  <c r="E20" i="1"/>
  <c r="J279" i="5"/>
  <c r="E144" i="5"/>
  <c r="G67" i="5"/>
  <c r="H85" i="5"/>
  <c r="D295" i="5"/>
  <c r="K295" i="5" s="1"/>
  <c r="G316" i="5"/>
  <c r="H224" i="5"/>
  <c r="F304" i="5"/>
  <c r="F292" i="5"/>
  <c r="F194" i="5"/>
  <c r="G205" i="5"/>
  <c r="E70" i="5"/>
  <c r="F96" i="5"/>
  <c r="D337" i="5"/>
  <c r="I337" i="5" s="1"/>
  <c r="G243" i="5"/>
  <c r="E258" i="5"/>
  <c r="L258" i="5" s="1"/>
  <c r="H156" i="5"/>
  <c r="G59" i="5"/>
  <c r="G111" i="5"/>
  <c r="F311" i="5"/>
  <c r="H321" i="5"/>
  <c r="G184" i="5"/>
  <c r="F335" i="5"/>
  <c r="I304" i="5"/>
  <c r="G207" i="5"/>
  <c r="G92" i="5"/>
  <c r="F97" i="5"/>
  <c r="F293" i="5"/>
  <c r="F106" i="5"/>
  <c r="E95" i="5"/>
  <c r="F33" i="5"/>
  <c r="E187" i="5"/>
  <c r="H170" i="5"/>
  <c r="D18" i="1"/>
  <c r="I333" i="5"/>
  <c r="K238" i="5"/>
  <c r="G112" i="5"/>
  <c r="H154" i="5"/>
  <c r="L330" i="5"/>
  <c r="D172" i="5"/>
  <c r="I172" i="5" s="1"/>
  <c r="E66" i="5"/>
  <c r="I43" i="5"/>
  <c r="I74" i="5"/>
  <c r="D135" i="5"/>
  <c r="E15" i="5"/>
  <c r="G59" i="1"/>
  <c r="L55" i="5"/>
  <c r="H43" i="5"/>
  <c r="E50" i="1"/>
  <c r="D35" i="5"/>
  <c r="G261" i="5"/>
  <c r="E84" i="5"/>
  <c r="D17" i="1"/>
  <c r="G15" i="5"/>
  <c r="K282" i="5"/>
  <c r="F143" i="5"/>
  <c r="F43" i="1"/>
  <c r="E40" i="1"/>
  <c r="I285" i="5"/>
  <c r="E261" i="5"/>
  <c r="D158" i="5"/>
  <c r="F140" i="5"/>
  <c r="G31" i="5"/>
  <c r="I164" i="5"/>
  <c r="F135" i="5"/>
  <c r="H41" i="1"/>
  <c r="G54" i="1"/>
  <c r="H66" i="5"/>
  <c r="D43" i="1"/>
  <c r="G295" i="5"/>
  <c r="D270" i="5"/>
  <c r="F224" i="5"/>
  <c r="F149" i="5"/>
  <c r="F114" i="5"/>
  <c r="G254" i="5"/>
  <c r="E284" i="5"/>
  <c r="G223" i="5"/>
  <c r="G148" i="5"/>
  <c r="G113" i="5"/>
  <c r="F240" i="5"/>
  <c r="F236" i="5"/>
  <c r="J236" i="5" s="1"/>
  <c r="G200" i="5"/>
  <c r="H195" i="5"/>
  <c r="E100" i="5"/>
  <c r="I100" i="5" s="1"/>
  <c r="H342" i="5"/>
  <c r="G331" i="5"/>
  <c r="F234" i="5"/>
  <c r="H212" i="5"/>
  <c r="E173" i="5"/>
  <c r="K173" i="5" s="1"/>
  <c r="G55" i="5"/>
  <c r="E248" i="5"/>
  <c r="H265" i="5"/>
  <c r="H198" i="5"/>
  <c r="D94" i="5"/>
  <c r="H70" i="5"/>
  <c r="F271" i="5"/>
  <c r="F202" i="5"/>
  <c r="D205" i="5"/>
  <c r="F66" i="5"/>
  <c r="F336" i="5"/>
  <c r="I343" i="5"/>
  <c r="E298" i="5"/>
  <c r="H42" i="5"/>
  <c r="H69" i="5"/>
  <c r="H275" i="5"/>
  <c r="E294" i="5"/>
  <c r="I294" i="5" s="1"/>
  <c r="D196" i="5"/>
  <c r="K196" i="5" s="1"/>
  <c r="G279" i="5"/>
  <c r="F276" i="5"/>
  <c r="G169" i="5"/>
  <c r="G189" i="5"/>
  <c r="F45" i="5"/>
  <c r="F80" i="5"/>
  <c r="E312" i="5"/>
  <c r="G338" i="5"/>
  <c r="E210" i="5"/>
  <c r="H140" i="5"/>
  <c r="F131" i="5"/>
  <c r="G95" i="5"/>
  <c r="G286" i="5"/>
  <c r="H305" i="5"/>
  <c r="H159" i="5"/>
  <c r="G310" i="5"/>
  <c r="I272" i="5"/>
  <c r="E185" i="5"/>
  <c r="H67" i="5"/>
  <c r="F81" i="5"/>
  <c r="J304" i="5"/>
  <c r="G63" i="1"/>
  <c r="L333" i="5"/>
  <c r="H207" i="5"/>
  <c r="H94" i="5"/>
  <c r="G211" i="5"/>
  <c r="I300" i="5"/>
  <c r="D260" i="5"/>
  <c r="K131" i="5"/>
  <c r="H33" i="5"/>
  <c r="G192" i="5"/>
  <c r="D130" i="5"/>
  <c r="G85" i="5"/>
  <c r="I42" i="5"/>
  <c r="H201" i="5"/>
  <c r="F50" i="1"/>
  <c r="D22" i="1"/>
  <c r="H90" i="5"/>
  <c r="H7" i="1"/>
  <c r="G60" i="1"/>
  <c r="G252" i="5"/>
  <c r="D84" i="5"/>
  <c r="G45" i="5"/>
  <c r="I57" i="1"/>
  <c r="L173" i="5"/>
  <c r="D200" i="5"/>
  <c r="D4" i="1"/>
  <c r="E24" i="1"/>
  <c r="I253" i="5"/>
  <c r="F82" i="5"/>
  <c r="H35" i="5"/>
  <c r="L189" i="5"/>
  <c r="E191" i="5"/>
  <c r="E71" i="5"/>
  <c r="G38" i="1"/>
  <c r="I252" i="5"/>
  <c r="G247" i="5"/>
  <c r="K126" i="5"/>
  <c r="H23" i="1"/>
  <c r="L122" i="5"/>
  <c r="D139" i="5"/>
  <c r="H110" i="5"/>
  <c r="I231" i="5"/>
  <c r="G325" i="5"/>
  <c r="G131" i="5"/>
  <c r="D96" i="5"/>
  <c r="J230" i="5"/>
  <c r="H28" i="5"/>
  <c r="H270" i="5"/>
  <c r="D254" i="5"/>
  <c r="D202" i="5"/>
  <c r="J202" i="5" s="1"/>
  <c r="D331" i="5"/>
  <c r="G73" i="5"/>
  <c r="F342" i="5"/>
  <c r="E268" i="5"/>
  <c r="J268" i="5" s="1"/>
  <c r="E201" i="5"/>
  <c r="K201" i="5" s="1"/>
  <c r="E228" i="5"/>
  <c r="D92" i="5"/>
  <c r="F327" i="5"/>
  <c r="F331" i="5"/>
  <c r="J331" i="5" s="1"/>
  <c r="H175" i="5"/>
  <c r="H179" i="5"/>
  <c r="G58" i="5"/>
  <c r="D314" i="5"/>
  <c r="L314" i="5" s="1"/>
  <c r="G315" i="5"/>
  <c r="H232" i="5"/>
  <c r="H196" i="5"/>
  <c r="H121" i="5"/>
  <c r="G39" i="5"/>
  <c r="G317" i="5"/>
  <c r="H249" i="5"/>
  <c r="F176" i="5"/>
  <c r="E69" i="5"/>
  <c r="H54" i="5"/>
  <c r="F247" i="5"/>
  <c r="G177" i="5"/>
  <c r="F187" i="5"/>
  <c r="D44" i="5"/>
  <c r="G311" i="5"/>
  <c r="I279" i="5"/>
  <c r="E290" i="5"/>
  <c r="E116" i="5"/>
  <c r="H53" i="5"/>
  <c r="E254" i="5"/>
  <c r="K272" i="5"/>
  <c r="E171" i="5"/>
  <c r="I171" i="5" s="1"/>
  <c r="H254" i="5"/>
  <c r="F260" i="5"/>
  <c r="H144" i="5"/>
  <c r="G173" i="5"/>
  <c r="H138" i="5"/>
  <c r="F64" i="5"/>
  <c r="F287" i="5"/>
  <c r="J287" i="5" s="1"/>
  <c r="G322" i="5"/>
  <c r="F185" i="5"/>
  <c r="H247" i="5"/>
  <c r="D109" i="5"/>
  <c r="I109" i="5" s="1"/>
  <c r="G79" i="5"/>
  <c r="G262" i="5"/>
  <c r="H289" i="5"/>
  <c r="I342" i="5"/>
  <c r="H285" i="5"/>
  <c r="H336" i="5"/>
  <c r="K163" i="5"/>
  <c r="L331" i="5"/>
  <c r="F65" i="5"/>
  <c r="K334" i="5"/>
  <c r="H71" i="5"/>
  <c r="E41" i="1"/>
  <c r="J300" i="5"/>
  <c r="D226" i="5"/>
  <c r="D50" i="5"/>
  <c r="G34" i="5"/>
  <c r="I268" i="5"/>
  <c r="F186" i="5"/>
  <c r="E49" i="5"/>
  <c r="K49" i="5" s="1"/>
  <c r="H17" i="5"/>
  <c r="L228" i="5"/>
  <c r="G215" i="5"/>
  <c r="K91" i="5"/>
  <c r="D39" i="5"/>
  <c r="K55" i="5"/>
  <c r="E148" i="5"/>
  <c r="G25" i="1"/>
  <c r="E4" i="1"/>
  <c r="F296" i="5"/>
  <c r="I201" i="5"/>
  <c r="H52" i="5"/>
  <c r="F21" i="1"/>
  <c r="K302" i="5"/>
  <c r="F228" i="5"/>
  <c r="D38" i="1"/>
  <c r="L213" i="5"/>
  <c r="D144" i="5"/>
  <c r="E47" i="5"/>
  <c r="L128" i="5"/>
  <c r="K331" i="5"/>
  <c r="J318" i="5"/>
  <c r="E157" i="5"/>
  <c r="E13" i="5"/>
  <c r="D54" i="1"/>
  <c r="I173" i="5"/>
  <c r="H235" i="5"/>
  <c r="H337" i="5"/>
  <c r="G53" i="5"/>
  <c r="F42" i="5"/>
  <c r="D340" i="5"/>
  <c r="J306" i="5"/>
  <c r="G19" i="5"/>
  <c r="F206" i="5"/>
  <c r="F16" i="5"/>
  <c r="F281" i="5"/>
  <c r="D25" i="1"/>
  <c r="K172" i="5"/>
  <c r="E98" i="5"/>
  <c r="F62" i="1"/>
  <c r="H61" i="5"/>
  <c r="G45" i="1"/>
  <c r="J97" i="5"/>
  <c r="K70" i="5"/>
  <c r="H30" i="1"/>
  <c r="I316" i="5"/>
  <c r="E276" i="5"/>
  <c r="F31" i="5"/>
  <c r="L164" i="5"/>
  <c r="G225" i="5"/>
  <c r="D66" i="5"/>
  <c r="K189" i="5"/>
  <c r="G272" i="5"/>
  <c r="E65" i="5"/>
  <c r="D60" i="1"/>
  <c r="D12" i="5"/>
  <c r="K314" i="5"/>
  <c r="H44" i="5"/>
  <c r="E309" i="5"/>
  <c r="D5" i="5"/>
  <c r="K214" i="5"/>
  <c r="G50" i="5"/>
  <c r="I84" i="5"/>
  <c r="E32" i="1"/>
  <c r="G57" i="5"/>
  <c r="G23" i="1"/>
  <c r="K337" i="5"/>
  <c r="J264" i="5"/>
  <c r="K37" i="5"/>
  <c r="K277" i="5"/>
  <c r="K4" i="1"/>
  <c r="L66" i="5"/>
  <c r="G166" i="5"/>
  <c r="F209" i="5"/>
  <c r="D88" i="5"/>
  <c r="E60" i="1"/>
  <c r="I255" i="5"/>
  <c r="J222" i="5"/>
  <c r="G15" i="1"/>
  <c r="F173" i="5"/>
  <c r="J173" i="5" s="1"/>
  <c r="H58" i="1"/>
  <c r="F195" i="5"/>
  <c r="E35" i="5"/>
  <c r="K35" i="5" s="1"/>
  <c r="I54" i="5"/>
  <c r="F30" i="1"/>
  <c r="G271" i="5"/>
  <c r="G42" i="1"/>
  <c r="G29" i="1"/>
  <c r="J48" i="5"/>
  <c r="F8" i="1"/>
  <c r="I324" i="5"/>
  <c r="H136" i="5"/>
  <c r="E233" i="5"/>
  <c r="I189" i="5"/>
  <c r="I286" i="5"/>
  <c r="F95" i="5"/>
  <c r="F137" i="5"/>
  <c r="H93" i="5"/>
  <c r="J51" i="1"/>
  <c r="J244" i="5"/>
  <c r="K96" i="5"/>
  <c r="E220" i="5"/>
  <c r="E35" i="1"/>
  <c r="D56" i="1"/>
  <c r="I230" i="5"/>
  <c r="E11" i="5"/>
  <c r="K235" i="5"/>
  <c r="F52" i="5"/>
  <c r="E39" i="1"/>
  <c r="F127" i="5"/>
  <c r="G9" i="1"/>
  <c r="F6" i="1"/>
  <c r="I44" i="5"/>
  <c r="E79" i="5"/>
  <c r="I188" i="5"/>
  <c r="I328" i="5"/>
  <c r="I264" i="5"/>
  <c r="I186" i="5"/>
  <c r="I37" i="5"/>
  <c r="I49" i="5"/>
  <c r="K244" i="5"/>
  <c r="J35" i="5"/>
  <c r="K66" i="5"/>
  <c r="H239" i="5"/>
  <c r="F32" i="5"/>
  <c r="D240" i="5"/>
  <c r="D8" i="5"/>
  <c r="L112" i="5"/>
  <c r="F6" i="4"/>
  <c r="H95" i="5"/>
  <c r="G26" i="5"/>
  <c r="K258" i="5"/>
  <c r="G183" i="5"/>
  <c r="F6" i="5"/>
  <c r="D10" i="5"/>
  <c r="F207" i="5"/>
  <c r="F35" i="1"/>
  <c r="E9" i="5"/>
  <c r="I9" i="5" s="1"/>
  <c r="I122" i="5"/>
  <c r="J269" i="5"/>
  <c r="F23" i="5"/>
  <c r="G93" i="5"/>
  <c r="K61" i="1"/>
  <c r="H75" i="5"/>
  <c r="D24" i="1"/>
  <c r="I24" i="1" s="1"/>
  <c r="I159" i="5"/>
  <c r="I181" i="5"/>
  <c r="E23" i="5"/>
  <c r="L301" i="5"/>
  <c r="D232" i="5"/>
  <c r="H26" i="5"/>
  <c r="D33" i="1"/>
  <c r="I237" i="5"/>
  <c r="F92" i="5"/>
  <c r="F248" i="5"/>
  <c r="F40" i="1"/>
  <c r="H5" i="1"/>
  <c r="D208" i="5"/>
  <c r="J208" i="5" s="1"/>
  <c r="I106" i="5"/>
  <c r="E338" i="5"/>
  <c r="E21" i="1"/>
  <c r="L21" i="1" s="1"/>
  <c r="G146" i="5"/>
  <c r="E19" i="5"/>
  <c r="H78" i="5"/>
  <c r="D120" i="5"/>
  <c r="E240" i="5"/>
  <c r="I99" i="5"/>
  <c r="G13" i="1"/>
  <c r="G255" i="5"/>
  <c r="D150" i="5"/>
  <c r="E87" i="5"/>
  <c r="J243" i="5"/>
  <c r="F153" i="5"/>
  <c r="J153" i="5" s="1"/>
  <c r="E31" i="5"/>
  <c r="K171" i="5"/>
  <c r="D25" i="5"/>
  <c r="I91" i="5"/>
  <c r="E169" i="5"/>
  <c r="I56" i="5"/>
  <c r="D182" i="5"/>
  <c r="F10" i="1"/>
  <c r="D40" i="1"/>
  <c r="I191" i="5"/>
  <c r="D11" i="5"/>
  <c r="G26" i="1"/>
  <c r="D98" i="5"/>
  <c r="G11" i="1"/>
  <c r="G33" i="1"/>
  <c r="E5" i="5"/>
  <c r="I67" i="5"/>
  <c r="F24" i="5"/>
  <c r="K210" i="5"/>
  <c r="K186" i="5"/>
  <c r="K52" i="5"/>
  <c r="J49" i="5"/>
  <c r="L35" i="5"/>
  <c r="L24" i="1"/>
  <c r="J66" i="5"/>
  <c r="K33" i="1"/>
  <c r="F101" i="5"/>
  <c r="J101" i="5" s="1"/>
  <c r="E63" i="1"/>
  <c r="H101" i="5"/>
  <c r="I320" i="5"/>
  <c r="H8" i="5"/>
  <c r="D15" i="5"/>
  <c r="D157" i="5"/>
  <c r="E297" i="5"/>
  <c r="D64" i="5"/>
  <c r="F147" i="5"/>
  <c r="E12" i="1"/>
  <c r="F317" i="5"/>
  <c r="K227" i="5"/>
  <c r="H36" i="1"/>
  <c r="E10" i="1"/>
  <c r="D47" i="5"/>
  <c r="E308" i="5"/>
  <c r="H39" i="5"/>
  <c r="H115" i="5"/>
  <c r="E62" i="1"/>
  <c r="D275" i="5"/>
  <c r="K275" i="5" s="1"/>
  <c r="E47" i="1"/>
  <c r="E247" i="5"/>
  <c r="F63" i="5"/>
  <c r="E37" i="1"/>
  <c r="G244" i="5"/>
  <c r="E43" i="1"/>
  <c r="I43" i="1" s="1"/>
  <c r="F36" i="1"/>
  <c r="E239" i="5"/>
  <c r="E50" i="5"/>
  <c r="G10" i="5"/>
  <c r="K242" i="5"/>
  <c r="D217" i="5"/>
  <c r="G41" i="1"/>
  <c r="F52" i="1"/>
  <c r="L90" i="5"/>
  <c r="D291" i="5"/>
  <c r="F30" i="5"/>
  <c r="G51" i="1"/>
  <c r="I90" i="5"/>
  <c r="D184" i="5"/>
  <c r="H33" i="1"/>
  <c r="J235" i="5"/>
  <c r="H130" i="5"/>
  <c r="E22" i="5"/>
  <c r="D8" i="1"/>
  <c r="H333" i="5"/>
  <c r="K88" i="5"/>
  <c r="H307" i="5"/>
  <c r="G16" i="1"/>
  <c r="L223" i="5"/>
  <c r="D276" i="5"/>
  <c r="I276" i="5" s="1"/>
  <c r="E48" i="1"/>
  <c r="E7" i="1"/>
  <c r="H13" i="1"/>
  <c r="I275" i="5"/>
  <c r="D248" i="5"/>
  <c r="K248" i="5" s="1"/>
  <c r="F117" i="5"/>
  <c r="J117" i="5" s="1"/>
  <c r="D62" i="1"/>
  <c r="K62" i="1" s="1"/>
  <c r="K73" i="5"/>
  <c r="E92" i="5"/>
  <c r="F170" i="5"/>
  <c r="H36" i="5"/>
  <c r="I102" i="5"/>
  <c r="K259" i="5"/>
  <c r="D86" i="5"/>
  <c r="E31" i="1"/>
  <c r="G69" i="5"/>
  <c r="G19" i="1"/>
  <c r="E162" i="5"/>
  <c r="F18" i="1"/>
  <c r="H18" i="1"/>
  <c r="J256" i="5"/>
  <c r="D114" i="5"/>
  <c r="G22" i="1"/>
  <c r="I167" i="5"/>
  <c r="F190" i="5"/>
  <c r="H16" i="1"/>
  <c r="H34" i="1"/>
  <c r="L58" i="5"/>
  <c r="D136" i="5"/>
  <c r="G5" i="5"/>
  <c r="D14" i="1"/>
  <c r="D323" i="5"/>
  <c r="I323" i="5" s="1"/>
  <c r="F113" i="5"/>
  <c r="H26" i="1"/>
  <c r="G39" i="1"/>
  <c r="H41" i="5"/>
  <c r="F313" i="5"/>
  <c r="E17" i="5"/>
  <c r="H126" i="5"/>
  <c r="K306" i="5"/>
  <c r="I137" i="5"/>
  <c r="E15" i="1"/>
  <c r="E292" i="5"/>
  <c r="D44" i="1"/>
  <c r="E39" i="5"/>
  <c r="G191" i="5"/>
  <c r="H124" i="5"/>
  <c r="D5" i="1"/>
  <c r="E329" i="5"/>
  <c r="F302" i="5"/>
  <c r="E26" i="5"/>
  <c r="E17" i="1"/>
  <c r="L17" i="1" s="1"/>
  <c r="G41" i="5"/>
  <c r="D161" i="5"/>
  <c r="F13" i="1"/>
  <c r="F111" i="5"/>
  <c r="I282" i="5"/>
  <c r="E81" i="5"/>
  <c r="K81" i="5" s="1"/>
  <c r="E127" i="5"/>
  <c r="L127" i="5" s="1"/>
  <c r="I319" i="5"/>
  <c r="E19" i="1"/>
  <c r="E46" i="1"/>
  <c r="H141" i="5"/>
  <c r="F29" i="5"/>
  <c r="D39" i="1"/>
  <c r="D308" i="5"/>
  <c r="J99" i="5"/>
  <c r="H32" i="5"/>
  <c r="I204" i="5"/>
  <c r="G204" i="5"/>
  <c r="H27" i="5"/>
  <c r="K48" i="5"/>
  <c r="F157" i="5"/>
  <c r="D12" i="1"/>
  <c r="F5" i="1"/>
  <c r="K233" i="5"/>
  <c r="G156" i="5"/>
  <c r="H4" i="5"/>
  <c r="K41" i="1"/>
  <c r="L159" i="5"/>
  <c r="H315" i="5"/>
  <c r="D61" i="5"/>
  <c r="E18" i="1"/>
  <c r="K18" i="1" s="1"/>
  <c r="D30" i="1"/>
  <c r="J229" i="5"/>
  <c r="K319" i="5"/>
  <c r="G68" i="5"/>
  <c r="K99" i="5"/>
  <c r="F28" i="1"/>
  <c r="I269" i="5"/>
  <c r="I315" i="5"/>
  <c r="I39" i="1"/>
  <c r="I194" i="5"/>
  <c r="K304" i="5"/>
  <c r="K208" i="5"/>
  <c r="I312" i="5"/>
  <c r="K246" i="5"/>
  <c r="K153" i="5"/>
  <c r="I200" i="5"/>
  <c r="K37" i="1"/>
  <c r="I291" i="5"/>
  <c r="J182" i="5"/>
  <c r="I87" i="5"/>
  <c r="H111" i="5"/>
  <c r="F308" i="5"/>
  <c r="J308" i="5" s="1"/>
  <c r="H49" i="5"/>
  <c r="K222" i="5"/>
  <c r="H29" i="1"/>
  <c r="E207" i="5"/>
  <c r="K339" i="5"/>
  <c r="K97" i="5"/>
  <c r="I135" i="5"/>
  <c r="H109" i="5"/>
  <c r="E33" i="5"/>
  <c r="I33" i="5" s="1"/>
  <c r="J238" i="5"/>
  <c r="E30" i="5"/>
  <c r="E30" i="1"/>
  <c r="L30" i="1" s="1"/>
  <c r="E143" i="5"/>
  <c r="E219" i="5"/>
  <c r="H19" i="5"/>
  <c r="I128" i="5"/>
  <c r="G43" i="1"/>
  <c r="G58" i="1"/>
  <c r="G220" i="5"/>
  <c r="I322" i="5"/>
  <c r="D13" i="1"/>
  <c r="I105" i="5"/>
  <c r="H9" i="1"/>
  <c r="G10" i="1"/>
  <c r="E147" i="5"/>
  <c r="E26" i="1"/>
  <c r="G36" i="1"/>
  <c r="E206" i="5"/>
  <c r="H47" i="1"/>
  <c r="J316" i="5"/>
  <c r="G137" i="5"/>
  <c r="D32" i="5"/>
  <c r="H44" i="1"/>
  <c r="K213" i="5"/>
  <c r="J183" i="5"/>
  <c r="D55" i="1"/>
  <c r="F179" i="5"/>
  <c r="E42" i="1"/>
  <c r="I4" i="1"/>
  <c r="I61" i="1"/>
  <c r="H177" i="5"/>
  <c r="E11" i="1"/>
  <c r="H84" i="5"/>
  <c r="I196" i="5"/>
  <c r="K239" i="5"/>
  <c r="D6" i="5"/>
  <c r="F17" i="5"/>
  <c r="J149" i="5"/>
  <c r="J255" i="5"/>
  <c r="F174" i="5"/>
  <c r="F17" i="1"/>
  <c r="I298" i="5"/>
  <c r="J330" i="5"/>
  <c r="G27" i="5"/>
  <c r="K149" i="5"/>
  <c r="K39" i="1"/>
  <c r="F70" i="5"/>
  <c r="I82" i="5"/>
  <c r="G80" i="5"/>
  <c r="J177" i="5"/>
  <c r="I295" i="5"/>
  <c r="I209" i="5"/>
  <c r="I85" i="5"/>
  <c r="J92" i="5"/>
  <c r="L215" i="5"/>
  <c r="I127" i="5"/>
  <c r="I144" i="5"/>
  <c r="I240" i="5"/>
  <c r="K136" i="5"/>
  <c r="K82" i="5"/>
  <c r="I39" i="5"/>
  <c r="J136" i="5"/>
  <c r="J145" i="5"/>
  <c r="I195" i="5"/>
  <c r="L5" i="1"/>
  <c r="L40" i="5"/>
  <c r="K65" i="5"/>
  <c r="K5" i="5"/>
  <c r="I113" i="5"/>
  <c r="K184" i="5"/>
  <c r="L96" i="5"/>
  <c r="G127" i="5"/>
  <c r="K183" i="5"/>
  <c r="G221" i="5"/>
  <c r="H15" i="1"/>
  <c r="E321" i="5"/>
  <c r="H23" i="5"/>
  <c r="H92" i="5"/>
  <c r="E174" i="5"/>
  <c r="L207" i="5"/>
  <c r="G61" i="5"/>
  <c r="I73" i="5"/>
  <c r="G13" i="5"/>
  <c r="G12" i="1"/>
  <c r="H167" i="5"/>
  <c r="G6" i="1"/>
  <c r="D7" i="1"/>
  <c r="D267" i="5"/>
  <c r="J267" i="5" s="1"/>
  <c r="F25" i="1"/>
  <c r="J252" i="5"/>
  <c r="E154" i="5"/>
  <c r="E7" i="5"/>
  <c r="H28" i="1"/>
  <c r="I129" i="5"/>
  <c r="I217" i="5"/>
  <c r="G11" i="5"/>
  <c r="D15" i="1"/>
  <c r="I15" i="1"/>
  <c r="H210" i="5"/>
  <c r="I309" i="5"/>
  <c r="K21" i="1"/>
  <c r="G203" i="5"/>
  <c r="D23" i="5"/>
  <c r="I23" i="5" s="1"/>
  <c r="D26" i="5"/>
  <c r="K156" i="5"/>
  <c r="E260" i="5"/>
  <c r="H127" i="5"/>
  <c r="H46" i="1"/>
  <c r="E54" i="1"/>
  <c r="I121" i="5"/>
  <c r="J286" i="5"/>
  <c r="G115" i="5"/>
  <c r="D21" i="5"/>
  <c r="K229" i="5"/>
  <c r="K254" i="5"/>
  <c r="D49" i="1"/>
  <c r="K38" i="5"/>
  <c r="K43" i="1"/>
  <c r="D224" i="5"/>
  <c r="J224" i="5" s="1"/>
  <c r="I136" i="5"/>
  <c r="J295" i="5"/>
  <c r="K145" i="5"/>
  <c r="K195" i="5"/>
  <c r="I203" i="5"/>
  <c r="K92" i="5"/>
  <c r="K215" i="5"/>
  <c r="L33" i="5"/>
  <c r="K144" i="5"/>
  <c r="K240" i="5"/>
  <c r="L26" i="5"/>
  <c r="I60" i="1"/>
  <c r="D16" i="1"/>
  <c r="D95" i="5"/>
  <c r="G37" i="1"/>
  <c r="D289" i="5"/>
  <c r="K289" i="5" s="1"/>
  <c r="D19" i="5"/>
  <c r="I19" i="5" s="1"/>
  <c r="E14" i="5"/>
  <c r="G91" i="5"/>
  <c r="J282" i="5"/>
  <c r="F14" i="5"/>
  <c r="I41" i="5"/>
  <c r="H48" i="1"/>
  <c r="D31" i="1"/>
  <c r="E193" i="5"/>
  <c r="I193" i="5" s="1"/>
  <c r="D14" i="5"/>
  <c r="J14" i="5" s="1"/>
  <c r="I317" i="5"/>
  <c r="H185" i="5"/>
  <c r="G31" i="1"/>
  <c r="L324" i="5"/>
  <c r="F184" i="5"/>
  <c r="F42" i="1"/>
  <c r="H12" i="1"/>
  <c r="I97" i="5"/>
  <c r="H91" i="5"/>
  <c r="E49" i="1"/>
  <c r="K49" i="1" s="1"/>
  <c r="L309" i="5"/>
  <c r="I21" i="1"/>
  <c r="E133" i="5"/>
  <c r="I277" i="5"/>
  <c r="I62" i="1"/>
  <c r="G76" i="5"/>
  <c r="H63" i="1"/>
  <c r="F8" i="5"/>
  <c r="L181" i="5"/>
  <c r="I287" i="5"/>
  <c r="G227" i="5"/>
  <c r="F24" i="1"/>
  <c r="D23" i="1"/>
  <c r="I89" i="5"/>
  <c r="E211" i="5"/>
  <c r="K191" i="5"/>
  <c r="E55" i="1"/>
  <c r="F189" i="5"/>
  <c r="E23" i="1"/>
  <c r="G20" i="1"/>
  <c r="I11" i="5"/>
  <c r="D185" i="5"/>
  <c r="I248" i="5"/>
  <c r="K311" i="5"/>
  <c r="K225" i="5"/>
  <c r="J215" i="5"/>
  <c r="K33" i="5"/>
  <c r="I214" i="5"/>
  <c r="I261" i="5"/>
  <c r="K217" i="5"/>
  <c r="I260" i="5"/>
  <c r="K35" i="1"/>
  <c r="J23" i="1"/>
  <c r="H68" i="5"/>
  <c r="F112" i="5"/>
  <c r="J112" i="5" s="1"/>
  <c r="H22" i="5"/>
  <c r="E293" i="5"/>
  <c r="J332" i="5"/>
  <c r="F9" i="1"/>
  <c r="H40" i="5"/>
  <c r="L230" i="5"/>
  <c r="H24" i="1"/>
  <c r="J64" i="5"/>
  <c r="D20" i="1"/>
  <c r="L317" i="5"/>
  <c r="H229" i="5"/>
  <c r="H54" i="1"/>
  <c r="J258" i="5"/>
  <c r="E140" i="5"/>
  <c r="E9" i="1"/>
  <c r="J9" i="1" s="1"/>
  <c r="K251" i="5"/>
  <c r="K218" i="5"/>
  <c r="G17" i="1"/>
  <c r="K105" i="5"/>
  <c r="I145" i="5"/>
  <c r="L277" i="5"/>
  <c r="J62" i="1"/>
  <c r="D62" i="5"/>
  <c r="D30" i="5"/>
  <c r="K30" i="5" s="1"/>
  <c r="E61" i="5"/>
  <c r="F41" i="1"/>
  <c r="H50" i="1"/>
  <c r="L229" i="5"/>
  <c r="D212" i="5"/>
  <c r="K107" i="5"/>
  <c r="G14" i="1"/>
  <c r="E38" i="1"/>
  <c r="L38" i="1" s="1"/>
  <c r="I57" i="5"/>
  <c r="H231" i="5"/>
  <c r="E111" i="5"/>
  <c r="E29" i="1"/>
  <c r="E108" i="5"/>
  <c r="D63" i="1"/>
  <c r="L82" i="5"/>
  <c r="D71" i="5"/>
  <c r="I153" i="5"/>
  <c r="I326" i="5"/>
  <c r="K54" i="5"/>
  <c r="I311" i="5"/>
  <c r="K94" i="5"/>
  <c r="J225" i="5"/>
  <c r="K5" i="1"/>
  <c r="K86" i="5"/>
  <c r="I256" i="5"/>
  <c r="J214" i="5"/>
  <c r="K40" i="5"/>
  <c r="L261" i="5"/>
  <c r="K157" i="5"/>
  <c r="I62" i="5"/>
  <c r="J260" i="5"/>
  <c r="I35" i="1"/>
  <c r="L23" i="1"/>
  <c r="K15" i="1"/>
  <c r="I65" i="5"/>
  <c r="I40" i="1"/>
  <c r="I33" i="1"/>
  <c r="L79" i="5"/>
  <c r="K243" i="5"/>
  <c r="E161" i="5"/>
  <c r="K161" i="5" s="1"/>
  <c r="K141" i="5"/>
  <c r="E8" i="5"/>
  <c r="K170" i="5"/>
  <c r="I226" i="5"/>
  <c r="K100" i="5"/>
  <c r="I187" i="5"/>
  <c r="J216" i="5"/>
  <c r="K174" i="5"/>
  <c r="K84" i="5"/>
  <c r="I14" i="5"/>
  <c r="L212" i="5"/>
  <c r="K11" i="5"/>
  <c r="J98" i="5"/>
  <c r="J24" i="1"/>
  <c r="K67" i="5"/>
  <c r="I225" i="5"/>
  <c r="K8" i="5"/>
  <c r="D271" i="5"/>
  <c r="E83" i="5"/>
  <c r="I112" i="5"/>
  <c r="G17" i="5"/>
  <c r="I213" i="5"/>
  <c r="F12" i="5"/>
  <c r="K338" i="5"/>
  <c r="J271" i="5"/>
  <c r="L204" i="5"/>
  <c r="D250" i="5"/>
  <c r="L250" i="5" s="1"/>
  <c r="K36" i="5"/>
  <c r="J319" i="5"/>
  <c r="J339" i="5"/>
  <c r="F20" i="5"/>
  <c r="G64" i="5"/>
  <c r="L135" i="5"/>
  <c r="G12" i="5"/>
  <c r="I17" i="5"/>
  <c r="J168" i="5"/>
  <c r="L253" i="5"/>
  <c r="E274" i="5"/>
  <c r="F32" i="1"/>
  <c r="J242" i="5"/>
  <c r="H99" i="5"/>
  <c r="F27" i="5"/>
  <c r="I258" i="5"/>
  <c r="F142" i="5"/>
  <c r="G28" i="5"/>
  <c r="E53" i="1"/>
  <c r="J104" i="5"/>
  <c r="D69" i="5"/>
  <c r="J69" i="5" s="1"/>
  <c r="D80" i="5"/>
  <c r="K80" i="5" s="1"/>
  <c r="J324" i="5"/>
  <c r="H246" i="5"/>
  <c r="D125" i="5"/>
  <c r="H10" i="5"/>
  <c r="J323" i="5"/>
  <c r="G342" i="5"/>
  <c r="F115" i="5"/>
  <c r="D19" i="1"/>
  <c r="J19" i="1" s="1"/>
  <c r="E13" i="1"/>
  <c r="G328" i="5"/>
  <c r="H62" i="5"/>
  <c r="I51" i="5"/>
  <c r="H51" i="1"/>
  <c r="J141" i="5"/>
  <c r="F321" i="5"/>
  <c r="E6" i="1"/>
  <c r="K59" i="5"/>
  <c r="L269" i="5"/>
  <c r="J315" i="5"/>
  <c r="E28" i="1"/>
  <c r="I5" i="5"/>
  <c r="F26" i="5"/>
  <c r="I118" i="5"/>
  <c r="I278" i="5"/>
  <c r="K76" i="5"/>
  <c r="J294" i="5"/>
  <c r="I94" i="5"/>
  <c r="K216" i="5"/>
  <c r="I5" i="1"/>
  <c r="K256" i="5"/>
  <c r="K14" i="5"/>
  <c r="K261" i="5"/>
  <c r="I157" i="5"/>
  <c r="I69" i="5"/>
  <c r="J125" i="5"/>
  <c r="K260" i="5"/>
  <c r="J18" i="1"/>
  <c r="L6" i="1"/>
  <c r="I23" i="1"/>
  <c r="J65" i="5"/>
  <c r="L40" i="1"/>
  <c r="J33" i="1"/>
  <c r="K79" i="5"/>
  <c r="F205" i="5"/>
  <c r="I48" i="5"/>
  <c r="E75" i="5"/>
  <c r="I243" i="5"/>
  <c r="H332" i="5"/>
  <c r="G66" i="5"/>
  <c r="F48" i="1"/>
  <c r="J48" i="1" s="1"/>
  <c r="D327" i="5"/>
  <c r="J327" i="5" s="1"/>
  <c r="K22" i="5"/>
  <c r="G37" i="5"/>
  <c r="H79" i="5"/>
  <c r="E58" i="1"/>
  <c r="K294" i="5"/>
  <c r="K247" i="5"/>
  <c r="L157" i="5"/>
  <c r="J169" i="5"/>
  <c r="I18" i="1"/>
  <c r="J40" i="1"/>
  <c r="J7" i="1"/>
  <c r="I79" i="5"/>
  <c r="D335" i="5"/>
  <c r="I335" i="5" s="1"/>
  <c r="L338" i="5"/>
  <c r="G128" i="5"/>
  <c r="G47" i="1"/>
  <c r="L141" i="5"/>
  <c r="G22" i="5"/>
  <c r="L197" i="5"/>
  <c r="J39" i="5"/>
  <c r="F217" i="5"/>
  <c r="H45" i="5"/>
  <c r="H119" i="5"/>
  <c r="I146" i="5"/>
  <c r="I297" i="5"/>
  <c r="J278" i="5"/>
  <c r="I249" i="5"/>
  <c r="J226" i="5"/>
  <c r="I183" i="5"/>
  <c r="I46" i="5"/>
  <c r="J239" i="5"/>
  <c r="D179" i="5"/>
  <c r="I107" i="5"/>
  <c r="I86" i="5"/>
  <c r="G259" i="5"/>
  <c r="L142" i="5"/>
  <c r="F175" i="5"/>
  <c r="I307" i="5"/>
  <c r="H38" i="1"/>
  <c r="J44" i="5"/>
  <c r="J73" i="5"/>
  <c r="D34" i="1"/>
  <c r="K34" i="1" s="1"/>
  <c r="F280" i="5"/>
  <c r="D31" i="5"/>
  <c r="K31" i="5" s="1"/>
  <c r="I331" i="5"/>
  <c r="G194" i="5"/>
  <c r="D10" i="1"/>
  <c r="K10" i="1" s="1"/>
  <c r="I174" i="5"/>
  <c r="K159" i="5"/>
  <c r="F55" i="1"/>
  <c r="I242" i="5"/>
  <c r="E6" i="5"/>
  <c r="J6" i="5" s="1"/>
  <c r="G35" i="1"/>
  <c r="H25" i="5"/>
  <c r="K62" i="5"/>
  <c r="G24" i="5"/>
  <c r="L149" i="5"/>
  <c r="D162" i="5"/>
  <c r="J162" i="5" s="1"/>
  <c r="J131" i="5"/>
  <c r="E18" i="5"/>
  <c r="I18" i="5" s="1"/>
  <c r="I88" i="5"/>
  <c r="H317" i="5"/>
  <c r="J298" i="5"/>
  <c r="F58" i="1"/>
  <c r="D176" i="5"/>
  <c r="F220" i="5"/>
  <c r="J250" i="5"/>
  <c r="I53" i="1"/>
  <c r="K83" i="5"/>
  <c r="K30" i="1"/>
  <c r="D93" i="5"/>
  <c r="K93" i="5" s="1"/>
  <c r="J76" i="5"/>
  <c r="E77" i="5"/>
  <c r="I34" i="1"/>
  <c r="D140" i="5"/>
  <c r="D288" i="5"/>
  <c r="G140" i="5"/>
  <c r="L106" i="5"/>
  <c r="F16" i="1"/>
  <c r="I68" i="5"/>
  <c r="J41" i="5"/>
  <c r="F204" i="5"/>
  <c r="D257" i="5"/>
  <c r="I257" i="5" s="1"/>
  <c r="H11" i="5"/>
  <c r="K299" i="5"/>
  <c r="K223" i="5"/>
  <c r="G101" i="5"/>
  <c r="L172" i="5"/>
  <c r="D78" i="5"/>
  <c r="F39" i="1"/>
  <c r="K290" i="5"/>
  <c r="E166" i="5"/>
  <c r="K44" i="1"/>
  <c r="I17" i="1"/>
  <c r="J19" i="5"/>
  <c r="H87" i="5"/>
  <c r="H9" i="5"/>
  <c r="L242" i="5"/>
  <c r="K328" i="5"/>
  <c r="D124" i="5"/>
  <c r="D26" i="1"/>
  <c r="J314" i="5"/>
  <c r="E325" i="5"/>
  <c r="E123" i="5"/>
  <c r="I123" i="5" s="1"/>
  <c r="E29" i="5"/>
  <c r="K29" i="5" s="1"/>
  <c r="F61" i="1"/>
  <c r="J89" i="5"/>
  <c r="G198" i="5"/>
  <c r="I92" i="5"/>
  <c r="K6" i="5"/>
  <c r="I341" i="5"/>
  <c r="E175" i="5"/>
  <c r="F10" i="5"/>
  <c r="I229" i="5"/>
  <c r="I197" i="5"/>
  <c r="F102" i="5"/>
  <c r="I149" i="5"/>
  <c r="D59" i="1"/>
  <c r="F257" i="5"/>
  <c r="J167" i="5"/>
  <c r="H197" i="5"/>
  <c r="G20" i="5"/>
  <c r="I313" i="5"/>
  <c r="I280" i="5"/>
  <c r="J342" i="5"/>
  <c r="J100" i="5"/>
  <c r="K187" i="5"/>
  <c r="I160" i="5"/>
  <c r="L174" i="5"/>
  <c r="I81" i="5"/>
  <c r="I247" i="5"/>
  <c r="K162" i="5"/>
  <c r="I9" i="1"/>
  <c r="J75" i="5"/>
  <c r="J124" i="5"/>
  <c r="K169" i="5"/>
  <c r="K212" i="5"/>
  <c r="K8" i="1"/>
  <c r="L11" i="5"/>
  <c r="J96" i="5"/>
  <c r="K98" i="5"/>
  <c r="K7" i="1"/>
  <c r="J79" i="5"/>
  <c r="J213" i="5"/>
  <c r="H21" i="1"/>
  <c r="E34" i="5"/>
  <c r="J39" i="1"/>
  <c r="G105" i="5"/>
  <c r="D152" i="5"/>
  <c r="H108" i="5"/>
  <c r="L306" i="5"/>
  <c r="E56" i="1"/>
  <c r="K56" i="1" s="1"/>
  <c r="H172" i="5"/>
  <c r="J270" i="5"/>
  <c r="G124" i="5"/>
  <c r="I95" i="5"/>
  <c r="H42" i="1"/>
  <c r="E119" i="5"/>
  <c r="J119" i="5" s="1"/>
  <c r="K264" i="5"/>
  <c r="D4" i="5"/>
  <c r="E178" i="5"/>
  <c r="F49" i="1"/>
  <c r="J49" i="1" s="1"/>
  <c r="J251" i="5"/>
  <c r="D134" i="5"/>
  <c r="E28" i="5"/>
  <c r="L282" i="5"/>
  <c r="D133" i="5"/>
  <c r="K133" i="5" s="1"/>
  <c r="K121" i="5"/>
  <c r="L167" i="5"/>
  <c r="F139" i="5"/>
  <c r="G24" i="1"/>
  <c r="J106" i="5"/>
  <c r="L62" i="1"/>
  <c r="G48" i="5"/>
  <c r="H53" i="1"/>
  <c r="L231" i="5"/>
  <c r="K335" i="5"/>
  <c r="F74" i="5"/>
  <c r="J74" i="5" s="1"/>
  <c r="H6" i="1"/>
  <c r="I166" i="5"/>
  <c r="J240" i="5"/>
  <c r="H64" i="5"/>
  <c r="G44" i="1"/>
  <c r="J57" i="5"/>
  <c r="E234" i="5"/>
  <c r="F47" i="5"/>
  <c r="I244" i="5"/>
  <c r="J38" i="5"/>
  <c r="F116" i="5"/>
  <c r="D46" i="1"/>
  <c r="I119" i="5"/>
  <c r="J335" i="5"/>
  <c r="E4" i="5"/>
  <c r="L4" i="5" s="1"/>
  <c r="I38" i="5"/>
  <c r="E115" i="5"/>
  <c r="D60" i="5"/>
  <c r="J160" i="5"/>
  <c r="H22" i="1"/>
  <c r="K146" i="5"/>
  <c r="K280" i="5"/>
  <c r="K342" i="5"/>
  <c r="K249" i="5"/>
  <c r="K226" i="5"/>
  <c r="K160" i="5"/>
  <c r="K46" i="5"/>
  <c r="J81" i="5"/>
  <c r="J247" i="5"/>
  <c r="L134" i="5"/>
  <c r="I162" i="5"/>
  <c r="I239" i="5"/>
  <c r="K113" i="5"/>
  <c r="I124" i="5"/>
  <c r="I169" i="5"/>
  <c r="I212" i="5"/>
  <c r="I8" i="1"/>
  <c r="L87" i="5"/>
  <c r="I96" i="5"/>
  <c r="K24" i="1"/>
  <c r="L39" i="1"/>
  <c r="I7" i="1"/>
  <c r="I8" i="5"/>
  <c r="F84" i="5"/>
  <c r="J84" i="5" s="1"/>
  <c r="F108" i="5"/>
  <c r="F36" i="5"/>
  <c r="E305" i="5"/>
  <c r="I332" i="5"/>
  <c r="H17" i="1"/>
  <c r="J334" i="5"/>
  <c r="D32" i="1"/>
  <c r="J32" i="1" s="1"/>
  <c r="H263" i="5"/>
  <c r="D27" i="1"/>
  <c r="J27" i="1" s="1"/>
  <c r="L322" i="5"/>
  <c r="F83" i="5"/>
  <c r="J83" i="5" s="1"/>
  <c r="E12" i="5"/>
  <c r="J12" i="5" s="1"/>
  <c r="H73" i="5"/>
  <c r="G33" i="5"/>
  <c r="J338" i="5"/>
  <c r="J152" i="5"/>
  <c r="H34" i="5"/>
  <c r="F45" i="1"/>
  <c r="J166" i="5"/>
  <c r="E245" i="5"/>
  <c r="E130" i="5"/>
  <c r="I52" i="1"/>
  <c r="K270" i="5"/>
  <c r="K323" i="5"/>
  <c r="E190" i="5"/>
  <c r="F38" i="1"/>
  <c r="D72" i="5"/>
  <c r="I130" i="5"/>
  <c r="K87" i="5"/>
  <c r="L7" i="1"/>
  <c r="I339" i="5"/>
  <c r="E336" i="5"/>
  <c r="F273" i="5"/>
  <c r="I104" i="5"/>
  <c r="D221" i="5"/>
  <c r="J320" i="5"/>
  <c r="L114" i="5"/>
  <c r="L32" i="1"/>
  <c r="I224" i="5"/>
  <c r="I70" i="5"/>
  <c r="G130" i="5"/>
  <c r="I233" i="5"/>
  <c r="J85" i="5"/>
  <c r="K268" i="5"/>
  <c r="J56" i="5"/>
  <c r="H113" i="5"/>
  <c r="H8" i="1"/>
  <c r="I141" i="5"/>
  <c r="K224" i="5"/>
  <c r="I305" i="5"/>
  <c r="J192" i="5"/>
  <c r="J291" i="5"/>
  <c r="L182" i="5"/>
  <c r="K4" i="5"/>
  <c r="K14" i="1"/>
  <c r="J276" i="5"/>
  <c r="J322" i="5"/>
  <c r="D50" i="1"/>
  <c r="J231" i="5"/>
  <c r="G29" i="5"/>
  <c r="G114" i="5"/>
  <c r="G308" i="5"/>
  <c r="I111" i="5"/>
  <c r="I35" i="5"/>
  <c r="J110" i="5"/>
  <c r="K209" i="5"/>
  <c r="I281" i="5"/>
  <c r="J200" i="5"/>
  <c r="J206" i="5"/>
  <c r="K12" i="1"/>
  <c r="F13" i="5"/>
  <c r="H47" i="5"/>
  <c r="D36" i="1"/>
  <c r="E340" i="5"/>
  <c r="E16" i="1"/>
  <c r="J16" i="1" s="1"/>
  <c r="I29" i="5"/>
  <c r="H10" i="1"/>
  <c r="G125" i="5"/>
  <c r="J263" i="5"/>
  <c r="H104" i="5"/>
  <c r="E205" i="5"/>
  <c r="K205" i="5" s="1"/>
  <c r="J302" i="5"/>
  <c r="I246" i="5"/>
  <c r="E198" i="5"/>
  <c r="L61" i="1"/>
  <c r="E59" i="1"/>
  <c r="F4" i="5"/>
  <c r="K332" i="5"/>
  <c r="K312" i="5"/>
  <c r="K305" i="5"/>
  <c r="K193" i="5"/>
  <c r="K192" i="5"/>
  <c r="L130" i="5"/>
  <c r="J82" i="5"/>
  <c r="I4" i="5"/>
  <c r="I184" i="5"/>
  <c r="K276" i="5"/>
  <c r="J288" i="5"/>
  <c r="E32" i="5"/>
  <c r="J201" i="5"/>
  <c r="H132" i="5"/>
  <c r="H58" i="5"/>
  <c r="F310" i="5"/>
  <c r="L214" i="5"/>
  <c r="I114" i="5"/>
  <c r="K194" i="5"/>
  <c r="J312" i="5"/>
  <c r="K281" i="5"/>
  <c r="J193" i="5"/>
  <c r="I206" i="5"/>
  <c r="I66" i="5"/>
  <c r="J184" i="5"/>
  <c r="I49" i="1"/>
  <c r="L48" i="1"/>
  <c r="L63" i="1"/>
  <c r="J114" i="5"/>
  <c r="H120" i="5"/>
  <c r="E27" i="5"/>
  <c r="I110" i="5"/>
  <c r="K200" i="5"/>
  <c r="I48" i="1"/>
  <c r="E25" i="1"/>
  <c r="I210" i="5"/>
  <c r="J58" i="5"/>
  <c r="K109" i="5"/>
  <c r="D151" i="5"/>
  <c r="L151" i="5" s="1"/>
  <c r="K341" i="5"/>
  <c r="K18" i="5"/>
  <c r="I22" i="5"/>
  <c r="I16" i="1"/>
  <c r="K263" i="5"/>
  <c r="J109" i="5"/>
  <c r="K257" i="5"/>
  <c r="D34" i="5"/>
  <c r="J34" i="5" s="1"/>
  <c r="H39" i="1"/>
  <c r="G172" i="5"/>
  <c r="I338" i="5"/>
  <c r="H100" i="5"/>
  <c r="K60" i="1"/>
  <c r="D13" i="5"/>
  <c r="K13" i="5" s="1"/>
  <c r="K164" i="5"/>
  <c r="J30" i="5"/>
  <c r="K57" i="1"/>
  <c r="G40" i="1"/>
  <c r="H6" i="5"/>
  <c r="F51" i="5"/>
  <c r="E63" i="5"/>
  <c r="K45" i="5"/>
  <c r="I263" i="5"/>
  <c r="K178" i="5"/>
  <c r="I47" i="5"/>
  <c r="J341" i="5"/>
  <c r="L18" i="5"/>
  <c r="I28" i="1"/>
  <c r="J22" i="5"/>
  <c r="L16" i="1"/>
  <c r="J246" i="5"/>
  <c r="J178" i="5"/>
  <c r="I44" i="1"/>
  <c r="L156" i="5"/>
  <c r="K262" i="5"/>
  <c r="K9" i="5"/>
  <c r="I182" i="5"/>
  <c r="K267" i="5"/>
  <c r="H16" i="5"/>
  <c r="J144" i="5"/>
  <c r="I223" i="5"/>
  <c r="J290" i="5"/>
  <c r="K255" i="5"/>
  <c r="H31" i="5"/>
  <c r="K9" i="1"/>
  <c r="H116" i="5"/>
  <c r="E303" i="5"/>
  <c r="J303" i="5" s="1"/>
  <c r="F34" i="1"/>
  <c r="K40" i="1"/>
  <c r="K155" i="5"/>
  <c r="K32" i="5"/>
  <c r="I58" i="1"/>
  <c r="I6" i="5"/>
  <c r="J60" i="5"/>
  <c r="J87" i="5"/>
  <c r="J129" i="5"/>
  <c r="G334" i="5"/>
  <c r="D47" i="1"/>
  <c r="D27" i="5"/>
  <c r="J27" i="5" s="1"/>
  <c r="I108" i="5"/>
  <c r="I37" i="1"/>
  <c r="H40" i="1"/>
  <c r="I38" i="1"/>
  <c r="E103" i="5"/>
  <c r="K103" i="5" s="1"/>
  <c r="L267" i="5"/>
  <c r="L4" i="1"/>
  <c r="E221" i="5"/>
  <c r="K137" i="5"/>
  <c r="G32" i="5"/>
  <c r="F25" i="5"/>
  <c r="F86" i="5"/>
  <c r="K181" i="5"/>
  <c r="H200" i="5"/>
  <c r="L274" i="5"/>
  <c r="K297" i="5"/>
  <c r="K85" i="5"/>
  <c r="I178" i="5"/>
  <c r="I19" i="1"/>
  <c r="I32" i="5"/>
  <c r="K123" i="5"/>
  <c r="I12" i="5"/>
  <c r="I60" i="5"/>
  <c r="L63" i="5"/>
  <c r="K64" i="5"/>
  <c r="K104" i="5"/>
  <c r="I314" i="5"/>
  <c r="G77" i="5"/>
  <c r="J261" i="5"/>
  <c r="F22" i="1"/>
  <c r="F21" i="5"/>
  <c r="I192" i="5"/>
  <c r="I168" i="5"/>
  <c r="J57" i="1"/>
  <c r="I55" i="1"/>
  <c r="J72" i="5"/>
  <c r="L31" i="1"/>
  <c r="H324" i="5"/>
  <c r="L232" i="5"/>
  <c r="K108" i="5"/>
  <c r="K102" i="5"/>
  <c r="I270" i="5"/>
  <c r="I51" i="1"/>
  <c r="F18" i="5"/>
  <c r="J18" i="5" s="1"/>
  <c r="E158" i="5"/>
  <c r="I156" i="5"/>
  <c r="L341" i="5"/>
  <c r="D28" i="5"/>
  <c r="J80" i="5"/>
  <c r="E150" i="5"/>
  <c r="E16" i="5"/>
  <c r="I265" i="5"/>
  <c r="K168" i="5"/>
  <c r="I215" i="5"/>
  <c r="K19" i="1"/>
  <c r="K71" i="5"/>
  <c r="J123" i="5"/>
  <c r="J55" i="1"/>
  <c r="J185" i="5"/>
  <c r="I30" i="1"/>
  <c r="I52" i="5"/>
  <c r="I30" i="5"/>
  <c r="I71" i="5"/>
  <c r="K11" i="1"/>
  <c r="I80" i="5"/>
  <c r="J293" i="5"/>
  <c r="J120" i="5"/>
  <c r="K139" i="5"/>
  <c r="L9" i="5"/>
  <c r="K286" i="5"/>
  <c r="F54" i="1"/>
  <c r="L14" i="1"/>
  <c r="F118" i="5"/>
  <c r="I103" i="5"/>
  <c r="J47" i="1"/>
  <c r="J30" i="1"/>
  <c r="K204" i="5"/>
  <c r="K38" i="1"/>
  <c r="G151" i="5"/>
  <c r="H226" i="5"/>
  <c r="F110" i="5"/>
  <c r="J40" i="5"/>
  <c r="L191" i="5"/>
  <c r="E25" i="5"/>
  <c r="E53" i="5"/>
  <c r="H27" i="1"/>
  <c r="K16" i="1"/>
  <c r="K69" i="5"/>
  <c r="J52" i="5"/>
  <c r="I41" i="1"/>
  <c r="I56" i="1"/>
  <c r="I50" i="1"/>
  <c r="J11" i="1"/>
  <c r="I98" i="5"/>
  <c r="J205" i="5"/>
  <c r="K46" i="1"/>
  <c r="H15" i="5"/>
  <c r="I40" i="5"/>
  <c r="I235" i="5"/>
  <c r="H19" i="1"/>
  <c r="D116" i="5"/>
  <c r="I208" i="5"/>
  <c r="I234" i="5"/>
  <c r="L46" i="1"/>
  <c r="D283" i="5"/>
  <c r="J283" i="5" s="1"/>
  <c r="K127" i="5"/>
  <c r="I93" i="5"/>
  <c r="J139" i="5"/>
  <c r="K48" i="1"/>
  <c r="D7" i="5"/>
  <c r="K7" i="5" s="1"/>
  <c r="F5" i="5"/>
  <c r="J5" i="5" s="1"/>
  <c r="L56" i="5"/>
  <c r="J274" i="5"/>
  <c r="F12" i="1"/>
  <c r="D24" i="5"/>
  <c r="I24" i="5" s="1"/>
  <c r="I190" i="5"/>
  <c r="L196" i="5"/>
  <c r="K124" i="5"/>
  <c r="I321" i="5"/>
  <c r="I63" i="1"/>
  <c r="L56" i="1"/>
  <c r="J113" i="5"/>
  <c r="I25" i="1"/>
  <c r="L98" i="5"/>
  <c r="I205" i="5"/>
  <c r="I46" i="1"/>
  <c r="D220" i="5"/>
  <c r="G23" i="5"/>
  <c r="K278" i="5"/>
  <c r="I31" i="1"/>
  <c r="J181" i="5"/>
  <c r="L37" i="1"/>
  <c r="K327" i="5"/>
  <c r="D29" i="1"/>
  <c r="I29" i="1" s="1"/>
  <c r="I327" i="5"/>
  <c r="J29" i="5"/>
  <c r="E22" i="1"/>
  <c r="K22" i="1" s="1"/>
  <c r="J277" i="5"/>
  <c r="G61" i="1"/>
  <c r="I31" i="5"/>
  <c r="D292" i="5"/>
  <c r="J88" i="5"/>
  <c r="J275" i="5"/>
  <c r="I148" i="5"/>
  <c r="F219" i="5"/>
  <c r="L50" i="5"/>
  <c r="K60" i="5"/>
  <c r="K321" i="5"/>
  <c r="J63" i="1"/>
  <c r="K120" i="5"/>
  <c r="J43" i="1"/>
  <c r="K234" i="5"/>
  <c r="K23" i="5"/>
  <c r="L205" i="5"/>
  <c r="J46" i="1"/>
  <c r="E10" i="5"/>
  <c r="J10" i="5" s="1"/>
  <c r="I289" i="5"/>
  <c r="I120" i="5"/>
  <c r="K59" i="1"/>
  <c r="I10" i="1"/>
  <c r="E20" i="5"/>
  <c r="J20" i="5" s="1"/>
  <c r="K24" i="5"/>
  <c r="D199" i="5"/>
  <c r="L237" i="5"/>
  <c r="L183" i="5"/>
  <c r="I139" i="5"/>
  <c r="J292" i="5"/>
  <c r="K232" i="5"/>
  <c r="I12" i="1"/>
  <c r="I267" i="5"/>
  <c r="D165" i="5"/>
  <c r="I83" i="5"/>
  <c r="J198" i="5"/>
  <c r="D42" i="1"/>
  <c r="K42" i="1" s="1"/>
  <c r="K28" i="1"/>
  <c r="K56" i="5"/>
  <c r="G8" i="3"/>
  <c r="F8" i="3"/>
  <c r="H8" i="3"/>
  <c r="E8" i="3"/>
  <c r="K8" i="3" s="1"/>
  <c r="I8" i="3"/>
  <c r="J8" i="3"/>
  <c r="I250" i="5"/>
  <c r="K250" i="5"/>
  <c r="I310" i="5"/>
  <c r="J299" i="5"/>
  <c r="I299" i="5"/>
  <c r="K188" i="5"/>
  <c r="L188" i="5"/>
  <c r="K101" i="5"/>
  <c r="I101" i="5"/>
  <c r="I301" i="5"/>
  <c r="J90" i="5"/>
  <c r="L285" i="5"/>
  <c r="L74" i="5"/>
  <c r="I59" i="5"/>
  <c r="J55" i="5"/>
  <c r="I55" i="5"/>
  <c r="I58" i="5"/>
  <c r="K266" i="5"/>
  <c r="J266" i="5"/>
  <c r="I266" i="5"/>
  <c r="K142" i="5"/>
  <c r="I142" i="5"/>
  <c r="L42" i="5"/>
  <c r="J259" i="5"/>
  <c r="L259" i="5"/>
  <c r="I259" i="5"/>
  <c r="K202" i="5"/>
  <c r="I202" i="5"/>
  <c r="L180" i="5"/>
  <c r="I180" i="5"/>
  <c r="I330" i="5"/>
  <c r="K330" i="5"/>
  <c r="I45" i="1"/>
  <c r="K45" i="1"/>
  <c r="L45" i="1"/>
  <c r="K117" i="5"/>
  <c r="I273" i="5"/>
  <c r="K307" i="5"/>
  <c r="J307" i="5"/>
  <c r="J218" i="5"/>
  <c r="I218" i="5"/>
  <c r="K296" i="5"/>
  <c r="I296" i="5"/>
  <c r="I284" i="5"/>
  <c r="J284" i="5"/>
  <c r="K284" i="5"/>
  <c r="K298" i="5"/>
  <c r="L298" i="5"/>
  <c r="I228" i="5"/>
  <c r="K228" i="5"/>
  <c r="L290" i="5"/>
  <c r="I290" i="5"/>
  <c r="J254" i="5"/>
  <c r="I254" i="5"/>
  <c r="K148" i="5"/>
  <c r="I13" i="5"/>
  <c r="L233" i="5"/>
  <c r="J232" i="5"/>
  <c r="I232" i="5"/>
  <c r="L19" i="5"/>
  <c r="K19" i="5"/>
  <c r="J15" i="5"/>
  <c r="I15" i="5"/>
  <c r="K15" i="5"/>
  <c r="I64" i="5"/>
  <c r="K47" i="5"/>
  <c r="L47" i="5"/>
  <c r="K308" i="5"/>
  <c r="I308" i="5"/>
  <c r="I50" i="5"/>
  <c r="K50" i="5"/>
  <c r="J14" i="1"/>
  <c r="I14" i="1"/>
  <c r="L17" i="5"/>
  <c r="K17" i="5"/>
  <c r="L39" i="5"/>
  <c r="K329" i="5"/>
  <c r="I207" i="5"/>
  <c r="K207" i="5"/>
  <c r="L143" i="5"/>
  <c r="I143" i="5"/>
  <c r="J143" i="5"/>
  <c r="K143" i="5"/>
  <c r="I219" i="5"/>
  <c r="I147" i="5"/>
  <c r="K147" i="5"/>
  <c r="K206" i="5"/>
  <c r="L206" i="5"/>
  <c r="J7" i="5"/>
  <c r="J15" i="1"/>
  <c r="L15" i="1"/>
  <c r="I26" i="5"/>
  <c r="L54" i="1"/>
  <c r="I54" i="1"/>
  <c r="K54" i="1"/>
  <c r="I21" i="5"/>
  <c r="K21" i="5"/>
  <c r="L95" i="5"/>
  <c r="K95" i="5"/>
  <c r="J31" i="1"/>
  <c r="K31" i="1"/>
  <c r="I133" i="5"/>
  <c r="I211" i="5"/>
  <c r="K211" i="5"/>
  <c r="L55" i="1"/>
  <c r="K55" i="1"/>
  <c r="I185" i="5"/>
  <c r="K293" i="5"/>
  <c r="L293" i="5"/>
  <c r="I293" i="5"/>
  <c r="K20" i="1"/>
  <c r="I20" i="1"/>
  <c r="I140" i="5"/>
  <c r="K140" i="5"/>
  <c r="L140" i="5"/>
  <c r="K61" i="5"/>
  <c r="J61" i="5"/>
  <c r="I61" i="5"/>
  <c r="J111" i="5"/>
  <c r="L111" i="5"/>
  <c r="K111" i="5"/>
  <c r="J71" i="5"/>
  <c r="J161" i="5"/>
  <c r="I271" i="5"/>
  <c r="K271" i="5"/>
  <c r="K274" i="5"/>
  <c r="I274" i="5"/>
  <c r="K13" i="1"/>
  <c r="L13" i="1"/>
  <c r="I13" i="1"/>
  <c r="K58" i="1"/>
  <c r="K179" i="5"/>
  <c r="I179" i="5"/>
  <c r="K176" i="5"/>
  <c r="I176" i="5"/>
  <c r="J77" i="5"/>
  <c r="I77" i="5"/>
  <c r="K77" i="5"/>
  <c r="I78" i="5"/>
  <c r="K78" i="5"/>
  <c r="L166" i="5"/>
  <c r="K166" i="5"/>
  <c r="K26" i="1"/>
  <c r="I26" i="1"/>
  <c r="J26" i="1"/>
  <c r="L325" i="5"/>
  <c r="I325" i="5"/>
  <c r="I175" i="5"/>
  <c r="I34" i="5"/>
  <c r="L34" i="5"/>
  <c r="I152" i="5"/>
  <c r="K119" i="5"/>
  <c r="L234" i="5"/>
  <c r="J234" i="5"/>
  <c r="I115" i="5"/>
  <c r="K115" i="5"/>
  <c r="K32" i="1"/>
  <c r="I32" i="1"/>
  <c r="K12" i="5"/>
  <c r="L12" i="5"/>
  <c r="J130" i="5"/>
  <c r="K130" i="5"/>
  <c r="I72" i="5"/>
  <c r="K72" i="5"/>
  <c r="J336" i="5"/>
  <c r="I336" i="5"/>
  <c r="L198" i="5"/>
  <c r="I198" i="5"/>
  <c r="K198" i="5"/>
  <c r="J59" i="1"/>
  <c r="I59" i="1"/>
  <c r="L27" i="5"/>
  <c r="K27" i="5"/>
  <c r="I27" i="5"/>
  <c r="J25" i="1"/>
  <c r="K25" i="1"/>
  <c r="J151" i="5"/>
  <c r="K151" i="5"/>
  <c r="I151" i="5"/>
  <c r="J63" i="5"/>
  <c r="I63" i="5"/>
  <c r="K63" i="5"/>
  <c r="K303" i="5"/>
  <c r="J103" i="5"/>
  <c r="L221" i="5"/>
  <c r="J221" i="5"/>
  <c r="L158" i="5"/>
  <c r="K158" i="5"/>
  <c r="J158" i="5"/>
  <c r="I158" i="5"/>
  <c r="K116" i="5"/>
  <c r="I116" i="5"/>
  <c r="I283" i="5"/>
  <c r="K283" i="5"/>
  <c r="I10" i="5"/>
  <c r="L10" i="5"/>
  <c r="K20" i="5"/>
  <c r="L20" i="5"/>
  <c r="K199" i="5"/>
  <c r="J42" i="1"/>
  <c r="I42" i="1"/>
  <c r="K53" i="1"/>
  <c r="I125" i="5"/>
  <c r="K6" i="1"/>
  <c r="I6" i="1"/>
  <c r="I75" i="5"/>
  <c r="K27" i="1"/>
  <c r="I27" i="1"/>
  <c r="K245" i="5"/>
  <c r="I245" i="5"/>
  <c r="K29" i="1"/>
  <c r="L29" i="1"/>
  <c r="L22" i="1"/>
  <c r="I22" i="1"/>
  <c r="K288" i="5"/>
  <c r="I288" i="5"/>
  <c r="J325" i="5"/>
  <c r="K325" i="5"/>
  <c r="J175" i="5"/>
  <c r="L175" i="5"/>
  <c r="K134" i="5"/>
  <c r="J134" i="5"/>
  <c r="I134" i="5"/>
  <c r="K28" i="5"/>
  <c r="I28" i="5"/>
  <c r="J245" i="5"/>
  <c r="L245" i="5"/>
  <c r="L190" i="5"/>
  <c r="K190" i="5"/>
  <c r="J190" i="5"/>
  <c r="K50" i="1"/>
  <c r="J50" i="1"/>
  <c r="I36" i="1"/>
  <c r="K36" i="1"/>
  <c r="I340" i="5"/>
  <c r="J340" i="5"/>
  <c r="I47" i="1"/>
  <c r="K47" i="1"/>
  <c r="L47" i="1"/>
  <c r="K221" i="5"/>
  <c r="I221" i="5"/>
  <c r="L28" i="5"/>
  <c r="I150" i="5"/>
  <c r="J150" i="5"/>
  <c r="K150" i="5"/>
  <c r="L150" i="5"/>
  <c r="K16" i="5"/>
  <c r="I16" i="5"/>
  <c r="K25" i="5"/>
  <c r="I25" i="5"/>
  <c r="L25" i="5"/>
  <c r="K53" i="5"/>
  <c r="J53" i="5"/>
  <c r="I53" i="5"/>
  <c r="I220" i="5"/>
  <c r="K220" i="5"/>
  <c r="L220" i="5"/>
  <c r="K292" i="5"/>
  <c r="I292" i="5"/>
  <c r="J199" i="5"/>
  <c r="L199" i="5"/>
  <c r="L165" i="5"/>
  <c r="J165" i="5"/>
  <c r="K165" i="5"/>
  <c r="I165" i="5"/>
  <c r="G4" i="6" l="1"/>
  <c r="T4" i="6" s="1"/>
  <c r="U4" i="6" s="1"/>
  <c r="V4" i="6" s="1"/>
  <c r="W4" i="6" s="1"/>
  <c r="G3" i="6"/>
  <c r="H3" i="6"/>
  <c r="I3" i="6" s="1"/>
  <c r="R3" i="6" s="1"/>
  <c r="S3" i="6" s="1"/>
  <c r="R4" i="6"/>
  <c r="J12" i="1"/>
  <c r="J41" i="1"/>
  <c r="K26" i="5"/>
  <c r="J248" i="5"/>
  <c r="K17" i="1"/>
  <c r="K74" i="5"/>
  <c r="K310" i="5"/>
  <c r="J132" i="5"/>
  <c r="L318" i="5"/>
  <c r="J329" i="5"/>
  <c r="L239" i="5"/>
  <c r="L296" i="5"/>
  <c r="L59" i="5"/>
  <c r="L75" i="5"/>
  <c r="L91" i="5"/>
  <c r="L107" i="5"/>
  <c r="L336" i="5"/>
  <c r="L177" i="5"/>
  <c r="L77" i="5"/>
  <c r="L70" i="5"/>
  <c r="L154" i="5"/>
  <c r="L328" i="5"/>
  <c r="L337" i="5"/>
  <c r="J116" i="5"/>
  <c r="K10" i="5"/>
  <c r="I334" i="5"/>
  <c r="J237" i="5"/>
  <c r="J24" i="5"/>
  <c r="L302" i="5"/>
  <c r="L37" i="5"/>
  <c r="L126" i="5"/>
  <c r="L193" i="5"/>
  <c r="L238" i="5"/>
  <c r="L252" i="5"/>
  <c r="J22" i="1"/>
  <c r="J219" i="5"/>
  <c r="L162" i="5"/>
  <c r="L19" i="1"/>
  <c r="J54" i="1"/>
  <c r="I199" i="5"/>
  <c r="I7" i="5"/>
  <c r="J23" i="5"/>
  <c r="K135" i="5"/>
  <c r="K285" i="5"/>
  <c r="J333" i="5"/>
  <c r="L334" i="5"/>
  <c r="L332" i="5"/>
  <c r="L303" i="5"/>
  <c r="L256" i="5"/>
  <c r="L249" i="5"/>
  <c r="L273" i="5"/>
  <c r="L57" i="5"/>
  <c r="L73" i="5"/>
  <c r="L123" i="5"/>
  <c r="L321" i="5"/>
  <c r="L121" i="5"/>
  <c r="L132" i="5"/>
  <c r="L339" i="5"/>
  <c r="L218" i="5"/>
  <c r="L195" i="5"/>
  <c r="J174" i="5"/>
  <c r="J194" i="5"/>
  <c r="J5" i="1"/>
  <c r="L329" i="5"/>
  <c r="L105" i="5"/>
  <c r="L46" i="5"/>
  <c r="L103" i="5"/>
  <c r="J6" i="1"/>
  <c r="J309" i="5"/>
  <c r="J321" i="5"/>
  <c r="L42" i="1"/>
  <c r="J249" i="5"/>
  <c r="K301" i="5"/>
  <c r="L61" i="5"/>
  <c r="L23" i="5"/>
  <c r="L305" i="5"/>
  <c r="J172" i="5"/>
  <c r="J28" i="5"/>
  <c r="I20" i="5"/>
  <c r="J17" i="1"/>
  <c r="J207" i="5"/>
  <c r="J311" i="5"/>
  <c r="K129" i="5"/>
  <c r="J68" i="5"/>
  <c r="J220" i="5"/>
  <c r="L235" i="5"/>
  <c r="L110" i="5"/>
  <c r="L263" i="5"/>
  <c r="L320" i="5"/>
  <c r="J156" i="5"/>
  <c r="L92" i="5"/>
  <c r="L101" i="5"/>
  <c r="J155" i="5"/>
  <c r="L89" i="5"/>
  <c r="L68" i="5"/>
  <c r="L307" i="5"/>
  <c r="L236" i="5"/>
  <c r="J180" i="5"/>
  <c r="J171" i="5"/>
  <c r="L169" i="5"/>
  <c r="J21" i="5"/>
  <c r="L224" i="5"/>
  <c r="L266" i="5"/>
  <c r="J211" i="5"/>
  <c r="L227" i="5"/>
  <c r="J227" i="5"/>
  <c r="I11" i="1"/>
  <c r="J272" i="5"/>
  <c r="L138" i="5"/>
  <c r="K90" i="5"/>
  <c r="L276" i="5"/>
  <c r="L286" i="5"/>
  <c r="K336" i="5"/>
  <c r="I117" i="5"/>
  <c r="J91" i="5"/>
  <c r="L125" i="5"/>
  <c r="L6" i="5"/>
  <c r="J25" i="5"/>
  <c r="L5" i="5"/>
  <c r="J118" i="5"/>
  <c r="J310" i="5"/>
  <c r="J115" i="5"/>
  <c r="J157" i="5"/>
  <c r="J35" i="1"/>
  <c r="K197" i="5"/>
  <c r="I163" i="5"/>
  <c r="J93" i="5"/>
  <c r="J281" i="5"/>
  <c r="J140" i="5"/>
  <c r="L7" i="5"/>
  <c r="L62" i="5"/>
  <c r="J52" i="1"/>
  <c r="J45" i="1"/>
  <c r="L32" i="5"/>
  <c r="J273" i="5"/>
  <c r="J61" i="1"/>
  <c r="L49" i="1"/>
  <c r="L33" i="1"/>
  <c r="L116" i="5"/>
  <c r="L36" i="1"/>
  <c r="J28" i="1"/>
  <c r="L24" i="5"/>
  <c r="L51" i="5"/>
  <c r="I155" i="5"/>
  <c r="L133" i="5"/>
  <c r="L225" i="5"/>
  <c r="L240" i="5"/>
  <c r="L43" i="1"/>
  <c r="L14" i="5"/>
  <c r="L8" i="1"/>
  <c r="J37" i="5"/>
  <c r="J4" i="5"/>
  <c r="L119" i="5"/>
  <c r="I329" i="5"/>
  <c r="J137" i="5"/>
  <c r="J285" i="5"/>
  <c r="J146" i="5"/>
  <c r="J159" i="5"/>
  <c r="L187" i="5"/>
  <c r="J20" i="1"/>
  <c r="L25" i="1"/>
  <c r="L8" i="5"/>
  <c r="L136" i="5"/>
  <c r="L291" i="5"/>
  <c r="L139" i="5"/>
  <c r="L80" i="5"/>
  <c r="L72" i="5"/>
  <c r="J8" i="5"/>
  <c r="L335" i="5"/>
  <c r="L50" i="1"/>
  <c r="L21" i="5"/>
  <c r="L283" i="5"/>
  <c r="L292" i="5"/>
  <c r="L315" i="5"/>
  <c r="K340" i="5"/>
  <c r="K152" i="5"/>
  <c r="K39" i="5"/>
  <c r="J95" i="5"/>
  <c r="L323" i="5"/>
  <c r="K177" i="5"/>
  <c r="J203" i="5"/>
  <c r="L153" i="5"/>
  <c r="L257" i="5"/>
  <c r="L41" i="1"/>
  <c r="L78" i="5"/>
  <c r="L185" i="5"/>
  <c r="L10" i="1"/>
  <c r="L308" i="5"/>
  <c r="L60" i="1"/>
  <c r="J16" i="5"/>
  <c r="L120" i="5"/>
  <c r="J13" i="1"/>
  <c r="L84" i="5"/>
  <c r="J38" i="1"/>
  <c r="K34" i="5"/>
  <c r="K114" i="5"/>
  <c r="J233" i="5"/>
  <c r="K237" i="5"/>
  <c r="K106" i="5"/>
  <c r="K320" i="5"/>
  <c r="J33" i="5"/>
  <c r="J4" i="1"/>
  <c r="J60" i="1"/>
  <c r="J21" i="1"/>
  <c r="L57" i="1"/>
  <c r="L13" i="5"/>
  <c r="L29" i="5"/>
  <c r="L27" i="1"/>
  <c r="J32" i="5"/>
  <c r="L217" i="5"/>
  <c r="J54" i="5"/>
  <c r="J228" i="5"/>
  <c r="L44" i="1"/>
  <c r="J29" i="1"/>
  <c r="J36" i="1"/>
  <c r="J36" i="5"/>
  <c r="K175" i="5"/>
  <c r="J170" i="5"/>
  <c r="J209" i="5"/>
  <c r="K42" i="5"/>
  <c r="K317" i="5"/>
  <c r="J326" i="5"/>
  <c r="L67" i="5"/>
  <c r="L160" i="5"/>
  <c r="L216" i="5"/>
  <c r="L58" i="1"/>
  <c r="J204" i="5"/>
  <c r="L34" i="1"/>
  <c r="J9" i="5"/>
  <c r="L31" i="5"/>
  <c r="J47" i="5"/>
  <c r="J176" i="5"/>
  <c r="J8" i="1"/>
  <c r="J42" i="5"/>
  <c r="K253" i="5"/>
  <c r="K167" i="5"/>
  <c r="J45" i="5"/>
  <c r="L129" i="5"/>
  <c r="L35" i="1"/>
  <c r="L104" i="5"/>
  <c r="L203" i="5"/>
  <c r="L16" i="5"/>
  <c r="L102" i="5"/>
  <c r="L208" i="5"/>
  <c r="L340" i="5"/>
  <c r="J147" i="5"/>
  <c r="L20" i="1"/>
  <c r="J37" i="1"/>
  <c r="L15" i="5"/>
  <c r="L51" i="1"/>
  <c r="L86" i="5"/>
  <c r="L275" i="5"/>
  <c r="L192" i="5"/>
  <c r="L201" i="5"/>
  <c r="L65" i="5"/>
  <c r="K125" i="5"/>
  <c r="J280" i="5"/>
  <c r="K333" i="5"/>
  <c r="L171" i="5"/>
  <c r="L170" i="5"/>
  <c r="L53" i="5"/>
  <c r="L262" i="5"/>
  <c r="L145" i="5"/>
  <c r="L200" i="5"/>
  <c r="K182" i="5"/>
  <c r="L268" i="5"/>
  <c r="J34" i="1"/>
  <c r="J86" i="5"/>
  <c r="J217" i="5"/>
  <c r="J58" i="1"/>
  <c r="K291" i="5"/>
  <c r="J13" i="5"/>
  <c r="K44" i="5"/>
  <c r="K118" i="5"/>
  <c r="J328" i="5"/>
  <c r="L194" i="5"/>
  <c r="L83" i="5"/>
  <c r="L99" i="5"/>
  <c r="L41" i="5"/>
  <c r="L260" i="5"/>
  <c r="L289" i="5"/>
  <c r="J44" i="1"/>
  <c r="L18" i="1"/>
  <c r="L271" i="5"/>
  <c r="L244" i="5"/>
  <c r="L11" i="1"/>
  <c r="L28" i="1"/>
  <c r="J46" i="5"/>
  <c r="J78" i="5"/>
  <c r="L161" i="5"/>
  <c r="J186" i="5"/>
  <c r="L44" i="5"/>
  <c r="L163" i="5"/>
  <c r="L186" i="5"/>
  <c r="J126" i="5"/>
  <c r="K23" i="1"/>
  <c r="L81" i="5"/>
  <c r="J127" i="5"/>
  <c r="L9" i="1"/>
  <c r="L144" i="5"/>
  <c r="J26" i="5"/>
  <c r="I161" i="5"/>
  <c r="J50" i="5"/>
  <c r="J296" i="5"/>
  <c r="I318" i="5"/>
  <c r="J43" i="5"/>
  <c r="K326" i="5"/>
  <c r="L69" i="5"/>
  <c r="J196" i="5"/>
  <c r="J163" i="5"/>
  <c r="L115" i="5"/>
  <c r="L243" i="5"/>
  <c r="L85" i="5"/>
  <c r="J241" i="5"/>
  <c r="L287" i="5"/>
  <c r="L22" i="5"/>
  <c r="L281" i="5"/>
  <c r="L251" i="5"/>
  <c r="L247" i="5"/>
  <c r="L52" i="5"/>
  <c r="L52" i="1"/>
  <c r="J289" i="5"/>
  <c r="L38" i="5"/>
  <c r="L342" i="5"/>
  <c r="J191" i="5"/>
  <c r="L179" i="5"/>
  <c r="L118" i="5"/>
  <c r="J305" i="5"/>
  <c r="L97" i="5"/>
  <c r="J195" i="5"/>
  <c r="L327" i="5"/>
  <c r="K219" i="5"/>
  <c r="J70" i="5"/>
  <c r="L59" i="1"/>
  <c r="J56" i="1"/>
  <c r="J53" i="1"/>
  <c r="J179" i="5"/>
  <c r="J142" i="5"/>
  <c r="L71" i="5"/>
  <c r="J317" i="5"/>
  <c r="L148" i="5"/>
  <c r="K58" i="5"/>
  <c r="J343" i="5"/>
  <c r="J262" i="5"/>
  <c r="L146" i="5"/>
  <c r="J337" i="5"/>
  <c r="L255" i="5"/>
  <c r="L210" i="5"/>
  <c r="L131" i="5"/>
  <c r="L36" i="5"/>
  <c r="L100" i="5"/>
  <c r="L109" i="5"/>
  <c r="L137" i="5"/>
  <c r="L88" i="5"/>
  <c r="L311" i="5"/>
  <c r="L49" i="5"/>
  <c r="L264" i="5"/>
  <c r="L168" i="5"/>
  <c r="L288" i="5"/>
  <c r="K75" i="5"/>
  <c r="K185" i="5"/>
  <c r="L64" i="5"/>
  <c r="K269" i="5"/>
  <c r="K122" i="5"/>
  <c r="L297" i="5"/>
  <c r="L152" i="5"/>
  <c r="L211" i="5"/>
  <c r="J265" i="5"/>
  <c r="L246" i="5"/>
  <c r="L310" i="5"/>
  <c r="J212" i="5"/>
  <c r="J11" i="5"/>
  <c r="K313" i="5"/>
  <c r="L313" i="5"/>
  <c r="L108" i="5"/>
  <c r="L117" i="5"/>
  <c r="L299" i="5"/>
  <c r="L241" i="5"/>
  <c r="L300" i="5"/>
  <c r="L113" i="5"/>
  <c r="L284" i="5"/>
  <c r="I303" i="5"/>
  <c r="L26" i="1"/>
  <c r="J102" i="5"/>
  <c r="K63" i="1"/>
  <c r="L53" i="1"/>
  <c r="J189" i="5"/>
  <c r="J10" i="1"/>
  <c r="J210" i="5"/>
  <c r="I126" i="5"/>
  <c r="J223" i="5"/>
  <c r="K324" i="5"/>
  <c r="L147" i="5"/>
  <c r="J62" i="5"/>
  <c r="J148" i="5"/>
  <c r="L278" i="5"/>
  <c r="L265" i="5"/>
  <c r="L280" i="5"/>
  <c r="L226" i="5"/>
  <c r="L76" i="5"/>
  <c r="J187" i="5"/>
  <c r="L294" i="5"/>
  <c r="L155" i="5"/>
  <c r="L304" i="5"/>
  <c r="L209" i="5"/>
  <c r="L295" i="5"/>
  <c r="L312" i="5"/>
  <c r="J108" i="5"/>
  <c r="J133" i="5"/>
  <c r="J31" i="5"/>
  <c r="J135" i="5"/>
  <c r="J59" i="5"/>
  <c r="K231" i="5"/>
  <c r="K265" i="5"/>
  <c r="L316" i="5"/>
  <c r="L279" i="5"/>
  <c r="L343" i="5"/>
  <c r="L43" i="5"/>
  <c r="L326" i="5"/>
  <c r="L248" i="5"/>
  <c r="L319" i="5"/>
  <c r="L272" i="5"/>
  <c r="L54" i="5"/>
  <c r="J297" i="5"/>
  <c r="L94" i="5"/>
  <c r="J188" i="5"/>
  <c r="L45" i="5"/>
  <c r="L219" i="5"/>
  <c r="L60" i="5"/>
  <c r="I227" i="5"/>
  <c r="L176" i="5"/>
  <c r="J17" i="5"/>
  <c r="L124" i="5"/>
  <c r="L202" i="5"/>
  <c r="L254" i="5"/>
  <c r="K273" i="5"/>
  <c r="J107" i="5"/>
  <c r="L30" i="5"/>
  <c r="J257" i="5"/>
  <c r="J94" i="5"/>
  <c r="J164" i="5"/>
  <c r="J313" i="5"/>
  <c r="L270" i="5"/>
  <c r="J51" i="5"/>
  <c r="L12" i="1"/>
  <c r="L184" i="5"/>
  <c r="L93" i="5"/>
  <c r="L178" i="5"/>
  <c r="L8" i="3"/>
  <c r="X3" i="6" l="1"/>
  <c r="T3" i="6"/>
  <c r="U3" i="6" s="1"/>
  <c r="Y3" i="6"/>
  <c r="M8" i="3"/>
  <c r="V3" i="6" l="1"/>
  <c r="W3" i="6" s="1"/>
  <c r="Z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<sst xmlns="http://schemas.openxmlformats.org/spreadsheetml/2006/main" count="1332" uniqueCount="1251">
  <si>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</si>
  <si>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</si>
  <si>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</si>
  <si>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</si>
  <si>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</si>
  <si>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</si>
  <si>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</si>
  <si>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</si>
  <si>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</si>
  <si>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</si>
  <si>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</si>
  <si>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</si>
  <si>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</si>
  <si>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</si>
  <si>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</si>
  <si>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</si>
  <si>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</si>
  <si>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</si>
  <si>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</si>
  <si>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</si>
  <si>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</si>
  <si>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</si>
  <si>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</si>
  <si>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</si>
  <si>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</si>
  <si>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</si>
  <si>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</si>
  <si>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</si>
  <si>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</si>
  <si>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</si>
  <si>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</si>
  <si>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</si>
  <si>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</si>
  <si>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</si>
  <si>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</si>
  <si>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</si>
  <si>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</si>
  <si>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</si>
  <si>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</si>
  <si>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</si>
  <si>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</si>
  <si>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</si>
  <si>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</si>
  <si>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</si>
  <si>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</si>
  <si>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</si>
  <si>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</si>
  <si>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</si>
  <si>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</si>
  <si>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</si>
  <si>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</si>
  <si>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</si>
  <si>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</si>
  <si>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</si>
  <si>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</si>
  <si>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</si>
  <si>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</si>
  <si>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</si>
  <si>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</si>
  <si>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</si>
  <si>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</si>
  <si>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</si>
  <si>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</si>
  <si>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</si>
  <si>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</si>
  <si>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</si>
  <si>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</si>
  <si>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</si>
  <si>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</si>
  <si>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</si>
  <si>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</si>
  <si>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</si>
  <si>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</si>
  <si>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</si>
  <si>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</si>
  <si>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</si>
  <si>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</si>
  <si>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</si>
  <si>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</si>
  <si>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</si>
  <si>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</si>
  <si>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</si>
  <si>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</si>
  <si>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</si>
  <si>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</si>
  <si>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</si>
  <si>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</si>
  <si>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</si>
  <si>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</si>
  <si>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</si>
  <si>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</si>
  <si>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</si>
  <si>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</si>
  <si>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</si>
  <si>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</si>
  <si>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</si>
  <si>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</si>
  <si>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</si>
  <si>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</si>
  <si>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</si>
  <si>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</si>
  <si>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</si>
  <si>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</si>
  <si>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</si>
  <si>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</si>
  <si>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</si>
  <si>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</si>
  <si>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</si>
  <si>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</si>
  <si>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</si>
  <si>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</si>
  <si>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</si>
  <si>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</si>
  <si>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</si>
  <si>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</si>
  <si>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</si>
  <si>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</si>
  <si>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</si>
  <si>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</si>
  <si>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</si>
  <si>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</si>
  <si>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</si>
  <si>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</si>
  <si>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</si>
  <si>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</si>
  <si>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</si>
  <si>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</si>
  <si>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</si>
  <si>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</si>
  <si>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</si>
  <si>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</si>
  <si>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</si>
  <si>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</si>
  <si>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</si>
  <si>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</si>
  <si>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</si>
  <si>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</si>
  <si>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</si>
  <si>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</si>
  <si>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</si>
  <si>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</si>
  <si>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</si>
  <si>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</si>
  <si>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</si>
  <si>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</si>
  <si>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</si>
  <si>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</si>
  <si>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</si>
  <si>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</si>
  <si>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</si>
  <si>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</si>
  <si>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</si>
  <si>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</si>
  <si>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</si>
  <si>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</si>
  <si>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</si>
  <si>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</si>
  <si>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</si>
  <si>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</si>
  <si>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</si>
  <si>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</si>
  <si>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</si>
  <si>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</si>
  <si>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</si>
  <si>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</si>
  <si>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</si>
  <si>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</si>
  <si>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</si>
  <si>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</si>
  <si>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</si>
  <si>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</si>
  <si>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</si>
  <si>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</si>
  <si>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</si>
  <si>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</si>
  <si>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</si>
  <si>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</si>
  <si>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</si>
  <si>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</si>
  <si>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</si>
  <si>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</si>
  <si>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</si>
  <si>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</si>
  <si>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</si>
  <si>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</si>
  <si>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</si>
  <si>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</si>
  <si>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</si>
  <si>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</si>
  <si>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</si>
  <si>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</si>
  <si>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</si>
  <si>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</si>
  <si>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</si>
  <si>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</si>
  <si>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</si>
  <si>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</si>
  <si>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</si>
  <si>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</si>
  <si>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</si>
  <si>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</si>
  <si>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</si>
  <si>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</si>
  <si>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</si>
  <si>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</si>
  <si>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</si>
  <si>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</si>
  <si>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</si>
  <si>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</si>
  <si>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</si>
  <si>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</si>
  <si>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</si>
  <si>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</si>
  <si>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</si>
  <si>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</si>
  <si>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</si>
  <si>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</si>
  <si>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</si>
  <si>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</si>
  <si>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</si>
  <si>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</si>
  <si>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</si>
  <si>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</si>
  <si>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</si>
  <si>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</si>
  <si>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</si>
  <si>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</si>
  <si>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</si>
  <si>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</si>
  <si>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</si>
  <si>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</si>
  <si>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</si>
  <si>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</si>
  <si>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</si>
  <si>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</si>
  <si>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</si>
  <si>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</si>
  <si>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</si>
  <si>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</si>
  <si>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</si>
  <si>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</si>
  <si>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</si>
  <si>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</si>
  <si>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</si>
  <si>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</si>
  <si>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</si>
  <si>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</si>
  <si>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</si>
  <si>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</si>
  <si>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</si>
  <si>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</si>
  <si>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</si>
  <si>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</si>
  <si>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</si>
  <si>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</si>
  <si>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</si>
  <si>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</si>
  <si>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</si>
  <si>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</si>
  <si>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</si>
  <si>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</si>
  <si>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</si>
  <si>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</si>
  <si>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</si>
  <si>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</si>
  <si>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</si>
  <si>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</si>
  <si>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</si>
  <si>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</si>
  <si>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</si>
  <si>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</si>
  <si>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</si>
  <si>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</si>
  <si>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</si>
  <si>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</si>
  <si>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</si>
  <si>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</si>
  <si>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</si>
  <si>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</si>
  <si>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</si>
  <si>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</si>
  <si>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</si>
  <si>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</si>
  <si>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</si>
  <si>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</si>
  <si>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</si>
  <si>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</si>
  <si>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</si>
  <si>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</si>
  <si>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</si>
  <si>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</si>
  <si>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</si>
  <si>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</si>
  <si>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</si>
  <si>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</si>
  <si>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</si>
  <si>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</si>
  <si>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</si>
  <si>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</si>
  <si>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</si>
  <si>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</si>
  <si>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</si>
  <si>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</si>
  <si>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</si>
  <si>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</si>
  <si>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</si>
  <si>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</si>
  <si>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</si>
  <si>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</si>
  <si>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</si>
  <si>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</si>
  <si>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</si>
  <si>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</si>
  <si>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</si>
  <si>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</si>
  <si>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</si>
  <si>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</si>
  <si>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</si>
  <si>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</si>
  <si>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</si>
  <si>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</si>
  <si>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</si>
  <si>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</si>
  <si>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</si>
  <si>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</si>
  <si>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</si>
  <si>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</si>
  <si>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</si>
  <si>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</si>
  <si>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</si>
  <si>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</si>
  <si>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</si>
  <si>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</si>
  <si>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</si>
  <si>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</si>
  <si>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</si>
  <si>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</si>
  <si>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</si>
  <si>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</si>
  <si>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</si>
  <si>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</si>
  <si>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</si>
  <si>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</si>
  <si>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</si>
  <si>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</si>
  <si>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</si>
  <si>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</si>
  <si>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</si>
  <si>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</si>
  <si>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</si>
  <si>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</si>
  <si>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</si>
  <si>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</si>
  <si>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</si>
  <si>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</si>
  <si>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</si>
  <si>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</si>
  <si>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</si>
  <si>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</si>
  <si>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</si>
  <si>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</si>
  <si>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</si>
  <si>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</si>
  <si>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</si>
  <si>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</si>
  <si>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</si>
  <si>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</si>
  <si>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</si>
  <si>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</si>
  <si>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</si>
  <si>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</si>
  <si>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</si>
  <si>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</si>
  <si>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</si>
  <si>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</si>
  <si>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</si>
  <si>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</si>
  <si>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</si>
  <si>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</si>
  <si>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</si>
  <si>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</si>
  <si>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</si>
  <si>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</si>
  <si>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</si>
  <si>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</si>
  <si>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</si>
  <si>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</si>
  <si>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</si>
  <si>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</si>
  <si>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</si>
  <si>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</si>
  <si>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</si>
  <si>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</si>
  <si>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</si>
  <si>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</si>
  <si>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</si>
  <si>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</si>
  <si>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</si>
  <si>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</si>
  <si>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</si>
  <si>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</si>
  <si>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</si>
  <si>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</si>
  <si>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</si>
  <si>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</si>
  <si>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</si>
  <si>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</si>
  <si>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</si>
  <si>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</si>
  <si>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</si>
  <si>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</si>
  <si>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</si>
  <si>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</si>
  <si>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</si>
  <si>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</si>
  <si>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</si>
  <si>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</si>
  <si>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</si>
  <si>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</si>
  <si>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</si>
  <si>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</si>
  <si>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</si>
  <si>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</si>
  <si>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</si>
  <si>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</si>
  <si>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</si>
  <si>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</si>
  <si>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</si>
  <si>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</si>
  <si>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</si>
  <si>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</si>
  <si>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</si>
  <si>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</si>
  <si>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</si>
  <si>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</si>
  <si>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</si>
  <si>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</si>
  <si>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</si>
  <si>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</si>
  <si>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</si>
  <si>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</si>
  <si>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</si>
  <si>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</si>
  <si>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</si>
  <si>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</si>
  <si>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</si>
  <si>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</si>
  <si>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</si>
  <si>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</si>
  <si>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</si>
  <si>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</si>
  <si>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</si>
  <si>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</si>
  <si>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</si>
  <si>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</si>
  <si>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</si>
  <si>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</si>
  <si>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</si>
  <si>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</si>
  <si>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</si>
  <si>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</si>
  <si>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</si>
  <si>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</si>
  <si>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</si>
  <si>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</si>
  <si>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</si>
  <si>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</si>
  <si>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</si>
  <si>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</si>
  <si>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</si>
  <si>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</si>
  <si>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</si>
  <si>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</si>
  <si>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</si>
  <si>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</si>
  <si>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</si>
  <si>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</si>
  <si>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</si>
  <si>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</si>
  <si>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</si>
  <si>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</si>
  <si>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</si>
  <si>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</si>
  <si>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</si>
  <si>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</si>
  <si>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</si>
  <si>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</si>
  <si>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</si>
  <si>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</si>
  <si>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</si>
  <si>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</si>
  <si>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</si>
  <si>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</si>
  <si>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</si>
  <si>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</si>
  <si>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</si>
  <si>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</si>
  <si>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</si>
  <si>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</si>
  <si>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</si>
  <si>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</si>
  <si>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</si>
  <si>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</si>
  <si>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</si>
  <si>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</si>
  <si>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</si>
  <si>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</si>
  <si>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</si>
  <si>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</si>
  <si>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</si>
  <si>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</si>
  <si>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</si>
  <si>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</si>
  <si>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</si>
  <si>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</si>
  <si>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</si>
  <si>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</si>
  <si>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</si>
  <si>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</si>
  <si>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</si>
  <si>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</si>
  <si>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</si>
  <si>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</si>
  <si>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</si>
  <si>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</si>
  <si>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</si>
  <si>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</si>
  <si>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</si>
  <si>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</si>
  <si>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</si>
  <si>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</si>
  <si>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</si>
  <si>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</si>
  <si>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</si>
  <si>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</si>
  <si>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</si>
  <si>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</si>
  <si>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</si>
  <si>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</si>
  <si>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</si>
  <si>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</si>
  <si>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</si>
  <si>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</si>
  <si>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</si>
  <si>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</si>
  <si>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</si>
  <si>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</si>
  <si>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</si>
  <si>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</si>
  <si>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</si>
  <si>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</si>
  <si>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</si>
  <si>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</si>
  <si>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</si>
  <si>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</si>
  <si>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</si>
  <si>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</si>
  <si>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</si>
  <si>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</si>
  <si>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</si>
  <si>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</si>
  <si>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</si>
  <si>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</si>
  <si>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</si>
  <si>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</si>
  <si>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</si>
  <si>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</si>
  <si>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</si>
  <si>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</si>
  <si>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</si>
  <si>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</si>
  <si>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</si>
  <si>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</si>
  <si>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</si>
  <si>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</si>
  <si>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</si>
  <si>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</si>
  <si>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</si>
  <si>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</si>
  <si>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</si>
  <si>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</si>
  <si>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</si>
  <si>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</si>
  <si>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</si>
  <si>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</si>
  <si>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</si>
  <si>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</si>
  <si>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</si>
  <si>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</si>
  <si>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</si>
  <si>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</si>
  <si>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</si>
  <si>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</si>
  <si>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</si>
  <si>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</si>
  <si>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</si>
  <si>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</si>
  <si>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</si>
  <si>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</si>
  <si>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</si>
  <si>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</si>
  <si>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</si>
  <si>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</si>
  <si>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</si>
  <si>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</si>
  <si>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</si>
  <si>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</si>
  <si>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</si>
  <si>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</si>
  <si>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</si>
  <si>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</si>
  <si>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</si>
  <si>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</si>
  <si>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</si>
  <si>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</si>
  <si>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</si>
  <si>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</si>
  <si>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</si>
  <si>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</si>
  <si>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</si>
  <si>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</si>
  <si>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</si>
  <si>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</si>
  <si>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</si>
  <si>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</si>
  <si>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</si>
  <si>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</si>
  <si>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</si>
  <si>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</si>
  <si>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</si>
  <si>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</si>
  <si>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</si>
  <si>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</si>
  <si>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</si>
  <si>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</si>
  <si>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</si>
  <si>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</si>
  <si>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</si>
  <si>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</si>
  <si>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</si>
  <si>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</si>
  <si>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</si>
  <si>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</si>
  <si>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</si>
  <si>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</si>
  <si>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</si>
  <si>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</si>
  <si>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</si>
  <si>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</si>
  <si>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</si>
  <si>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</si>
  <si>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</si>
  <si>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</si>
  <si>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</si>
  <si>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</si>
  <si>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</si>
  <si>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</si>
  <si>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</si>
  <si>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</si>
  <si>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</si>
  <si>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</si>
  <si>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</si>
  <si>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</si>
  <si>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</si>
  <si>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</si>
  <si>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</si>
  <si>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</si>
  <si>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</si>
  <si>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</si>
  <si>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</si>
  <si>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</si>
  <si>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</si>
  <si>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</si>
  <si>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</si>
  <si>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</si>
  <si>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</si>
  <si>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</si>
  <si>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</si>
  <si>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</si>
  <si>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</si>
  <si>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</si>
  <si>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</si>
  <si>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</si>
  <si>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</si>
  <si>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</si>
  <si>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</si>
  <si>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</si>
  <si>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</si>
  <si>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</si>
  <si>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</si>
  <si>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</si>
  <si>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</si>
  <si>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</si>
  <si>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</si>
  <si>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</si>
  <si>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</si>
  <si>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</si>
  <si>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</si>
  <si>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</si>
  <si>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</si>
  <si>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</si>
  <si>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</si>
  <si>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</si>
  <si>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</si>
  <si>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</si>
  <si>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</si>
  <si>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</si>
  <si>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</si>
  <si>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</si>
  <si>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</si>
  <si>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</si>
  <si>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</si>
  <si>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</si>
  <si>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</si>
  <si>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</si>
  <si>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</si>
  <si>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</si>
  <si>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</si>
  <si>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</si>
  <si>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</si>
  <si>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</si>
  <si>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</si>
  <si>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</si>
  <si>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</si>
  <si>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</si>
  <si>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</si>
  <si>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</si>
  <si>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</si>
  <si>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</si>
  <si>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</si>
  <si>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</si>
  <si>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</si>
  <si>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</si>
  <si>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</si>
  <si>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</si>
  <si>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</si>
  <si>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</si>
  <si>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</si>
  <si>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</si>
  <si>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</si>
  <si>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</si>
  <si>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</si>
  <si>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</si>
  <si>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</si>
  <si>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</si>
  <si>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</si>
  <si>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</si>
  <si>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</si>
  <si>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</si>
  <si>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</si>
  <si>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</si>
  <si>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</si>
  <si>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</si>
  <si>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</si>
  <si>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</si>
  <si>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</si>
  <si>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</si>
  <si>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</si>
  <si>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</si>
  <si>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</si>
  <si>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</si>
  <si>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</si>
  <si>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</si>
  <si>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</si>
  <si>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</si>
  <si>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</si>
  <si>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</si>
  <si>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</si>
  <si>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</si>
  <si>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</si>
  <si>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</si>
  <si>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</si>
  <si>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</si>
  <si>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</si>
  <si>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</si>
  <si>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</si>
  <si>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</si>
  <si>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</si>
  <si>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</si>
  <si>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</si>
  <si>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</si>
  <si>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</si>
  <si>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</si>
  <si>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</si>
  <si>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</si>
  <si>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</si>
  <si>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</si>
  <si>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</si>
  <si>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</si>
  <si>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</si>
  <si>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</si>
  <si>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</si>
  <si>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</si>
  <si>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</si>
  <si>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</si>
  <si>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</si>
  <si>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</si>
  <si>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</si>
  <si>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</si>
  <si>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</si>
  <si>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</si>
  <si>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</si>
  <si>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</si>
  <si>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</si>
  <si>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</si>
  <si>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</si>
  <si>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</si>
  <si>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</si>
  <si>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</si>
  <si>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</si>
  <si>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</si>
  <si>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</si>
  <si>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</si>
  <si>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</si>
  <si>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</si>
  <si>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</si>
  <si>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</si>
  <si>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</si>
  <si>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</si>
  <si>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</si>
  <si>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</si>
  <si>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</si>
  <si>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</si>
  <si>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</si>
  <si>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</si>
  <si>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</si>
  <si>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</si>
  <si>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</si>
  <si>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</si>
  <si>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</si>
  <si>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</si>
  <si>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</si>
  <si>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</si>
  <si>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</si>
  <si>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</si>
  <si>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</si>
  <si>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</si>
  <si>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</si>
  <si>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</si>
  <si>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</si>
  <si>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</si>
  <si>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</si>
  <si>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</si>
  <si>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</si>
  <si>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</si>
  <si>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</si>
  <si>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</si>
  <si>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</si>
  <si>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</si>
  <si>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</si>
  <si>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</si>
  <si>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</si>
  <si>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</si>
  <si>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</si>
  <si>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</si>
  <si>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</si>
  <si>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</si>
  <si>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</si>
  <si>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</si>
  <si>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</si>
  <si>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</si>
  <si>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</si>
  <si>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</si>
  <si>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</si>
  <si>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</si>
  <si>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</si>
  <si>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</si>
  <si>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</si>
  <si>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</si>
  <si>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</si>
  <si>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</si>
  <si>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</si>
  <si>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</si>
  <si>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</si>
  <si>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</si>
  <si>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</si>
  <si>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</si>
  <si>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</si>
  <si>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</si>
  <si>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</si>
  <si>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</si>
  <si>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</si>
  <si>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</si>
  <si>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</si>
  <si>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</si>
  <si>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</si>
  <si>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</si>
  <si>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</si>
  <si>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</si>
  <si>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</si>
  <si>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</si>
  <si>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</si>
  <si>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</si>
  <si>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</si>
  <si>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</si>
  <si>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</si>
  <si>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</si>
  <si>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</si>
  <si>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</si>
  <si>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</si>
  <si>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</si>
  <si>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</si>
  <si>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</si>
  <si>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</si>
  <si>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</si>
  <si>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</si>
  <si>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</si>
  <si>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</si>
  <si>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</si>
  <si>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</si>
  <si>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</si>
  <si>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</si>
  <si>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</si>
  <si>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</si>
  <si>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</si>
  <si>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</si>
  <si>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</si>
  <si>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</si>
  <si>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</si>
  <si>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</si>
  <si>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</si>
  <si>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</si>
  <si>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</si>
  <si>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</si>
  <si>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</si>
  <si>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</si>
  <si>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</si>
  <si>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</si>
  <si>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</si>
  <si>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</si>
  <si>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</si>
  <si>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</si>
  <si>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</si>
  <si>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</si>
  <si>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</si>
  <si>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</si>
  <si>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</si>
  <si>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</si>
  <si>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</si>
  <si>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</si>
  <si>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</si>
  <si>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</si>
  <si>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</si>
  <si>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</si>
  <si>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</si>
  <si>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</si>
  <si>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</si>
  <si>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</si>
  <si>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</si>
  <si>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</si>
  <si>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</si>
  <si>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</si>
  <si>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</si>
  <si>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</si>
  <si>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</si>
  <si>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</si>
  <si>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</si>
  <si>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</si>
  <si>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</si>
  <si>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</si>
  <si>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</si>
  <si>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</si>
  <si>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</si>
  <si>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</si>
  <si>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</si>
  <si>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</si>
  <si>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</si>
  <si>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</si>
  <si>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</si>
  <si>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</si>
  <si>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</si>
  <si>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</si>
  <si>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</si>
  <si>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</si>
  <si>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</si>
  <si>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</si>
  <si>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</si>
  <si>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</si>
  <si>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</si>
  <si>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</si>
  <si>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</si>
  <si>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</si>
  <si>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</si>
  <si>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</si>
  <si>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</si>
  <si>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</si>
  <si>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</si>
  <si>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</si>
  <si>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</si>
  <si>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</si>
  <si>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</si>
  <si>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</si>
  <si>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</si>
  <si>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</si>
  <si>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</si>
  <si>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</si>
  <si>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</si>
  <si>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</si>
  <si>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</si>
  <si>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</si>
  <si>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</si>
  <si>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</si>
  <si>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</si>
  <si>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</si>
  <si>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</si>
  <si>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</si>
  <si>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</si>
  <si>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</si>
  <si>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</si>
  <si>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</si>
  <si>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</si>
  <si>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</si>
  <si>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</si>
  <si>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</si>
  <si>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</si>
  <si>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</si>
  <si>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</si>
  <si>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</si>
  <si>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</si>
  <si>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</si>
  <si>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</si>
  <si>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</si>
  <si>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</si>
  <si>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</si>
  <si>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</si>
  <si>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</si>
  <si>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</si>
  <si>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</si>
  <si>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</si>
  <si>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</si>
  <si>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</si>
  <si>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</si>
  <si>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</si>
  <si>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</si>
  <si>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</si>
  <si>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</si>
  <si>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</si>
  <si>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</si>
  <si>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</si>
  <si>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</si>
  <si>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</si>
  <si>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</si>
  <si>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</si>
  <si>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</si>
  <si>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</si>
  <si>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</si>
  <si>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</si>
  <si>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</si>
  <si>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</si>
  <si>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</si>
  <si>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</si>
  <si>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</si>
  <si>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</si>
  <si>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</si>
  <si>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</si>
  <si>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</si>
  <si>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</si>
  <si>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</si>
  <si>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</si>
  <si>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</si>
  <si>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</si>
  <si>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</si>
  <si>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</si>
  <si>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</si>
  <si>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</si>
  <si>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</si>
  <si>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</si>
  <si>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</si>
  <si>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</si>
  <si>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</si>
  <si>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</si>
  <si>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</si>
  <si>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</si>
  <si>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</si>
  <si>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</si>
  <si>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</si>
  <si>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</si>
  <si>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</si>
  <si>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</si>
  <si>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</si>
  <si>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</si>
  <si>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</si>
  <si>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</si>
  <si>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</si>
  <si>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</si>
  <si>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</si>
  <si>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</si>
  <si>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</si>
  <si>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</si>
  <si>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</si>
  <si>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</si>
  <si>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</si>
  <si>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</si>
  <si>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</si>
  <si>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</si>
  <si>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</si>
  <si>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</si>
  <si>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</si>
  <si>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</si>
  <si>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</si>
  <si>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</si>
  <si>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</si>
  <si>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</si>
  <si>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</si>
  <si>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</si>
  <si>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</si>
  <si>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</si>
  <si>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</si>
  <si>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</si>
  <si>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</si>
  <si>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</si>
  <si>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</si>
  <si>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</si>
  <si>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</si>
  <si>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</si>
  <si>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</si>
  <si>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</si>
  <si>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</si>
  <si>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</si>
  <si>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</si>
  <si>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</si>
  <si>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</si>
  <si>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</si>
  <si>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</si>
  <si>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</si>
  <si>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</si>
  <si>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</si>
  <si>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</si>
  <si>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</si>
  <si>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</si>
  <si>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</si>
  <si>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</si>
  <si>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</si>
  <si>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</si>
  <si>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</si>
  <si>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</si>
  <si>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</si>
  <si>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</si>
  <si>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</si>
  <si>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</si>
  <si>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</si>
  <si>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</si>
  <si>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</si>
  <si>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</si>
  <si>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</si>
  <si>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</si>
  <si>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</si>
  <si>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</si>
  <si>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</si>
  <si>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</si>
  <si>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</si>
  <si>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</si>
  <si>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</si>
  <si>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</si>
  <si>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</si>
  <si>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</si>
  <si>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</si>
  <si>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</si>
  <si>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</si>
  <si>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</si>
  <si>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</si>
  <si>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</si>
  <si>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</si>
  <si>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</si>
  <si>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</si>
  <si>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</si>
  <si>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</si>
  <si>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</si>
  <si>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</si>
  <si>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</si>
  <si>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</si>
  <si>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</si>
  <si>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</si>
  <si>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</si>
  <si>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</si>
  <si>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</si>
  <si>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</si>
  <si>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</si>
  <si>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</si>
  <si>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</si>
  <si>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</si>
  <si>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</si>
  <si>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</si>
  <si>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</si>
  <si>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</si>
  <si>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</si>
  <si>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</si>
  <si>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</si>
  <si>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</si>
  <si>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</si>
  <si>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</si>
  <si>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</si>
  <si>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</si>
  <si>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</si>
  <si>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</si>
  <si>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</si>
  <si>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</si>
  <si>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</si>
  <si>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</si>
  <si>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</si>
  <si>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</si>
  <si>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</si>
  <si>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</si>
  <si>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</si>
  <si>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</si>
  <si>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</si>
  <si>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</si>
  <si>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</si>
  <si>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</si>
  <si>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</si>
  <si>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</si>
  <si>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</si>
  <si>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</si>
  <si>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</si>
  <si>
    <t>EDM Dist</t>
  </si>
  <si>
    <t>Horizontal Dist</t>
  </si>
  <si>
    <t>Sph/Sea Lev. Dist</t>
  </si>
  <si>
    <t>GM-GM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</si>
  <si>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</si>
  <si>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</si>
  <si>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</si>
  <si>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</si>
  <si>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</si>
  <si>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</si>
  <si>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</si>
  <si>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</si>
  <si>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</si>
  <si>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</si>
  <si>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</si>
  <si>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</si>
  <si>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</si>
  <si>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</si>
  <si>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</si>
  <si>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</si>
  <si>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</si>
  <si>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</si>
  <si>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</si>
  <si>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</si>
  <si>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</si>
  <si>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</si>
  <si>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</si>
  <si>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A</t>
  </si>
  <si>
    <t>B</t>
  </si>
  <si>
    <t>Inland</t>
  </si>
  <si>
    <t>Coastal</t>
  </si>
  <si>
    <t>Night</t>
  </si>
  <si>
    <t>Coefficient of refraction
(k)</t>
  </si>
  <si>
    <t>At Latitude</t>
  </si>
  <si>
    <t>To Latitude</t>
  </si>
  <si>
    <t>S 31 48 07.04863</t>
  </si>
  <si>
    <t>S 33 18 21.35646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</si>
</sst>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0"/>
    <numFmt numFmtId="166" formatCode="0.0000"/>
    <numFmt numFmtId="167" formatCode="0.00000"/>
    <numFmt numFmtId="168" formatCode="0,000,000.000"/>
  </numFmts>
  <fonts count="22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Arial"/>
    </font>
    <font>
      <b/>
      <sz val="8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  <font>
      <b/>
      <sz val="10"/>
      <name val="Arial"/>
    </font>
    <font>
      <sz val="10"/>
      <color indexed="16"/>
      <name val="Arial"/>
      <family val="2"/>
    </font>
    <font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6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  <xf numFmtId="0" fontId="11" fillId="0" borderId="0"/>
  </cellStyleXfs>
  <cellXfs count="84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  <xf numFmtId="0" fontId="11" fillId="0" borderId="0" xfId="5"/>
    <xf numFmtId="164" fontId="12" fillId="0" borderId="0" xfId="5" applyNumberFormat="1" applyFont="1" applyAlignment="1">
      <alignment horizontal="center"/>
    </xf>
    <xf numFmtId="0" fontId="12" fillId="0" borderId="0" xfId="5" applyFont="1" applyAlignment="1">
      <alignment horizontal="center"/>
    </xf>
    <xf numFmtId="0" fontId="13" fillId="0" borderId="0" xfId="5" applyFont="1" applyAlignment="1">
      <alignment horizontal="center"/>
    </xf>
    <xf numFmtId="164" fontId="13" fillId="0" borderId="0" xfId="5" applyNumberFormat="1" applyFont="1" applyAlignment="1">
      <alignment horizontal="center"/>
    </xf>
    <xf numFmtId="0" fontId="13" fillId="0" borderId="11" xfId="5" applyFont="1" applyBorder="1" applyAlignment="1">
      <alignment horizontal="center"/>
    </xf>
    <xf numFmtId="0" fontId="16" fillId="0" borderId="0" xfId="5" applyFont="1"/>
    <xf numFmtId="0" fontId="17" fillId="7" borderId="0" xfId="5" applyFont="1" applyFill="1" applyAlignment="1" applyProtection="1">
      <alignment horizontal="center"/>
      <protection locked="0"/>
    </xf>
    <xf numFmtId="164" fontId="17" fillId="7" borderId="0" xfId="5" applyNumberFormat="1" applyFont="1" applyFill="1" applyAlignment="1" applyProtection="1">
      <alignment horizontal="center"/>
      <protection locked="0"/>
    </xf>
    <xf numFmtId="164" fontId="18" fillId="8" borderId="0" xfId="5" applyNumberFormat="1" applyFont="1" applyFill="1" applyAlignment="1">
      <alignment horizontal="center"/>
    </xf>
    <xf numFmtId="166" fontId="18" fillId="8" borderId="0" xfId="5" applyNumberFormat="1" applyFont="1" applyFill="1" applyAlignment="1">
      <alignment horizontal="center"/>
    </xf>
    <xf numFmtId="167" fontId="18" fillId="8" borderId="0" xfId="5" applyNumberFormat="1" applyFont="1" applyFill="1" applyAlignment="1">
      <alignment horizontal="center"/>
    </xf>
    <xf numFmtId="164" fontId="18" fillId="8" borderId="11" xfId="5" applyNumberFormat="1" applyFont="1" applyFill="1" applyBorder="1" applyAlignment="1">
      <alignment horizontal="center"/>
    </xf>
    <xf numFmtId="0" fontId="16" fillId="0" borderId="0" xfId="5" applyFont="1" applyAlignment="1">
      <alignment horizontal="center"/>
    </xf>
    <xf numFmtId="164" fontId="11" fillId="9" borderId="0" xfId="5" applyNumberFormat="1" applyFill="1"/>
    <xf numFmtId="0" fontId="11" fillId="9" borderId="0" xfId="5" applyFill="1"/>
    <xf numFmtId="164" fontId="16" fillId="10" borderId="11" xfId="5" applyNumberFormat="1" applyFont="1" applyFill="1" applyBorder="1" applyAlignment="1">
      <alignment horizontal="center"/>
    </xf>
    <xf numFmtId="164" fontId="16" fillId="10" borderId="0" xfId="5" applyNumberFormat="1" applyFont="1" applyFill="1" applyAlignment="1">
      <alignment horizontal="center"/>
    </xf>
    <xf numFmtId="164" fontId="11" fillId="0" borderId="0" xfId="5" applyNumberFormat="1"/>
    <xf numFmtId="0" fontId="19" fillId="0" borderId="0" xfId="5" applyFont="1" applyAlignment="1">
      <alignment horizontal="center"/>
    </xf>
    <xf numFmtId="168" fontId="17" fillId="0" borderId="0" xfId="5" applyNumberFormat="1" applyFont="1" applyAlignment="1">
      <alignment horizontal="center"/>
    </xf>
    <xf numFmtId="0" fontId="20" fillId="0" borderId="0" xfId="5" applyFont="1" applyAlignment="1">
      <alignment horizontal="center"/>
    </xf>
    <xf numFmtId="164" fontId="11" fillId="0" borderId="0" xfId="5" applyNumberFormat="1" applyProtection="1">
      <protection locked="0"/>
    </xf>
    <xf numFmtId="0" fontId="17" fillId="7" borderId="0" xfId="0" applyFont="1" applyFill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wrapText="1"/>
    </xf>
  </cellXfs>
  <cellStyles count="6">
    <cellStyle name="Calculation" xfId="4" builtinId="22"/>
    <cellStyle name="Heading 2" xfId="2" builtinId="17"/>
    <cellStyle name="Input" xfId="3" builtinId="20"/>
    <cellStyle name="Normal" xfId="0" builtinId="0"/>
    <cellStyle name="Normal 2" xfId="5" xr:uid="{0E7B7FE8-B6AE-4E17-B5DB-1897477E4E82}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561975</xdr:colOff>
      <xdr:row>12</xdr:row>
      <xdr:rowOff>133350</xdr:rowOff>
    </xdr:from>
    <xdr:to>
      <xdr:col>31</xdr:col>
      <xdr:colOff>466725</xdr:colOff>
      <xdr:row>36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774732-A071-48A0-8028-ABEC2F409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43850" y="241935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323850</xdr:colOff>
      <xdr:row>0</xdr:row>
      <xdr:rowOff>180975</xdr:rowOff>
    </xdr:from>
    <xdr:to>
      <xdr:col>31</xdr:col>
      <xdr:colOff>190500</xdr:colOff>
      <xdr:row>13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FBA7018-F813-473B-A2D0-5E9FA7D7CBAE}"/>
            </a:ext>
          </a:extLst>
        </xdr:cNvPr>
        <xdr:cNvSpPr>
          <a:spLocks noChangeArrowheads="1"/>
        </xdr:cNvSpPr>
      </xdr:nvSpPr>
      <xdr:spPr bwMode="auto">
        <a:xfrm>
          <a:off x="8391525" y="18097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1016001</xdr:rowOff>
    </xdr:from>
    <xdr:to>
      <xdr:col>3</xdr:col>
      <xdr:colOff>779453</xdr:colOff>
      <xdr:row>3</xdr:row>
      <xdr:rowOff>2501715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0447CD-C3FD-4B78-9945-3EBDB4B97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1"/>
          <a:ext cx="4314286" cy="14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kdw00\AppData\Roaming\Microsoft\AddIns\Geodetic-Calculations-v4.xlam" TargetMode="External"/><Relationship Id="rId1" Type="http://schemas.openxmlformats.org/officeDocument/2006/relationships/externalLinkPath" Target="/Users/likdw00/AppData/Roaming/Microsoft/AddIns/Geodetic-Calculations-v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d"/>
      <definedName name="fwdlat"/>
      <definedName name="fwdlong"/>
      <definedName name="fwdrevaz"/>
      <definedName name="geoaz"/>
      <definedName name="hms"/>
      <definedName name="sphdis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P3" sqref="P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 t="shared" ref="D4:D35" si="0">grideasting(B4,C4,A4)</f>
        <v>394478.38454647566</v>
      </c>
      <c r="E4" s="35">
        <f t="shared" ref="E4:E35" si="1">gridnorthing(B4,C4,A4)</f>
        <v>6480973.9353901688</v>
      </c>
      <c r="F4" s="36">
        <f t="shared" ref="F4:F35" si="2">gridzone(B4,C4,A4)</f>
        <v>50</v>
      </c>
      <c r="G4" s="36" t="str">
        <f t="shared" ref="G4:G35" si="3">GridGridCon(B4,C4,A4)</f>
        <v>0 35 15.02</v>
      </c>
      <c r="H4" s="37">
        <f t="shared" ref="H4:H35" si="4">GridPntScleFact(B4,C4,A4)</f>
        <v>0.99973732494035861</v>
      </c>
      <c r="I4" s="38" t="str">
        <f t="shared" ref="I4:I35" si="5">datumlat(D4,E4,F4,A4)</f>
        <v>-31 48 07.06487</v>
      </c>
      <c r="J4" s="38" t="str">
        <f t="shared" ref="J4:J35" si="6">datumlong(D4,E4,F4,A4)</f>
        <v>115 53 06.94375</v>
      </c>
      <c r="K4" s="39">
        <f t="shared" ref="K4:K35" si="7">DatumPntScle(D4,E4,F4,A4)</f>
        <v>0.99973732494032375</v>
      </c>
      <c r="L4" s="40" t="str">
        <f t="shared" ref="L4:L35" si="8">DatumGridConv(D4,E4,F4,A4)</f>
        <v>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 t="shared" si="0"/>
        <v>52218.158970447555</v>
      </c>
      <c r="E5" s="26">
        <f t="shared" si="1"/>
        <v>222882.2494979687</v>
      </c>
      <c r="F5" s="27">
        <f t="shared" si="2"/>
        <v>1</v>
      </c>
      <c r="G5" s="27" t="str">
        <f t="shared" si="3"/>
        <v>0 00 50.22</v>
      </c>
      <c r="H5" s="28">
        <f t="shared" si="4"/>
        <v>1.0000044606129772</v>
      </c>
      <c r="I5" s="29" t="str">
        <f t="shared" si="5"/>
        <v>-35 01 21.36837</v>
      </c>
      <c r="J5" s="29" t="str">
        <f t="shared" si="6"/>
        <v>117 54 27.49802</v>
      </c>
      <c r="K5" s="30">
        <f t="shared" si="7"/>
        <v>1.0000044606129772</v>
      </c>
      <c r="L5" s="31" t="str">
        <f t="shared" si="8"/>
        <v>0 00 50.22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 t="shared" si="0"/>
        <v>43346.105333539177</v>
      </c>
      <c r="E6" s="4">
        <f t="shared" si="1"/>
        <v>273769.14123761328</v>
      </c>
      <c r="F6" s="8">
        <f t="shared" si="2"/>
        <v>1</v>
      </c>
      <c r="G6" s="8" t="str">
        <f t="shared" si="3"/>
        <v>0 02 23.16</v>
      </c>
      <c r="H6" s="9">
        <f t="shared" si="4"/>
        <v>0.99999646558783428</v>
      </c>
      <c r="I6" s="5" t="str">
        <f t="shared" si="5"/>
        <v>-33 39 45.57088</v>
      </c>
      <c r="J6" s="5" t="str">
        <f t="shared" si="6"/>
        <v>115 21 41.73008</v>
      </c>
      <c r="K6" s="10">
        <f t="shared" si="7"/>
        <v>0.99999646558783428</v>
      </c>
      <c r="L6" s="11" t="str">
        <f t="shared" si="8"/>
        <v>0 02 23.16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 t="shared" si="0"/>
        <v>75026.204136866014</v>
      </c>
      <c r="E7" s="4">
        <f t="shared" si="1"/>
        <v>396914.87564936932</v>
      </c>
      <c r="F7" s="8">
        <f t="shared" si="2"/>
        <v>1</v>
      </c>
      <c r="G7" s="8" t="str">
        <f t="shared" si="3"/>
        <v>0 03 04.70</v>
      </c>
      <c r="H7" s="9">
        <f t="shared" si="4"/>
        <v>1.0000049890891283</v>
      </c>
      <c r="I7" s="5" t="str">
        <f t="shared" si="5"/>
        <v>-20 49 09.57157</v>
      </c>
      <c r="J7" s="5" t="str">
        <f t="shared" si="6"/>
        <v>115 23 39.66157</v>
      </c>
      <c r="K7" s="10">
        <f t="shared" si="7"/>
        <v>1.0000049890891283</v>
      </c>
      <c r="L7" s="11" t="str">
        <f t="shared" si="8"/>
        <v>0 03 04.70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 t="shared" si="0"/>
        <v>36842.78231252078</v>
      </c>
      <c r="E8" s="4">
        <f t="shared" si="1"/>
        <v>308568.04347882234</v>
      </c>
      <c r="F8" s="8">
        <f t="shared" si="2"/>
        <v>1</v>
      </c>
      <c r="G8" s="8" t="str">
        <f t="shared" si="3"/>
        <v>0 02 18.24</v>
      </c>
      <c r="H8" s="9">
        <f t="shared" si="4"/>
        <v>1.0000051192953217</v>
      </c>
      <c r="I8" s="5" t="str">
        <f t="shared" si="5"/>
        <v>-18 00 14.30101</v>
      </c>
      <c r="J8" s="5" t="str">
        <f t="shared" si="6"/>
        <v>122 12 32.74179</v>
      </c>
      <c r="K8" s="10">
        <f t="shared" si="7"/>
        <v>1.0000051192953217</v>
      </c>
      <c r="L8" s="11" t="str">
        <f t="shared" si="8"/>
        <v>0 02 18.24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 t="shared" si="0"/>
        <v>51836.014319816837</v>
      </c>
      <c r="E9" s="4">
        <f t="shared" si="1"/>
        <v>299524.52834455855</v>
      </c>
      <c r="F9" s="8">
        <f t="shared" si="2"/>
        <v>1</v>
      </c>
      <c r="G9" s="8" t="str">
        <f t="shared" si="3"/>
        <v>0 00 27.49</v>
      </c>
      <c r="H9" s="9">
        <f t="shared" si="4"/>
        <v>0.99999800161253793</v>
      </c>
      <c r="I9" s="5" t="str">
        <f t="shared" si="5"/>
        <v>-24 51 33.88264</v>
      </c>
      <c r="J9" s="5" t="str">
        <f t="shared" si="6"/>
        <v>113 41 05.40036</v>
      </c>
      <c r="K9" s="10">
        <f t="shared" si="7"/>
        <v>0.99999800161253793</v>
      </c>
      <c r="L9" s="11" t="str">
        <f t="shared" si="8"/>
        <v>0 00 27.49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 t="shared" si="0"/>
        <v>57244.545121072792</v>
      </c>
      <c r="E10" s="4">
        <f t="shared" si="1"/>
        <v>243201.18275029841</v>
      </c>
      <c r="F10" s="8">
        <f t="shared" si="2"/>
        <v>1</v>
      </c>
      <c r="G10" s="8" t="str">
        <f t="shared" si="3"/>
        <v>0 00 43.25</v>
      </c>
      <c r="H10" s="9">
        <f t="shared" si="4"/>
        <v>1.000025789111217</v>
      </c>
      <c r="I10" s="5" t="str">
        <f t="shared" si="5"/>
        <v>-10 27 37.10201</v>
      </c>
      <c r="J10" s="5" t="str">
        <f t="shared" si="6"/>
        <v>105 41 28.21094</v>
      </c>
      <c r="K10" s="10">
        <f t="shared" si="7"/>
        <v>1.000025789111217</v>
      </c>
      <c r="L10" s="11" t="str">
        <f t="shared" si="8"/>
        <v>0 00 43.25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 t="shared" si="0"/>
        <v>45535.747314240689</v>
      </c>
      <c r="E11" s="4">
        <f t="shared" si="1"/>
        <v>252088.35109252925</v>
      </c>
      <c r="F11" s="8">
        <f t="shared" si="2"/>
        <v>1</v>
      </c>
      <c r="G11" s="8" t="str">
        <f t="shared" si="3"/>
        <v>0 00 31.18</v>
      </c>
      <c r="H11" s="9">
        <f t="shared" si="4"/>
        <v>0.99999411645658109</v>
      </c>
      <c r="I11" s="5" t="str">
        <f t="shared" si="5"/>
        <v>-12 11 18.03578</v>
      </c>
      <c r="J11" s="5" t="str">
        <f t="shared" si="6"/>
        <v>96 50 02.32078</v>
      </c>
      <c r="K11" s="10">
        <f t="shared" si="7"/>
        <v>0.99999411645658132</v>
      </c>
      <c r="L11" s="11" t="str">
        <f t="shared" si="8"/>
        <v>0 00 31.18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 t="shared" si="0"/>
        <v>42800.706585073363</v>
      </c>
      <c r="E12" s="4">
        <f t="shared" si="1"/>
        <v>342962.55476476857</v>
      </c>
      <c r="F12" s="8">
        <f t="shared" si="2"/>
        <v>1</v>
      </c>
      <c r="G12" s="8" t="str">
        <f t="shared" si="3"/>
        <v>0 01 00.89</v>
      </c>
      <c r="H12" s="9">
        <f t="shared" si="4"/>
        <v>1.0000190966522484</v>
      </c>
      <c r="I12" s="5" t="str">
        <f t="shared" si="5"/>
        <v>-33 56 22.68614</v>
      </c>
      <c r="J12" s="5" t="str">
        <f t="shared" si="6"/>
        <v>115 57 49.05725</v>
      </c>
      <c r="K12" s="10">
        <f t="shared" si="7"/>
        <v>1.0000190966522484</v>
      </c>
      <c r="L12" s="11" t="str">
        <f t="shared" si="8"/>
        <v>0 01 00.89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 t="shared" si="0"/>
        <v>51471.200505416578</v>
      </c>
      <c r="E13" s="4">
        <f t="shared" si="1"/>
        <v>356188.98967923829</v>
      </c>
      <c r="F13" s="8">
        <f t="shared" si="2"/>
        <v>1</v>
      </c>
      <c r="G13" s="8" t="str">
        <f t="shared" si="3"/>
        <v>0 00 31.30</v>
      </c>
      <c r="H13" s="9">
        <f t="shared" si="4"/>
        <v>1.0000055266734855</v>
      </c>
      <c r="I13" s="5" t="str">
        <f t="shared" si="5"/>
        <v>-33 22 12.21651</v>
      </c>
      <c r="J13" s="5" t="str">
        <f t="shared" si="6"/>
        <v>121 53 56.91197</v>
      </c>
      <c r="K13" s="10">
        <f t="shared" si="7"/>
        <v>1.0000055266734855</v>
      </c>
      <c r="L13" s="11" t="str">
        <f t="shared" si="8"/>
        <v>0 00 31.30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 t="shared" si="0"/>
        <v>36205.287774120807</v>
      </c>
      <c r="E14" s="4">
        <f t="shared" si="1"/>
        <v>318804.30567216873</v>
      </c>
      <c r="F14" s="8">
        <f t="shared" si="2"/>
        <v>1</v>
      </c>
      <c r="G14" s="8" t="str">
        <f t="shared" si="3"/>
        <v>0 02 59.94</v>
      </c>
      <c r="H14" s="9">
        <f t="shared" si="4"/>
        <v>1.0000047102235339</v>
      </c>
      <c r="I14" s="5" t="str">
        <f t="shared" si="5"/>
        <v>-21 58 34.93247</v>
      </c>
      <c r="J14" s="5" t="str">
        <f t="shared" si="6"/>
        <v>113 55 59.15980</v>
      </c>
      <c r="K14" s="10">
        <f t="shared" si="7"/>
        <v>1.0000047102235339</v>
      </c>
      <c r="L14" s="11" t="str">
        <f t="shared" si="8"/>
        <v>0 02 59.94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 t="shared" si="0"/>
        <v>53060.538977878503</v>
      </c>
      <c r="E15" s="4">
        <f t="shared" si="1"/>
        <v>265149.05894622998</v>
      </c>
      <c r="F15" s="8">
        <f t="shared" si="2"/>
        <v>1</v>
      </c>
      <c r="G15" s="8" t="str">
        <f t="shared" si="3"/>
        <v>0 00 54.32</v>
      </c>
      <c r="H15" s="9">
        <f t="shared" si="4"/>
        <v>1.0000063955430265</v>
      </c>
      <c r="I15" s="5" t="str">
        <f t="shared" si="5"/>
        <v>-28 46 46.20322</v>
      </c>
      <c r="J15" s="5" t="str">
        <f t="shared" si="6"/>
        <v>114 36 52.83602</v>
      </c>
      <c r="K15" s="10">
        <f t="shared" si="7"/>
        <v>1.0000063955430265</v>
      </c>
      <c r="L15" s="11" t="str">
        <f t="shared" si="8"/>
        <v>0 00 54.32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 t="shared" si="0"/>
        <v>60749.353492408038</v>
      </c>
      <c r="E16" s="4">
        <f t="shared" si="1"/>
        <v>385966.46347103966</v>
      </c>
      <c r="F16" s="8">
        <f t="shared" si="2"/>
        <v>1</v>
      </c>
      <c r="G16" s="8" t="str">
        <f t="shared" si="3"/>
        <v>0 00 14.46</v>
      </c>
      <c r="H16" s="9">
        <f t="shared" si="4"/>
        <v>1.0000494969234321</v>
      </c>
      <c r="I16" s="5" t="str">
        <f t="shared" si="5"/>
        <v>-30 50 44.42871</v>
      </c>
      <c r="J16" s="5" t="str">
        <f t="shared" si="6"/>
        <v>121 30 28.19991</v>
      </c>
      <c r="K16" s="10">
        <f t="shared" si="7"/>
        <v>1.0000494969234324</v>
      </c>
      <c r="L16" s="11" t="str">
        <f t="shared" si="8"/>
        <v>0 00 14.46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 t="shared" si="0"/>
        <v>58837.850275578472</v>
      </c>
      <c r="E17" s="4">
        <f t="shared" si="1"/>
        <v>296734.66112685762</v>
      </c>
      <c r="F17" s="8">
        <f t="shared" si="2"/>
        <v>1</v>
      </c>
      <c r="G17" s="8" t="str">
        <f t="shared" si="3"/>
        <v>0 02 46.86</v>
      </c>
      <c r="H17" s="9">
        <f t="shared" si="4"/>
        <v>1.0000041031859286</v>
      </c>
      <c r="I17" s="5" t="str">
        <f t="shared" si="5"/>
        <v>-30 17 56.14676</v>
      </c>
      <c r="J17" s="5" t="str">
        <f t="shared" si="6"/>
        <v>115 04 30.74372</v>
      </c>
      <c r="K17" s="10">
        <f t="shared" si="7"/>
        <v>1.0000041031859284</v>
      </c>
      <c r="L17" s="11" t="str">
        <f t="shared" si="8"/>
        <v>0 02 46.86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 t="shared" si="0"/>
        <v>26435.623934861334</v>
      </c>
      <c r="E18" s="4">
        <f t="shared" si="1"/>
        <v>682101.70557887526</v>
      </c>
      <c r="F18" s="8">
        <f t="shared" si="2"/>
        <v>1</v>
      </c>
      <c r="G18" s="8" t="str">
        <f t="shared" si="3"/>
        <v>0 07 55.88</v>
      </c>
      <c r="H18" s="9">
        <f t="shared" si="4"/>
        <v>1.0000240675036451</v>
      </c>
      <c r="I18" s="5" t="str">
        <f t="shared" si="5"/>
        <v>-27 16 20.94329</v>
      </c>
      <c r="J18" s="5" t="str">
        <f t="shared" si="6"/>
        <v>114 01 36.46503</v>
      </c>
      <c r="K18" s="10">
        <f t="shared" si="7"/>
        <v>1.0000240675036451</v>
      </c>
      <c r="L18" s="11" t="str">
        <f t="shared" si="8"/>
        <v>0 07 55.88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 t="shared" si="0"/>
        <v>38357.638770312231</v>
      </c>
      <c r="E19" s="4">
        <f t="shared" si="1"/>
        <v>256045.21969930222</v>
      </c>
      <c r="F19" s="8">
        <f t="shared" si="2"/>
        <v>1</v>
      </c>
      <c r="G19" s="8" t="str">
        <f t="shared" si="3"/>
        <v>0 02 22.49</v>
      </c>
      <c r="H19" s="9">
        <f t="shared" si="4"/>
        <v>1.0000005743755216</v>
      </c>
      <c r="I19" s="5" t="str">
        <f t="shared" si="5"/>
        <v>-20 44 13.02258</v>
      </c>
      <c r="J19" s="5" t="str">
        <f t="shared" si="6"/>
        <v>116 49 17.58104</v>
      </c>
      <c r="K19" s="10">
        <f t="shared" si="7"/>
        <v>1.0000005743755218</v>
      </c>
      <c r="L19" s="11" t="str">
        <f t="shared" si="8"/>
        <v>0 02 22.49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 t="shared" si="0"/>
        <v>54269.551231121477</v>
      </c>
      <c r="E20" s="4">
        <f t="shared" si="1"/>
        <v>342672.67833085661</v>
      </c>
      <c r="F20" s="8">
        <f t="shared" si="2"/>
        <v>1</v>
      </c>
      <c r="G20" s="8" t="str">
        <f t="shared" si="3"/>
        <v>0 00 39.29</v>
      </c>
      <c r="H20" s="9">
        <f t="shared" si="4"/>
        <v>1.0000167253309413</v>
      </c>
      <c r="I20" s="5" t="str">
        <f t="shared" si="5"/>
        <v>-15 53 18.37443</v>
      </c>
      <c r="J20" s="5" t="str">
        <f t="shared" si="6"/>
        <v>128 47 23.52056</v>
      </c>
      <c r="K20" s="10">
        <f t="shared" si="7"/>
        <v>1.0000167253309411</v>
      </c>
      <c r="L20" s="11" t="str">
        <f t="shared" si="8"/>
        <v>0 00 39.29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 t="shared" si="0"/>
        <v>46740.421816227339</v>
      </c>
      <c r="E21" s="4">
        <f t="shared" si="1"/>
        <v>316629.4148365492</v>
      </c>
      <c r="F21" s="8">
        <f t="shared" si="2"/>
        <v>1</v>
      </c>
      <c r="G21" s="8" t="str">
        <f t="shared" si="3"/>
        <v>0 01 03.34</v>
      </c>
      <c r="H21" s="9">
        <f t="shared" si="4"/>
        <v>1.0000017010013671</v>
      </c>
      <c r="I21" s="5" t="str">
        <f t="shared" si="5"/>
        <v>-31 01 17.61669</v>
      </c>
      <c r="J21" s="5" t="str">
        <f t="shared" si="6"/>
        <v>115 19 57.10387</v>
      </c>
      <c r="K21" s="10">
        <f t="shared" si="7"/>
        <v>1.0000017010013669</v>
      </c>
      <c r="L21" s="11" t="str">
        <f t="shared" si="8"/>
        <v>0 01 03.34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 t="shared" si="0"/>
        <v>40563.065063195842</v>
      </c>
      <c r="E22" s="4">
        <f t="shared" si="1"/>
        <v>289115.87735463958</v>
      </c>
      <c r="F22" s="8">
        <f t="shared" si="2"/>
        <v>1</v>
      </c>
      <c r="G22" s="8" t="str">
        <f t="shared" si="3"/>
        <v>0 03 25.44</v>
      </c>
      <c r="H22" s="9">
        <f t="shared" si="4"/>
        <v>1.0000065973401877</v>
      </c>
      <c r="I22" s="5" t="str">
        <f t="shared" si="5"/>
        <v>-33 58 29.03771</v>
      </c>
      <c r="J22" s="5" t="str">
        <f t="shared" si="6"/>
        <v>115 03 52.37757</v>
      </c>
      <c r="K22" s="10">
        <f t="shared" si="7"/>
        <v>1.0000065973401875</v>
      </c>
      <c r="L22" s="11" t="str">
        <f t="shared" si="8"/>
        <v>0 03 25.44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 t="shared" si="0"/>
        <v>56495.679399932582</v>
      </c>
      <c r="E23" s="4">
        <f t="shared" si="1"/>
        <v>380108.24947232148</v>
      </c>
      <c r="F23" s="8">
        <f t="shared" si="2"/>
        <v>1</v>
      </c>
      <c r="G23" s="8" t="str">
        <f t="shared" si="3"/>
        <v>0 02 10.14</v>
      </c>
      <c r="H23" s="9">
        <f t="shared" si="4"/>
        <v>0.99999958015493318</v>
      </c>
      <c r="I23" s="5" t="str">
        <f t="shared" si="5"/>
        <v>-31 48 07.06434</v>
      </c>
      <c r="J23" s="5" t="str">
        <f t="shared" si="6"/>
        <v>115 53 06.94332</v>
      </c>
      <c r="K23" s="10">
        <f t="shared" si="7"/>
        <v>0.9999995801549334</v>
      </c>
      <c r="L23" s="11" t="str">
        <f t="shared" si="8"/>
        <v>0 02 10.14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 t="shared" si="0"/>
        <v>41155.523246361648</v>
      </c>
      <c r="E24" s="4">
        <f t="shared" si="1"/>
        <v>244181.41549981525</v>
      </c>
      <c r="F24" s="8">
        <f t="shared" si="2"/>
        <v>1</v>
      </c>
      <c r="G24" s="8" t="str">
        <f t="shared" si="3"/>
        <v>0 01 46.29</v>
      </c>
      <c r="H24" s="9">
        <f t="shared" si="4"/>
        <v>1.0000023163554836</v>
      </c>
      <c r="I24" s="5" t="str">
        <f t="shared" si="5"/>
        <v>-20 23 32.82462</v>
      </c>
      <c r="J24" s="5" t="str">
        <f t="shared" si="6"/>
        <v>118 30 54.97558</v>
      </c>
      <c r="K24" s="10">
        <f t="shared" si="7"/>
        <v>1.0000023163554836</v>
      </c>
      <c r="L24" s="11" t="str">
        <f t="shared" si="8"/>
        <v>0 01 46.29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 t="shared" si="0"/>
        <v>394476.88445793919</v>
      </c>
      <c r="E25" s="35">
        <f t="shared" si="1"/>
        <v>6480972.9355089329</v>
      </c>
      <c r="F25" s="36">
        <f t="shared" si="2"/>
        <v>50</v>
      </c>
      <c r="G25" s="36" t="str">
        <f t="shared" si="3"/>
        <v>0 35 15.05</v>
      </c>
      <c r="H25" s="37">
        <f t="shared" si="4"/>
        <v>0.99973732884462252</v>
      </c>
      <c r="I25" s="38" t="str">
        <f t="shared" si="5"/>
        <v>-31 48 07.09684</v>
      </c>
      <c r="J25" s="38" t="str">
        <f t="shared" si="6"/>
        <v>115 53 06.88632</v>
      </c>
      <c r="K25" s="39">
        <f t="shared" si="7"/>
        <v>0.99973732884458788</v>
      </c>
      <c r="L25" s="40" t="str">
        <f t="shared" si="8"/>
        <v>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 t="shared" si="0"/>
        <v>52216.658964149814</v>
      </c>
      <c r="E26" s="4">
        <f t="shared" si="1"/>
        <v>122881.24954061536</v>
      </c>
      <c r="F26" s="8">
        <f t="shared" si="2"/>
        <v>1</v>
      </c>
      <c r="G26" s="8" t="str">
        <f t="shared" si="3"/>
        <v>0 00 50.18</v>
      </c>
      <c r="H26" s="9">
        <f t="shared" si="4"/>
        <v>1.000004460531027</v>
      </c>
      <c r="I26" s="5" t="str">
        <f t="shared" si="5"/>
        <v>-35 01 21.40083</v>
      </c>
      <c r="J26" s="5" t="str">
        <f t="shared" si="6"/>
        <v>117 54 27.43886</v>
      </c>
      <c r="K26" s="10">
        <f t="shared" si="7"/>
        <v>1.000004460531027</v>
      </c>
      <c r="L26" s="11" t="str">
        <f t="shared" si="8"/>
        <v>0 00 50.18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 t="shared" si="0"/>
        <v>43344.605312348933</v>
      </c>
      <c r="E27" s="4">
        <f t="shared" si="1"/>
        <v>173768.14133671205</v>
      </c>
      <c r="F27" s="8">
        <f t="shared" si="2"/>
        <v>1</v>
      </c>
      <c r="G27" s="8" t="str">
        <f t="shared" si="3"/>
        <v>0 02 23.19</v>
      </c>
      <c r="H27" s="9">
        <f t="shared" si="4"/>
        <v>0.99999646583385027</v>
      </c>
      <c r="I27" s="5" t="str">
        <f t="shared" si="5"/>
        <v>-33 39 45.60330</v>
      </c>
      <c r="J27" s="5" t="str">
        <f t="shared" si="6"/>
        <v>115 21 41.67183</v>
      </c>
      <c r="K27" s="10">
        <f t="shared" si="7"/>
        <v>0.99999646583385027</v>
      </c>
      <c r="L27" s="11" t="str">
        <f t="shared" si="8"/>
        <v>0 02 23.19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 t="shared" si="0"/>
        <v>75024.704265366745</v>
      </c>
      <c r="E28" s="4">
        <f t="shared" si="1"/>
        <v>296913.87563412124</v>
      </c>
      <c r="F28" s="8">
        <f t="shared" si="2"/>
        <v>1</v>
      </c>
      <c r="G28" s="8" t="str">
        <f t="shared" si="3"/>
        <v>0 03 04.68</v>
      </c>
      <c r="H28" s="9">
        <f t="shared" si="4"/>
        <v>1.0000049885323545</v>
      </c>
      <c r="I28" s="5" t="str">
        <f t="shared" si="5"/>
        <v>-20 49 09.60413</v>
      </c>
      <c r="J28" s="5" t="str">
        <f t="shared" si="6"/>
        <v>115 23 39.60973</v>
      </c>
      <c r="K28" s="10">
        <f t="shared" si="7"/>
        <v>1.0000049885323543</v>
      </c>
      <c r="L28" s="11" t="str">
        <f t="shared" si="8"/>
        <v>0 03 04.68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 t="shared" si="0"/>
        <v>36841.282393554648</v>
      </c>
      <c r="E29" s="4">
        <f t="shared" si="1"/>
        <v>208567.04357725428</v>
      </c>
      <c r="F29" s="8">
        <f t="shared" si="2"/>
        <v>1</v>
      </c>
      <c r="G29" s="8" t="str">
        <f t="shared" si="3"/>
        <v>0 02 18.26</v>
      </c>
      <c r="H29" s="9">
        <f t="shared" si="4"/>
        <v>1.0000051197831048</v>
      </c>
      <c r="I29" s="5" t="str">
        <f t="shared" si="5"/>
        <v>-18 00 14.33350</v>
      </c>
      <c r="J29" s="5" t="str">
        <f t="shared" si="6"/>
        <v>122 12 32.69078</v>
      </c>
      <c r="K29" s="10">
        <f t="shared" si="7"/>
        <v>1.0000051197831048</v>
      </c>
      <c r="L29" s="11" t="str">
        <f t="shared" si="8"/>
        <v>0 02 18.26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 t="shared" si="0"/>
        <v>51834.514221646372</v>
      </c>
      <c r="E30" s="4">
        <f t="shared" si="1"/>
        <v>199523.52822458278</v>
      </c>
      <c r="F30" s="8">
        <f t="shared" si="2"/>
        <v>1</v>
      </c>
      <c r="G30" s="8" t="str">
        <f t="shared" si="3"/>
        <v>0 00 27.47</v>
      </c>
      <c r="H30" s="9">
        <f t="shared" si="4"/>
        <v>0.99999800154456742</v>
      </c>
      <c r="I30" s="5" t="str">
        <f t="shared" si="5"/>
        <v>-24 51 33.91515</v>
      </c>
      <c r="J30" s="5" t="str">
        <f t="shared" si="6"/>
        <v>113 41 05.34693</v>
      </c>
      <c r="K30" s="10">
        <f t="shared" si="7"/>
        <v>0.99999800154456742</v>
      </c>
      <c r="L30" s="11" t="str">
        <f t="shared" si="8"/>
        <v>0 00 27.47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 t="shared" si="0"/>
        <v>57243.044975559787</v>
      </c>
      <c r="E31" s="4">
        <f t="shared" si="1"/>
        <v>143200.18262498174</v>
      </c>
      <c r="F31" s="8">
        <f t="shared" si="2"/>
        <v>1</v>
      </c>
      <c r="G31" s="8" t="str">
        <f t="shared" si="3"/>
        <v>0 00 43.24</v>
      </c>
      <c r="H31" s="9">
        <f t="shared" si="4"/>
        <v>1.0000257888424182</v>
      </c>
      <c r="I31" s="5" t="str">
        <f t="shared" si="5"/>
        <v>-10 27 37.13457</v>
      </c>
      <c r="J31" s="5" t="str">
        <f t="shared" si="6"/>
        <v>105 41 28.16162</v>
      </c>
      <c r="K31" s="10">
        <f t="shared" si="7"/>
        <v>1.0000257888424182</v>
      </c>
      <c r="L31" s="11" t="str">
        <f t="shared" si="8"/>
        <v>0 00 43.24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 t="shared" si="0"/>
        <v>45534.247180593651</v>
      </c>
      <c r="E32" s="4">
        <f t="shared" si="1"/>
        <v>152087.35095548583</v>
      </c>
      <c r="F32" s="8">
        <f t="shared" si="2"/>
        <v>1</v>
      </c>
      <c r="G32" s="8" t="str">
        <f t="shared" si="3"/>
        <v>0 00 31.19</v>
      </c>
      <c r="H32" s="9">
        <f t="shared" si="4"/>
        <v>0.9999941166222438</v>
      </c>
      <c r="I32" s="5" t="str">
        <f t="shared" si="5"/>
        <v>-12 11 18.06832</v>
      </c>
      <c r="J32" s="5" t="str">
        <f t="shared" si="6"/>
        <v>96 50 02.27115</v>
      </c>
      <c r="K32" s="10">
        <f t="shared" si="7"/>
        <v>0.99999411662224358</v>
      </c>
      <c r="L32" s="11" t="str">
        <f t="shared" si="8"/>
        <v>0 00 31.19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 t="shared" si="0"/>
        <v>42799.206515509497</v>
      </c>
      <c r="E33" s="4">
        <f t="shared" si="1"/>
        <v>242961.55473984731</v>
      </c>
      <c r="F33" s="8">
        <f t="shared" si="2"/>
        <v>1</v>
      </c>
      <c r="G33" s="8" t="str">
        <f t="shared" si="3"/>
        <v>0 01 00.86</v>
      </c>
      <c r="H33" s="9">
        <f t="shared" si="4"/>
        <v>1.0000190965487414</v>
      </c>
      <c r="I33" s="5" t="str">
        <f t="shared" si="5"/>
        <v>-33 56 22.71861</v>
      </c>
      <c r="J33" s="5" t="str">
        <f t="shared" si="6"/>
        <v>115 57 48.99885</v>
      </c>
      <c r="K33" s="10">
        <f t="shared" si="7"/>
        <v>1.0000190965487414</v>
      </c>
      <c r="L33" s="11" t="str">
        <f t="shared" si="8"/>
        <v>0 01 00.86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 t="shared" si="0"/>
        <v>51469.700510194103</v>
      </c>
      <c r="E34" s="4">
        <f t="shared" si="1"/>
        <v>256187.98985317256</v>
      </c>
      <c r="F34" s="8">
        <f t="shared" si="2"/>
        <v>1</v>
      </c>
      <c r="G34" s="8" t="str">
        <f t="shared" si="3"/>
        <v>0 00 31.27</v>
      </c>
      <c r="H34" s="9">
        <f t="shared" si="4"/>
        <v>1.0000055266191219</v>
      </c>
      <c r="I34" s="5" t="str">
        <f t="shared" si="5"/>
        <v>-33 22 12.24897</v>
      </c>
      <c r="J34" s="5" t="str">
        <f t="shared" si="6"/>
        <v>121 53 56.85395</v>
      </c>
      <c r="K34" s="10">
        <f t="shared" si="7"/>
        <v>1.0000055266191219</v>
      </c>
      <c r="L34" s="11" t="str">
        <f t="shared" si="8"/>
        <v>0 00 31.27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 t="shared" si="0"/>
        <v>36203.787647254743</v>
      </c>
      <c r="E35" s="4">
        <f t="shared" si="1"/>
        <v>218803.3056356525</v>
      </c>
      <c r="F35" s="8">
        <f t="shared" si="2"/>
        <v>1</v>
      </c>
      <c r="G35" s="8" t="str">
        <f t="shared" si="3"/>
        <v>0 02 59.96</v>
      </c>
      <c r="H35" s="9">
        <f t="shared" si="4"/>
        <v>1.0000047107347156</v>
      </c>
      <c r="I35" s="5" t="str">
        <f t="shared" si="5"/>
        <v>-21 58 34.96494</v>
      </c>
      <c r="J35" s="5" t="str">
        <f t="shared" si="6"/>
        <v>113 55 59.10748</v>
      </c>
      <c r="K35" s="10">
        <f t="shared" si="7"/>
        <v>1.0000047107347156</v>
      </c>
      <c r="L35" s="11" t="str">
        <f t="shared" si="8"/>
        <v>0 02 59.96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 t="shared" ref="D36:D63" si="9">grideasting(B36,C36,A36)</f>
        <v>53059.039040889424</v>
      </c>
      <c r="E36" s="4">
        <f t="shared" ref="E36:E63" si="10">gridnorthing(B36,C36,A36)</f>
        <v>165148.05907471478</v>
      </c>
      <c r="F36" s="8">
        <f t="shared" ref="F36:F63" si="11">gridzone(B36,C36,A36)</f>
        <v>1</v>
      </c>
      <c r="G36" s="8" t="str">
        <f t="shared" ref="G36:G63" si="12">GridGridCon(B36,C36,A36)</f>
        <v>0 00 54.30</v>
      </c>
      <c r="H36" s="9">
        <f t="shared" ref="H36:H63" si="13">GridPntScleFact(B36,C36,A36)</f>
        <v>1.0000063954298013</v>
      </c>
      <c r="I36" s="5" t="str">
        <f t="shared" ref="I36:I63" si="14">datumlat(D36,E36,F36,A36)</f>
        <v>-28 46 46.23571</v>
      </c>
      <c r="J36" s="5" t="str">
        <f t="shared" ref="J36:J63" si="15">datumlong(D36,E36,F36,A36)</f>
        <v>114 36 52.78073</v>
      </c>
      <c r="K36" s="10">
        <f t="shared" ref="K36:K63" si="16">DatumPntScle(D36,E36,F36,A36)</f>
        <v>1.0000063954298013</v>
      </c>
      <c r="L36" s="11" t="str">
        <f t="shared" ref="L36:L63" si="17">DatumGridConv(D36,E36,F36,A36)</f>
        <v>0 00 54.30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 t="shared" si="9"/>
        <v>60747.853382031528</v>
      </c>
      <c r="E37" s="4">
        <f t="shared" si="10"/>
        <v>285965.46356950607</v>
      </c>
      <c r="F37" s="8">
        <f t="shared" si="11"/>
        <v>1</v>
      </c>
      <c r="G37" s="8" t="str">
        <f t="shared" si="12"/>
        <v>0 00 14.43</v>
      </c>
      <c r="H37" s="9">
        <f t="shared" si="13"/>
        <v>1.0000494968957403</v>
      </c>
      <c r="I37" s="5" t="str">
        <f t="shared" si="14"/>
        <v>-30 50 44.46118</v>
      </c>
      <c r="J37" s="5" t="str">
        <f t="shared" si="15"/>
        <v>121 30 28.14346</v>
      </c>
      <c r="K37" s="10">
        <f t="shared" si="16"/>
        <v>1.0000494968957403</v>
      </c>
      <c r="L37" s="11" t="str">
        <f t="shared" si="17"/>
        <v>0 00 14.43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 t="shared" si="9"/>
        <v>58836.350409072642</v>
      </c>
      <c r="E38" s="4">
        <f t="shared" si="10"/>
        <v>196733.66123090824</v>
      </c>
      <c r="F38" s="8">
        <f t="shared" si="11"/>
        <v>1</v>
      </c>
      <c r="G38" s="8" t="str">
        <f t="shared" si="12"/>
        <v>0 02 46.84</v>
      </c>
      <c r="H38" s="9">
        <f t="shared" si="13"/>
        <v>1.0000041028590307</v>
      </c>
      <c r="I38" s="5" t="str">
        <f t="shared" si="14"/>
        <v>-30 17 56.17927</v>
      </c>
      <c r="J38" s="5" t="str">
        <f t="shared" si="15"/>
        <v>115 04 30.68762</v>
      </c>
      <c r="K38" s="10">
        <f t="shared" si="16"/>
        <v>1.000004102859031</v>
      </c>
      <c r="L38" s="11" t="str">
        <f t="shared" si="17"/>
        <v>0 02 46.84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 t="shared" si="9"/>
        <v>26434.123931024362</v>
      </c>
      <c r="E39" s="4">
        <f t="shared" si="10"/>
        <v>582100.70574441459</v>
      </c>
      <c r="F39" s="8">
        <f t="shared" si="11"/>
        <v>1</v>
      </c>
      <c r="G39" s="8" t="str">
        <f t="shared" si="12"/>
        <v>0 07 55.91</v>
      </c>
      <c r="H39" s="9">
        <f t="shared" si="13"/>
        <v>1.0000240685610091</v>
      </c>
      <c r="I39" s="5" t="str">
        <f t="shared" si="14"/>
        <v>-27 16 20.97566</v>
      </c>
      <c r="J39" s="5" t="str">
        <f t="shared" si="15"/>
        <v>114 01 36.41041</v>
      </c>
      <c r="K39" s="10">
        <f t="shared" si="16"/>
        <v>1.0000240685610091</v>
      </c>
      <c r="L39" s="11" t="str">
        <f t="shared" si="17"/>
        <v>0 07 55.91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 t="shared" si="9"/>
        <v>38356.138810821823</v>
      </c>
      <c r="E40" s="4">
        <f t="shared" si="10"/>
        <v>156044.21977930609</v>
      </c>
      <c r="F40" s="8">
        <f t="shared" si="11"/>
        <v>1</v>
      </c>
      <c r="G40" s="8" t="str">
        <f t="shared" si="12"/>
        <v>0 02 22.51</v>
      </c>
      <c r="H40" s="9">
        <f t="shared" si="13"/>
        <v>1.0000005748069882</v>
      </c>
      <c r="I40" s="5" t="str">
        <f t="shared" si="14"/>
        <v>-20 44 13.05506</v>
      </c>
      <c r="J40" s="5" t="str">
        <f t="shared" si="15"/>
        <v>116 49 17.52917</v>
      </c>
      <c r="K40" s="10">
        <f t="shared" si="16"/>
        <v>1.0000005748069882</v>
      </c>
      <c r="L40" s="11" t="str">
        <f t="shared" si="17"/>
        <v>0 02 22.51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 t="shared" si="9"/>
        <v>54268.051110592263</v>
      </c>
      <c r="E41" s="4">
        <f t="shared" si="10"/>
        <v>242671.67837855895</v>
      </c>
      <c r="F41" s="8">
        <f t="shared" si="11"/>
        <v>1</v>
      </c>
      <c r="G41" s="8" t="str">
        <f t="shared" si="12"/>
        <v>0 00 39.28</v>
      </c>
      <c r="H41" s="9">
        <f t="shared" si="13"/>
        <v>1.0000167251726273</v>
      </c>
      <c r="I41" s="5" t="str">
        <f t="shared" si="14"/>
        <v>-15 53 18.40697</v>
      </c>
      <c r="J41" s="5" t="str">
        <f t="shared" si="15"/>
        <v>128 47 23.47014</v>
      </c>
      <c r="K41" s="10">
        <f t="shared" si="16"/>
        <v>1.0000167251726273</v>
      </c>
      <c r="L41" s="11" t="str">
        <f t="shared" si="17"/>
        <v>0 00 39.28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 t="shared" si="9"/>
        <v>46738.921715141842</v>
      </c>
      <c r="E42" s="4">
        <f t="shared" si="10"/>
        <v>216628.41500570066</v>
      </c>
      <c r="F42" s="8">
        <f t="shared" si="11"/>
        <v>1</v>
      </c>
      <c r="G42" s="8" t="str">
        <f t="shared" si="12"/>
        <v>0 01 03.36</v>
      </c>
      <c r="H42" s="9">
        <f t="shared" si="13"/>
        <v>1.0000017011219717</v>
      </c>
      <c r="I42" s="5" t="str">
        <f t="shared" si="14"/>
        <v>-31 01 17.64914</v>
      </c>
      <c r="J42" s="5" t="str">
        <f t="shared" si="15"/>
        <v>115 19 57.04730</v>
      </c>
      <c r="K42" s="10">
        <f t="shared" si="16"/>
        <v>1.0000017011219715</v>
      </c>
      <c r="L42" s="11" t="str">
        <f t="shared" si="17"/>
        <v>0 01 03.36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 t="shared" si="9"/>
        <v>40561.56512147015</v>
      </c>
      <c r="E43" s="4">
        <f t="shared" si="10"/>
        <v>189114.87755614519</v>
      </c>
      <c r="F43" s="8">
        <f t="shared" si="11"/>
        <v>1</v>
      </c>
      <c r="G43" s="8" t="str">
        <f t="shared" si="12"/>
        <v>0 03 25.47</v>
      </c>
      <c r="H43" s="9">
        <f t="shared" si="13"/>
        <v>1.000006597689044</v>
      </c>
      <c r="I43" s="5" t="str">
        <f t="shared" si="14"/>
        <v>-33 58 29.07011</v>
      </c>
      <c r="J43" s="5" t="str">
        <f t="shared" si="15"/>
        <v>115 03 52.31910</v>
      </c>
      <c r="K43" s="10">
        <f t="shared" si="16"/>
        <v>1.000006597689044</v>
      </c>
      <c r="L43" s="11" t="str">
        <f t="shared" si="17"/>
        <v>0 03 25.47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 t="shared" si="9"/>
        <v>56494.179421192617</v>
      </c>
      <c r="E44" s="4">
        <f t="shared" si="10"/>
        <v>280107.24938855181</v>
      </c>
      <c r="F44" s="8">
        <f t="shared" si="11"/>
        <v>1</v>
      </c>
      <c r="G44" s="8" t="str">
        <f t="shared" si="12"/>
        <v>0 02 10.11</v>
      </c>
      <c r="H44" s="9">
        <f t="shared" si="13"/>
        <v>0.99999957991473221</v>
      </c>
      <c r="I44" s="5" t="str">
        <f t="shared" si="14"/>
        <v>-31 48 07.09684</v>
      </c>
      <c r="J44" s="5" t="str">
        <f t="shared" si="15"/>
        <v>115 53 06.88632</v>
      </c>
      <c r="K44" s="10">
        <f t="shared" si="16"/>
        <v>0.99999957991473221</v>
      </c>
      <c r="L44" s="11" t="str">
        <f t="shared" si="17"/>
        <v>0 02 10.11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 t="shared" si="9"/>
        <v>41154.023219387062</v>
      </c>
      <c r="E45" s="17">
        <f t="shared" si="10"/>
        <v>144180.41557359044</v>
      </c>
      <c r="F45" s="18">
        <f t="shared" si="11"/>
        <v>1</v>
      </c>
      <c r="G45" s="18" t="str">
        <f t="shared" si="12"/>
        <v>0 01 46.30</v>
      </c>
      <c r="H45" s="19">
        <f t="shared" si="13"/>
        <v>1.0000023166832988</v>
      </c>
      <c r="I45" s="20" t="str">
        <f t="shared" si="14"/>
        <v>-20 23 32.85711</v>
      </c>
      <c r="J45" s="20" t="str">
        <f t="shared" si="15"/>
        <v>118 30 54.92383</v>
      </c>
      <c r="K45" s="21">
        <f t="shared" si="16"/>
        <v>1.000002316683299</v>
      </c>
      <c r="L45" s="22" t="str">
        <f t="shared" si="17"/>
        <v>0 01 46.30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 t="shared" si="9"/>
        <v>537221.4217078198</v>
      </c>
      <c r="E46" s="35">
        <f t="shared" si="10"/>
        <v>6123052.2946832227</v>
      </c>
      <c r="F46" s="36">
        <f t="shared" si="11"/>
        <v>50</v>
      </c>
      <c r="G46" s="36" t="str">
        <f t="shared" si="12"/>
        <v>0 14 03.35</v>
      </c>
      <c r="H46" s="37">
        <f t="shared" si="13"/>
        <v>0.99961707426072355</v>
      </c>
      <c r="I46" s="38" t="str">
        <f t="shared" si="14"/>
        <v>-35 02 04.28500</v>
      </c>
      <c r="J46" s="38" t="str">
        <f t="shared" si="15"/>
        <v>117 24 29.04796</v>
      </c>
      <c r="K46" s="39">
        <f t="shared" si="16"/>
        <v>0.99961707426072333</v>
      </c>
      <c r="L46" s="40" t="str">
        <f t="shared" si="17"/>
        <v>0 14 03.35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 t="shared" si="9"/>
        <v>49174.537605251615</v>
      </c>
      <c r="E47" s="26">
        <f t="shared" si="10"/>
        <v>122852.01581783546</v>
      </c>
      <c r="F47" s="27">
        <f t="shared" si="11"/>
        <v>1</v>
      </c>
      <c r="G47" s="27" t="str">
        <f t="shared" si="12"/>
        <v>0 00 18.69</v>
      </c>
      <c r="H47" s="28">
        <f t="shared" si="13"/>
        <v>1.0000120083940502</v>
      </c>
      <c r="I47" s="29" t="str">
        <f t="shared" si="14"/>
        <v>-35 01 21.40083</v>
      </c>
      <c r="J47" s="29" t="str">
        <f t="shared" si="15"/>
        <v>117 54 27.43886</v>
      </c>
      <c r="K47" s="30">
        <f t="shared" si="16"/>
        <v>1.0000120083940502</v>
      </c>
      <c r="L47" s="31" t="str">
        <f t="shared" si="17"/>
        <v>0 00 18.69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 t="shared" si="9"/>
        <v>43344.531570178166</v>
      </c>
      <c r="E48" s="4">
        <f t="shared" si="10"/>
        <v>173726.85451926803</v>
      </c>
      <c r="F48" s="8">
        <f t="shared" si="11"/>
        <v>1</v>
      </c>
      <c r="G48" s="8" t="str">
        <f t="shared" si="12"/>
        <v>0 02 23.19</v>
      </c>
      <c r="H48" s="9">
        <f t="shared" si="13"/>
        <v>1.0000075458398983</v>
      </c>
      <c r="I48" s="5" t="str">
        <f t="shared" si="14"/>
        <v>-33 39 45.60330</v>
      </c>
      <c r="J48" s="5" t="str">
        <f t="shared" si="15"/>
        <v>115 21 41.67183</v>
      </c>
      <c r="K48" s="10">
        <f t="shared" si="16"/>
        <v>1.0000075458398983</v>
      </c>
      <c r="L48" s="11" t="str">
        <f t="shared" si="17"/>
        <v>0 02 23.19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 t="shared" si="9"/>
        <v>36841.282130381078</v>
      </c>
      <c r="E49" s="4">
        <f t="shared" si="10"/>
        <v>208567.00374871399</v>
      </c>
      <c r="F49" s="8">
        <f t="shared" si="11"/>
        <v>1</v>
      </c>
      <c r="G49" s="8" t="str">
        <f t="shared" si="12"/>
        <v>0 02 18.26</v>
      </c>
      <c r="H49" s="9">
        <f t="shared" si="13"/>
        <v>1.0000051397831475</v>
      </c>
      <c r="I49" s="5" t="str">
        <f t="shared" si="14"/>
        <v>-18 00 14.33350</v>
      </c>
      <c r="J49" s="5" t="str">
        <f t="shared" si="15"/>
        <v>122 12 32.69078</v>
      </c>
      <c r="K49" s="10">
        <f t="shared" si="16"/>
        <v>1.0000051397831475</v>
      </c>
      <c r="L49" s="11" t="str">
        <f t="shared" si="17"/>
        <v>0 02 18.26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 t="shared" si="9"/>
        <v>51834.52713665284</v>
      </c>
      <c r="E50" s="4">
        <f t="shared" si="10"/>
        <v>299504.16483072005</v>
      </c>
      <c r="F50" s="8">
        <f t="shared" si="11"/>
        <v>1</v>
      </c>
      <c r="G50" s="8" t="str">
        <f t="shared" si="12"/>
        <v>0 00 27.47</v>
      </c>
      <c r="H50" s="9">
        <f t="shared" si="13"/>
        <v>1.00000504154486</v>
      </c>
      <c r="I50" s="5" t="str">
        <f t="shared" si="14"/>
        <v>-24 51 33.91515</v>
      </c>
      <c r="J50" s="5" t="str">
        <f t="shared" si="15"/>
        <v>113 41 05.34693</v>
      </c>
      <c r="K50" s="10">
        <f t="shared" si="16"/>
        <v>1.00000504154486</v>
      </c>
      <c r="L50" s="11" t="str">
        <f t="shared" si="17"/>
        <v>0 00 27.47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 t="shared" si="9"/>
        <v>57243.036718696094</v>
      </c>
      <c r="E51" s="4">
        <f t="shared" si="10"/>
        <v>143201.50134362071</v>
      </c>
      <c r="F51" s="8">
        <f t="shared" si="11"/>
        <v>1</v>
      </c>
      <c r="G51" s="8" t="str">
        <f t="shared" si="12"/>
        <v>0 00 43.24</v>
      </c>
      <c r="H51" s="9">
        <f t="shared" si="13"/>
        <v>1.0000246488416786</v>
      </c>
      <c r="I51" s="5" t="str">
        <f t="shared" si="14"/>
        <v>-10 27 37.13457</v>
      </c>
      <c r="J51" s="5" t="str">
        <f t="shared" si="15"/>
        <v>105 41 28.16162</v>
      </c>
      <c r="K51" s="10">
        <f t="shared" si="16"/>
        <v>1.0000246488416786</v>
      </c>
      <c r="L51" s="11" t="str">
        <f t="shared" si="17"/>
        <v>0 00 43.24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 t="shared" si="9"/>
        <v>45534.219805361063</v>
      </c>
      <c r="E52" s="4">
        <f t="shared" si="10"/>
        <v>52079.088200296508</v>
      </c>
      <c r="F52" s="8">
        <f t="shared" si="11"/>
        <v>1</v>
      </c>
      <c r="G52" s="8" t="str">
        <f t="shared" si="12"/>
        <v>0 00 31.19</v>
      </c>
      <c r="H52" s="9">
        <f t="shared" si="13"/>
        <v>1.0000002466237556</v>
      </c>
      <c r="I52" s="5" t="str">
        <f t="shared" si="14"/>
        <v>-12 11 18.06832</v>
      </c>
      <c r="J52" s="5" t="str">
        <f t="shared" si="15"/>
        <v>96 50 02.27115</v>
      </c>
      <c r="K52" s="10">
        <f t="shared" si="16"/>
        <v>1.0000002466237554</v>
      </c>
      <c r="L52" s="11" t="str">
        <f t="shared" si="17"/>
        <v>0 00 31.19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 t="shared" si="9"/>
        <v>51469.710063194878</v>
      </c>
      <c r="E53" s="4">
        <f t="shared" si="10"/>
        <v>256163.98020716012</v>
      </c>
      <c r="F53" s="8">
        <f t="shared" si="11"/>
        <v>1</v>
      </c>
      <c r="G53" s="8" t="str">
        <f t="shared" si="12"/>
        <v>0 00 31.27</v>
      </c>
      <c r="H53" s="9">
        <f t="shared" si="13"/>
        <v>1.0000120266192949</v>
      </c>
      <c r="I53" s="5" t="str">
        <f t="shared" si="14"/>
        <v>-33 22 12.24897</v>
      </c>
      <c r="J53" s="5" t="str">
        <f t="shared" si="15"/>
        <v>121 53 56.85395</v>
      </c>
      <c r="K53" s="10">
        <f t="shared" si="16"/>
        <v>1.0000120266192949</v>
      </c>
      <c r="L53" s="11" t="str">
        <f t="shared" si="17"/>
        <v>0 00 31.27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 t="shared" si="9"/>
        <v>46203.696040620918</v>
      </c>
      <c r="E54" s="4">
        <f t="shared" si="10"/>
        <v>318787.16252769995</v>
      </c>
      <c r="F54" s="8">
        <f t="shared" si="11"/>
        <v>1</v>
      </c>
      <c r="G54" s="8" t="str">
        <f t="shared" si="12"/>
        <v>0 02 59.96</v>
      </c>
      <c r="H54" s="9">
        <f t="shared" si="13"/>
        <v>1.0000113507503243</v>
      </c>
      <c r="I54" s="5" t="str">
        <f t="shared" si="14"/>
        <v>-21 58 34.96494</v>
      </c>
      <c r="J54" s="5" t="str">
        <f t="shared" si="15"/>
        <v>113 55 59.10748</v>
      </c>
      <c r="K54" s="10">
        <f t="shared" si="16"/>
        <v>1.0000113507503243</v>
      </c>
      <c r="L54" s="11" t="str">
        <f t="shared" si="17"/>
        <v>0 02 59.96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 t="shared" si="9"/>
        <v>44921.857218475154</v>
      </c>
      <c r="E55" s="4">
        <f t="shared" si="10"/>
        <v>165116.39560358413</v>
      </c>
      <c r="F55" s="8">
        <f t="shared" si="11"/>
        <v>1</v>
      </c>
      <c r="G55" s="8" t="str">
        <f t="shared" si="12"/>
        <v>0 01 30.13</v>
      </c>
      <c r="H55" s="9">
        <f t="shared" si="13"/>
        <v>1.0000163180925641</v>
      </c>
      <c r="I55" s="5" t="str">
        <f t="shared" si="14"/>
        <v>-28 46 46.23571</v>
      </c>
      <c r="J55" s="5" t="str">
        <f t="shared" si="15"/>
        <v>114 36 52.78073</v>
      </c>
      <c r="K55" s="10">
        <f t="shared" si="16"/>
        <v>1.0000163180925643</v>
      </c>
      <c r="L55" s="11" t="str">
        <f t="shared" si="17"/>
        <v>0 01 30.13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 t="shared" si="9"/>
        <v>65531.01757415598</v>
      </c>
      <c r="E56" s="4">
        <f t="shared" si="10"/>
        <v>585938.42073083529</v>
      </c>
      <c r="F56" s="8">
        <f t="shared" si="11"/>
        <v>1</v>
      </c>
      <c r="G56" s="8" t="str">
        <f t="shared" si="12"/>
        <v>0 01 46.72</v>
      </c>
      <c r="H56" s="9">
        <f t="shared" si="13"/>
        <v>1.0000573771853469</v>
      </c>
      <c r="I56" s="5" t="str">
        <f t="shared" si="14"/>
        <v>-30 50 44.46118</v>
      </c>
      <c r="J56" s="5" t="str">
        <f t="shared" si="15"/>
        <v>121 30 28.14346</v>
      </c>
      <c r="K56" s="10">
        <f t="shared" si="16"/>
        <v>1.0000573771853469</v>
      </c>
      <c r="L56" s="11" t="str">
        <f t="shared" si="17"/>
        <v>0 01 46.72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 t="shared" si="9"/>
        <v>58836.411026246111</v>
      </c>
      <c r="E57" s="4">
        <f t="shared" si="10"/>
        <v>196710.65789605444</v>
      </c>
      <c r="F57" s="8">
        <f t="shared" si="11"/>
        <v>1</v>
      </c>
      <c r="G57" s="8" t="str">
        <f t="shared" si="12"/>
        <v>0 02 46.84</v>
      </c>
      <c r="H57" s="9">
        <f t="shared" si="13"/>
        <v>1.000010962865636</v>
      </c>
      <c r="I57" s="5" t="str">
        <f t="shared" si="14"/>
        <v>-30 17 56.17927</v>
      </c>
      <c r="J57" s="5" t="str">
        <f t="shared" si="15"/>
        <v>115 04 30.68762</v>
      </c>
      <c r="K57" s="10">
        <f t="shared" si="16"/>
        <v>1.0000109628656362</v>
      </c>
      <c r="L57" s="11" t="str">
        <f t="shared" si="17"/>
        <v>0 02 46.84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 t="shared" si="9"/>
        <v>38356.07942706444</v>
      </c>
      <c r="E58" s="4">
        <f t="shared" si="10"/>
        <v>156032.52059195796</v>
      </c>
      <c r="F58" s="8">
        <f t="shared" si="11"/>
        <v>1</v>
      </c>
      <c r="G58" s="8" t="str">
        <f t="shared" si="12"/>
        <v>0 02 22.51</v>
      </c>
      <c r="H58" s="9">
        <f t="shared" si="13"/>
        <v>1.0000056748155297</v>
      </c>
      <c r="I58" s="5" t="str">
        <f t="shared" si="14"/>
        <v>-20 44 13.05506</v>
      </c>
      <c r="J58" s="5" t="str">
        <f t="shared" si="15"/>
        <v>116 49 17.52917</v>
      </c>
      <c r="K58" s="10">
        <f t="shared" si="16"/>
        <v>1.0000056748155297</v>
      </c>
      <c r="L58" s="11" t="str">
        <f t="shared" si="17"/>
        <v>0 02 22.51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 t="shared" si="9"/>
        <v>54268.040440640536</v>
      </c>
      <c r="E59" s="4">
        <f t="shared" si="10"/>
        <v>242676.07162687462</v>
      </c>
      <c r="F59" s="8">
        <f t="shared" si="11"/>
        <v>1</v>
      </c>
      <c r="G59" s="8" t="str">
        <f t="shared" si="12"/>
        <v>0 00 39.28</v>
      </c>
      <c r="H59" s="9">
        <f t="shared" si="13"/>
        <v>1.0000142251720643</v>
      </c>
      <c r="I59" s="5" t="str">
        <f t="shared" si="14"/>
        <v>-15 53 18.40697</v>
      </c>
      <c r="J59" s="5" t="str">
        <f t="shared" si="15"/>
        <v>128 47 23.47014</v>
      </c>
      <c r="K59" s="10">
        <f t="shared" si="16"/>
        <v>1.0000142251720643</v>
      </c>
      <c r="L59" s="11" t="str">
        <f t="shared" si="17"/>
        <v>0 00 39.28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 t="shared" si="9"/>
        <v>46738.900746441388</v>
      </c>
      <c r="E60" s="4">
        <f t="shared" si="10"/>
        <v>216606.33846106939</v>
      </c>
      <c r="F60" s="8">
        <f t="shared" si="11"/>
        <v>1</v>
      </c>
      <c r="G60" s="8" t="str">
        <f t="shared" si="12"/>
        <v>0 01 03.36</v>
      </c>
      <c r="H60" s="9">
        <f t="shared" si="13"/>
        <v>1.0000081311228148</v>
      </c>
      <c r="I60" s="5" t="str">
        <f t="shared" si="14"/>
        <v>-31 01 17.64914</v>
      </c>
      <c r="J60" s="5" t="str">
        <f t="shared" si="15"/>
        <v>115 19 57.04730</v>
      </c>
      <c r="K60" s="10">
        <f t="shared" si="16"/>
        <v>1.0000081311228146</v>
      </c>
      <c r="L60" s="11" t="str">
        <f t="shared" si="17"/>
        <v>0 01 03.36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 t="shared" si="9"/>
        <v>46722.381035457052</v>
      </c>
      <c r="E61" s="4">
        <f t="shared" si="10"/>
        <v>289087.04438691819</v>
      </c>
      <c r="F61" s="8">
        <f t="shared" si="11"/>
        <v>1</v>
      </c>
      <c r="G61" s="8" t="str">
        <f t="shared" si="12"/>
        <v>0 01 11.35</v>
      </c>
      <c r="H61" s="9">
        <f t="shared" si="13"/>
        <v>1.0000141323709029</v>
      </c>
      <c r="I61" s="5" t="str">
        <f t="shared" si="14"/>
        <v>-33 58 29.07011</v>
      </c>
      <c r="J61" s="5" t="str">
        <f t="shared" si="15"/>
        <v>115 03 52.31910</v>
      </c>
      <c r="K61" s="10">
        <f t="shared" si="16"/>
        <v>1.0000141323709026</v>
      </c>
      <c r="L61" s="11" t="str">
        <f t="shared" si="17"/>
        <v>0 01 11.35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 t="shared" si="9"/>
        <v>44915.953467530002</v>
      </c>
      <c r="E62" s="4">
        <f t="shared" si="10"/>
        <v>280083.6958647659</v>
      </c>
      <c r="F62" s="8">
        <f t="shared" si="11"/>
        <v>1</v>
      </c>
      <c r="G62" s="8" t="str">
        <f t="shared" si="12"/>
        <v>0 01 38.49</v>
      </c>
      <c r="H62" s="9">
        <f t="shared" si="13"/>
        <v>1.000006297917527</v>
      </c>
      <c r="I62" s="5" t="str">
        <f t="shared" si="14"/>
        <v>-31 48 07.09684</v>
      </c>
      <c r="J62" s="5" t="str">
        <f t="shared" si="15"/>
        <v>115 53 06.88632</v>
      </c>
      <c r="K62" s="10">
        <f t="shared" si="16"/>
        <v>1.000006297917527</v>
      </c>
      <c r="L62" s="11" t="str">
        <f t="shared" si="17"/>
        <v>0 01 38.49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 t="shared" si="9"/>
        <v>42893.762758887118</v>
      </c>
      <c r="E63" s="4">
        <f t="shared" si="10"/>
        <v>144175.24611698091</v>
      </c>
      <c r="F63" s="8">
        <f t="shared" si="11"/>
        <v>1</v>
      </c>
      <c r="G63" s="8" t="str">
        <f t="shared" si="12"/>
        <v>0 01 25.40</v>
      </c>
      <c r="H63" s="9">
        <f t="shared" si="13"/>
        <v>1.0000046238366045</v>
      </c>
      <c r="I63" s="5" t="str">
        <f t="shared" si="14"/>
        <v>-20 23 32.85711</v>
      </c>
      <c r="J63" s="5" t="str">
        <f t="shared" si="15"/>
        <v>118 30 54.92383</v>
      </c>
      <c r="K63" s="10">
        <f t="shared" si="16"/>
        <v>1.0000046238366045</v>
      </c>
      <c r="L63" s="11" t="str">
        <f t="shared" si="17"/>
        <v>0 01 25.40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 t="shared" ref="D4:D67" si="0">grideasting(B4,C4,A4)</f>
        <v>51701.513587587891</v>
      </c>
      <c r="E4" s="26">
        <f t="shared" ref="E4:E67" si="1">gridnorthing(B4,C4,A4)</f>
        <v>358852.96218406362</v>
      </c>
      <c r="F4" s="27">
        <f t="shared" ref="F4:F67" si="2">gridzone(B4,C4,A4)</f>
        <v>1</v>
      </c>
      <c r="G4" s="27" t="str">
        <f t="shared" ref="G4:G67" si="3">GridGridCon(B4,C4,A4)</f>
        <v>0 00 33.74</v>
      </c>
      <c r="H4" s="28">
        <f t="shared" ref="H4:H67" si="4">GridPntScleFact(B4,C4,A4)</f>
        <v>1.0000317756914197</v>
      </c>
      <c r="I4" s="29" t="str">
        <f t="shared" ref="I4:I67" si="5">datumlat(D4,E4,F4,A4)</f>
        <v>-31 32 30.16061</v>
      </c>
      <c r="J4" s="29" t="str">
        <f t="shared" ref="J4:J67" si="6">datumlong(D4,E4,F4,A4)</f>
        <v>116 26 04.50344</v>
      </c>
      <c r="K4" s="30">
        <f t="shared" ref="K4:K67" si="7">DatumPntScle(D4,E4,F4,A4)</f>
        <v>1.0000317756914199</v>
      </c>
      <c r="L4" s="31" t="str">
        <f t="shared" ref="L4:L67" si="8">DatumGridConv(D4,E4,F4,A4)</f>
        <v>0 00 33.74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 t="shared" si="0"/>
        <v>55043.756763615107</v>
      </c>
      <c r="E5" s="4">
        <f t="shared" si="1"/>
        <v>303789.42435495835</v>
      </c>
      <c r="F5" s="8">
        <f t="shared" si="2"/>
        <v>1</v>
      </c>
      <c r="G5" s="8" t="str">
        <f t="shared" si="3"/>
        <v>0 01 26.06</v>
      </c>
      <c r="H5" s="9">
        <f t="shared" si="4"/>
        <v>1.0000279438535877</v>
      </c>
      <c r="I5" s="5" t="str">
        <f t="shared" si="5"/>
        <v>-27 50 04.94948</v>
      </c>
      <c r="J5" s="5" t="str">
        <f t="shared" si="6"/>
        <v>114 43 34.31363</v>
      </c>
      <c r="K5" s="10">
        <f t="shared" si="7"/>
        <v>1.0000279438535875</v>
      </c>
      <c r="L5" s="11" t="str">
        <f t="shared" si="8"/>
        <v>0 01 26.06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 t="shared" si="0"/>
        <v>54424.677302602795</v>
      </c>
      <c r="E6" s="4">
        <f t="shared" si="1"/>
        <v>380083.77798051108</v>
      </c>
      <c r="F6" s="8">
        <f t="shared" si="2"/>
        <v>1</v>
      </c>
      <c r="G6" s="8" t="str">
        <f t="shared" si="3"/>
        <v>0 01 18.10</v>
      </c>
      <c r="H6" s="9">
        <f t="shared" si="4"/>
        <v>1.0000310414971869</v>
      </c>
      <c r="I6" s="5" t="str">
        <f t="shared" si="5"/>
        <v>-28 38 38.55980</v>
      </c>
      <c r="J6" s="5" t="str">
        <f t="shared" si="6"/>
        <v>115 17 42.91508</v>
      </c>
      <c r="K6" s="10">
        <f t="shared" si="7"/>
        <v>1.0000310414971871</v>
      </c>
      <c r="L6" s="11" t="str">
        <f t="shared" si="8"/>
        <v>0 01 18.10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 t="shared" si="0"/>
        <v>39837.840785939639</v>
      </c>
      <c r="E7" s="4">
        <f t="shared" si="1"/>
        <v>320383.02117316471</v>
      </c>
      <c r="F7" s="8">
        <f t="shared" si="2"/>
        <v>1</v>
      </c>
      <c r="G7" s="8" t="str">
        <f t="shared" si="3"/>
        <v>0 03 42.62</v>
      </c>
      <c r="H7" s="9">
        <f t="shared" si="4"/>
        <v>1.0000408723914107</v>
      </c>
      <c r="I7" s="5" t="str">
        <f t="shared" si="5"/>
        <v>-34 08 32.79757</v>
      </c>
      <c r="J7" s="5" t="str">
        <f t="shared" si="6"/>
        <v>118 12 23.35900</v>
      </c>
      <c r="K7" s="10">
        <f t="shared" si="7"/>
        <v>1.0000408723914107</v>
      </c>
      <c r="L7" s="11" t="str">
        <f t="shared" si="8"/>
        <v>0 03 42.62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 t="shared" si="0"/>
        <v>50444.718894004094</v>
      </c>
      <c r="E8" s="4">
        <f t="shared" si="1"/>
        <v>323972.0453732186</v>
      </c>
      <c r="F8" s="8">
        <f t="shared" si="2"/>
        <v>1</v>
      </c>
      <c r="G8" s="8" t="str">
        <f t="shared" si="3"/>
        <v>0 00 07.68</v>
      </c>
      <c r="H8" s="9">
        <f t="shared" si="4"/>
        <v>1.0000815324397301</v>
      </c>
      <c r="I8" s="5" t="str">
        <f t="shared" si="5"/>
        <v>-28 07 45.58800</v>
      </c>
      <c r="J8" s="5" t="str">
        <f t="shared" si="6"/>
        <v>119 03 20.29468</v>
      </c>
      <c r="K8" s="10">
        <f t="shared" si="7"/>
        <v>1.0000815324397301</v>
      </c>
      <c r="L8" s="11" t="str">
        <f t="shared" si="8"/>
        <v>0 00 07.68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 t="shared" si="0"/>
        <v>50486.642482036164</v>
      </c>
      <c r="E9" s="4">
        <f t="shared" si="1"/>
        <v>334632.56555761583</v>
      </c>
      <c r="F9" s="8">
        <f t="shared" si="2"/>
        <v>1</v>
      </c>
      <c r="G9" s="8" t="str">
        <f t="shared" si="3"/>
        <v>0 00 09.77</v>
      </c>
      <c r="H9" s="9">
        <f t="shared" si="4"/>
        <v>1.0000279929193416</v>
      </c>
      <c r="I9" s="5" t="str">
        <f t="shared" si="5"/>
        <v>-31 52 06.52613</v>
      </c>
      <c r="J9" s="5" t="str">
        <f t="shared" si="6"/>
        <v>116 48 58.51321</v>
      </c>
      <c r="K9" s="10">
        <f t="shared" si="7"/>
        <v>1.0000279929193416</v>
      </c>
      <c r="L9" s="11" t="str">
        <f t="shared" si="8"/>
        <v>0 00 09.77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 t="shared" si="0"/>
        <v>50529.904659905143</v>
      </c>
      <c r="E10" s="4">
        <f t="shared" si="1"/>
        <v>290732.28486699937</v>
      </c>
      <c r="F10" s="8">
        <f t="shared" si="2"/>
        <v>1</v>
      </c>
      <c r="G10" s="8" t="str">
        <f t="shared" si="3"/>
        <v>0 00 08.61</v>
      </c>
      <c r="H10" s="9">
        <f t="shared" si="4"/>
        <v>1.0000607634649323</v>
      </c>
      <c r="I10" s="5" t="str">
        <f t="shared" si="5"/>
        <v>-26 41 17.70698</v>
      </c>
      <c r="J10" s="5" t="str">
        <f t="shared" si="6"/>
        <v>126 08 02.16604</v>
      </c>
      <c r="K10" s="10">
        <f t="shared" si="7"/>
        <v>1.0000607634649323</v>
      </c>
      <c r="L10" s="11" t="str">
        <f t="shared" si="8"/>
        <v>0 00 08.61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 t="shared" si="0"/>
        <v>50829.923447380977</v>
      </c>
      <c r="E11" s="4">
        <f t="shared" si="1"/>
        <v>411767.83530558087</v>
      </c>
      <c r="F11" s="8">
        <f t="shared" si="2"/>
        <v>1</v>
      </c>
      <c r="G11" s="8" t="str">
        <f t="shared" si="3"/>
        <v>0 00 17.03</v>
      </c>
      <c r="H11" s="9">
        <f t="shared" si="4"/>
        <v>1.0000190184897433</v>
      </c>
      <c r="I11" s="5" t="str">
        <f t="shared" si="5"/>
        <v>-32 25 03.47765</v>
      </c>
      <c r="J11" s="5" t="str">
        <f t="shared" si="6"/>
        <v>123 53 31.76264</v>
      </c>
      <c r="K11" s="10">
        <f t="shared" si="7"/>
        <v>1.0000190184897433</v>
      </c>
      <c r="L11" s="11" t="str">
        <f t="shared" si="8"/>
        <v>0 00 17.03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 t="shared" si="0"/>
        <v>50586.44493777211</v>
      </c>
      <c r="E12" s="4">
        <f t="shared" si="1"/>
        <v>275707.2326887683</v>
      </c>
      <c r="F12" s="8">
        <f t="shared" si="2"/>
        <v>1</v>
      </c>
      <c r="G12" s="8" t="str">
        <f t="shared" si="3"/>
        <v>0 00 12.61</v>
      </c>
      <c r="H12" s="9">
        <f t="shared" si="4"/>
        <v>0.9999959242380777</v>
      </c>
      <c r="I12" s="5" t="str">
        <f t="shared" si="5"/>
        <v>-33 38 42.74045</v>
      </c>
      <c r="J12" s="5" t="str">
        <f t="shared" si="6"/>
        <v>115 26 22.75818</v>
      </c>
      <c r="K12" s="10">
        <f t="shared" si="7"/>
        <v>0.9999959242380777</v>
      </c>
      <c r="L12" s="11" t="str">
        <f t="shared" si="8"/>
        <v>0 00 12.61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 t="shared" si="0"/>
        <v>53171.001405746065</v>
      </c>
      <c r="E13" s="4">
        <f t="shared" si="1"/>
        <v>360306.78477061726</v>
      </c>
      <c r="F13" s="8">
        <f t="shared" si="2"/>
        <v>1</v>
      </c>
      <c r="G13" s="8" t="str">
        <f t="shared" si="3"/>
        <v>0 00 43.41</v>
      </c>
      <c r="H13" s="9">
        <f t="shared" si="4"/>
        <v>1.0001015641547761</v>
      </c>
      <c r="I13" s="5" t="str">
        <f t="shared" si="5"/>
        <v>-22 57 14.13709</v>
      </c>
      <c r="J13" s="5" t="str">
        <f t="shared" si="6"/>
        <v>117 56 03.29824</v>
      </c>
      <c r="K13" s="10">
        <f t="shared" si="7"/>
        <v>1.0001015641547761</v>
      </c>
      <c r="L13" s="11" t="str">
        <f t="shared" si="8"/>
        <v>0 00 43.41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 t="shared" si="0"/>
        <v>52843.04836493334</v>
      </c>
      <c r="E14" s="4">
        <f t="shared" si="1"/>
        <v>319821.81272623083</v>
      </c>
      <c r="F14" s="8">
        <f t="shared" si="2"/>
        <v>1</v>
      </c>
      <c r="G14" s="8" t="str">
        <f t="shared" si="3"/>
        <v>0 00 31.09</v>
      </c>
      <c r="H14" s="9">
        <f t="shared" si="4"/>
        <v>1.0000070598775124</v>
      </c>
      <c r="I14" s="5" t="str">
        <f t="shared" si="5"/>
        <v>-18 41 17.80217</v>
      </c>
      <c r="J14" s="5" t="str">
        <f t="shared" si="6"/>
        <v>121 57 25.02569</v>
      </c>
      <c r="K14" s="10">
        <f t="shared" si="7"/>
        <v>1.0000070598775124</v>
      </c>
      <c r="L14" s="11" t="str">
        <f t="shared" si="8"/>
        <v>0 00 31.09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 t="shared" si="0"/>
        <v>51409.332369508797</v>
      </c>
      <c r="E15" s="4">
        <f t="shared" si="1"/>
        <v>316519.21645826497</v>
      </c>
      <c r="F15" s="8">
        <f t="shared" si="2"/>
        <v>1</v>
      </c>
      <c r="G15" s="8" t="str">
        <f t="shared" si="3"/>
        <v>0 00 15.59</v>
      </c>
      <c r="H15" s="9">
        <f t="shared" si="4"/>
        <v>1.0000386145414315</v>
      </c>
      <c r="I15" s="5" t="str">
        <f t="shared" si="5"/>
        <v>-18 53 21.00908</v>
      </c>
      <c r="J15" s="5" t="str">
        <f t="shared" si="6"/>
        <v>126 08 05.15231</v>
      </c>
      <c r="K15" s="10">
        <f t="shared" si="7"/>
        <v>1.0000386145414313</v>
      </c>
      <c r="L15" s="11" t="str">
        <f t="shared" si="8"/>
        <v>0 00 15.59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 t="shared" si="0"/>
        <v>100722.62537961788</v>
      </c>
      <c r="E16" s="4">
        <f t="shared" si="1"/>
        <v>290958.83913754579</v>
      </c>
      <c r="F16" s="8">
        <f t="shared" si="2"/>
        <v>1</v>
      </c>
      <c r="G16" s="8" t="str">
        <f t="shared" si="3"/>
        <v>0 00 11.78</v>
      </c>
      <c r="H16" s="9">
        <f t="shared" si="4"/>
        <v>1.0000546564435009</v>
      </c>
      <c r="I16" s="5" t="str">
        <f t="shared" si="5"/>
        <v>-26 46 03.33703</v>
      </c>
      <c r="J16" s="5" t="str">
        <f t="shared" si="6"/>
        <v>116 35 26.15482</v>
      </c>
      <c r="K16" s="10">
        <f t="shared" si="7"/>
        <v>1.0000546564435009</v>
      </c>
      <c r="L16" s="11" t="str">
        <f t="shared" si="8"/>
        <v>0 00 11.78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 t="shared" si="0"/>
        <v>57674.129896488892</v>
      </c>
      <c r="E17" s="4">
        <f t="shared" si="1"/>
        <v>338776.2192309564</v>
      </c>
      <c r="F17" s="8">
        <f t="shared" si="2"/>
        <v>1</v>
      </c>
      <c r="G17" s="8" t="str">
        <f t="shared" si="3"/>
        <v>0 02 30.04</v>
      </c>
      <c r="H17" s="9">
        <f t="shared" si="4"/>
        <v>1.0000645960557943</v>
      </c>
      <c r="I17" s="5" t="str">
        <f t="shared" si="5"/>
        <v>-31 10 50.25562</v>
      </c>
      <c r="J17" s="5" t="str">
        <f t="shared" si="6"/>
        <v>120 21 49.80283</v>
      </c>
      <c r="K17" s="10">
        <f t="shared" si="7"/>
        <v>1.0000645960557943</v>
      </c>
      <c r="L17" s="11" t="str">
        <f t="shared" si="8"/>
        <v>0 02 30.04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 t="shared" si="0"/>
        <v>54143.292725345622</v>
      </c>
      <c r="E18" s="4">
        <f t="shared" si="1"/>
        <v>355296.424037233</v>
      </c>
      <c r="F18" s="8">
        <f t="shared" si="2"/>
        <v>1</v>
      </c>
      <c r="G18" s="8" t="str">
        <f t="shared" si="3"/>
        <v>0 01 14.96</v>
      </c>
      <c r="H18" s="9">
        <f t="shared" si="4"/>
        <v>1.0000423617304528</v>
      </c>
      <c r="I18" s="5" t="str">
        <f t="shared" si="5"/>
        <v>-29 14 46.60620</v>
      </c>
      <c r="J18" s="5" t="str">
        <f t="shared" si="6"/>
        <v>116 11 23.99770</v>
      </c>
      <c r="K18" s="10">
        <f t="shared" si="7"/>
        <v>1.0000423617304526</v>
      </c>
      <c r="L18" s="11" t="str">
        <f t="shared" si="8"/>
        <v>0 01 14.96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 t="shared" si="0"/>
        <v>50376.230712539225</v>
      </c>
      <c r="E19" s="4">
        <f t="shared" si="1"/>
        <v>292441.78177535674</v>
      </c>
      <c r="F19" s="8">
        <f t="shared" si="2"/>
        <v>1</v>
      </c>
      <c r="G19" s="8" t="str">
        <f t="shared" si="3"/>
        <v>0 00 08.32</v>
      </c>
      <c r="H19" s="9">
        <f t="shared" si="4"/>
        <v>1.0000110017439965</v>
      </c>
      <c r="I19" s="5" t="str">
        <f t="shared" si="5"/>
        <v>-34 23 43.26994</v>
      </c>
      <c r="J19" s="5" t="str">
        <f t="shared" si="6"/>
        <v>118 45 14.72918</v>
      </c>
      <c r="K19" s="10">
        <f t="shared" si="7"/>
        <v>1.0000110017439965</v>
      </c>
      <c r="L19" s="11" t="str">
        <f t="shared" si="8"/>
        <v>0 00 08.32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 t="shared" si="0"/>
        <v>53889.884183767295</v>
      </c>
      <c r="E20" s="4">
        <f t="shared" si="1"/>
        <v>370490.68026720639</v>
      </c>
      <c r="F20" s="8">
        <f t="shared" si="2"/>
        <v>1</v>
      </c>
      <c r="G20" s="8" t="str">
        <f t="shared" si="3"/>
        <v>0 01 23.78</v>
      </c>
      <c r="H20" s="9">
        <f t="shared" si="4"/>
        <v>1.0000344364519158</v>
      </c>
      <c r="I20" s="5" t="str">
        <f t="shared" si="5"/>
        <v>-33 41 27.38944</v>
      </c>
      <c r="J20" s="5" t="str">
        <f t="shared" si="6"/>
        <v>116 11 31.02893</v>
      </c>
      <c r="K20" s="10">
        <f t="shared" si="7"/>
        <v>1.000034436451916</v>
      </c>
      <c r="L20" s="11" t="str">
        <f t="shared" si="8"/>
        <v>0 01 23.78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 t="shared" si="0"/>
        <v>54594.420309098634</v>
      </c>
      <c r="E21" s="4">
        <f t="shared" si="1"/>
        <v>323102.62586640008</v>
      </c>
      <c r="F21" s="8">
        <f t="shared" si="2"/>
        <v>1</v>
      </c>
      <c r="G21" s="8" t="str">
        <f t="shared" si="3"/>
        <v>0 01 33.89</v>
      </c>
      <c r="H21" s="9">
        <f t="shared" si="4"/>
        <v>1.0000415801834874</v>
      </c>
      <c r="I21" s="5" t="str">
        <f t="shared" si="5"/>
        <v>-32 18 52.89260</v>
      </c>
      <c r="J21" s="5" t="str">
        <f t="shared" si="6"/>
        <v>117 02 55.63352</v>
      </c>
      <c r="K21" s="10">
        <f t="shared" si="7"/>
        <v>1.0000415801834874</v>
      </c>
      <c r="L21" s="11" t="str">
        <f t="shared" si="8"/>
        <v>0 01 33.89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 t="shared" si="0"/>
        <v>51749.329253254007</v>
      </c>
      <c r="E22" s="4">
        <f t="shared" si="1"/>
        <v>317183.96485735732</v>
      </c>
      <c r="F22" s="8">
        <f t="shared" si="2"/>
        <v>1</v>
      </c>
      <c r="G22" s="8" t="str">
        <f t="shared" si="3"/>
        <v>0 00 18.29</v>
      </c>
      <c r="H22" s="9">
        <f t="shared" si="4"/>
        <v>1.0000030178172743</v>
      </c>
      <c r="I22" s="5" t="str">
        <f t="shared" si="5"/>
        <v>-17 55 34.19951</v>
      </c>
      <c r="J22" s="5" t="str">
        <f t="shared" si="6"/>
        <v>122 20 59.43962</v>
      </c>
      <c r="K22" s="10">
        <f t="shared" si="7"/>
        <v>1.0000030178172743</v>
      </c>
      <c r="L22" s="11" t="str">
        <f t="shared" si="8"/>
        <v>0 00 18.29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 t="shared" si="0"/>
        <v>53406.667651516502</v>
      </c>
      <c r="E23" s="4">
        <f t="shared" si="1"/>
        <v>327169.45763601875</v>
      </c>
      <c r="F23" s="8">
        <f t="shared" si="2"/>
        <v>1</v>
      </c>
      <c r="G23" s="8" t="str">
        <f t="shared" si="3"/>
        <v>0 01 09.03</v>
      </c>
      <c r="H23" s="9">
        <f t="shared" si="4"/>
        <v>1.0000431930529983</v>
      </c>
      <c r="I23" s="5" t="str">
        <f t="shared" si="5"/>
        <v>-32 05 51.42361</v>
      </c>
      <c r="J23" s="5" t="str">
        <f t="shared" si="6"/>
        <v>122 09 09.91948</v>
      </c>
      <c r="K23" s="10">
        <f t="shared" si="7"/>
        <v>1.0000431930529985</v>
      </c>
      <c r="L23" s="11" t="str">
        <f t="shared" si="8"/>
        <v>0 01 09.03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 t="shared" si="0"/>
        <v>54403.418222676963</v>
      </c>
      <c r="E24" s="4">
        <f t="shared" si="1"/>
        <v>328134.51642138464</v>
      </c>
      <c r="F24" s="8">
        <f t="shared" si="2"/>
        <v>1</v>
      </c>
      <c r="G24" s="8" t="str">
        <f t="shared" si="3"/>
        <v>0 01 25.81</v>
      </c>
      <c r="H24" s="9">
        <f t="shared" si="4"/>
        <v>1.0000625890560781</v>
      </c>
      <c r="I24" s="5" t="str">
        <f t="shared" si="5"/>
        <v>-31 05 46.64260</v>
      </c>
      <c r="J24" s="5" t="str">
        <f t="shared" si="6"/>
        <v>120 54 46.14214</v>
      </c>
      <c r="K24" s="10">
        <f t="shared" si="7"/>
        <v>1.0000625890560781</v>
      </c>
      <c r="L24" s="11" t="str">
        <f t="shared" si="8"/>
        <v>0 01 25.81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 t="shared" si="0"/>
        <v>51387.50428173301</v>
      </c>
      <c r="E25" s="4">
        <f t="shared" si="1"/>
        <v>331455.73279795353</v>
      </c>
      <c r="F25" s="8">
        <f t="shared" si="2"/>
        <v>1</v>
      </c>
      <c r="G25" s="8" t="str">
        <f t="shared" si="3"/>
        <v>0 00 13.97</v>
      </c>
      <c r="H25" s="9">
        <f t="shared" si="4"/>
        <v>1.0000264337926204</v>
      </c>
      <c r="I25" s="5" t="str">
        <f t="shared" si="5"/>
        <v>-17 17 59.52048</v>
      </c>
      <c r="J25" s="5" t="str">
        <f t="shared" si="6"/>
        <v>122 29 16.98191</v>
      </c>
      <c r="K25" s="10">
        <f t="shared" si="7"/>
        <v>1.0000264337926204</v>
      </c>
      <c r="L25" s="11" t="str">
        <f t="shared" si="8"/>
        <v>0 00 13.97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 t="shared" si="0"/>
        <v>51469.875792093109</v>
      </c>
      <c r="E26" s="4">
        <f t="shared" si="1"/>
        <v>344312.78675619094</v>
      </c>
      <c r="F26" s="8">
        <f t="shared" si="2"/>
        <v>1</v>
      </c>
      <c r="G26" s="8" t="str">
        <f t="shared" si="3"/>
        <v>0 00 25.36</v>
      </c>
      <c r="H26" s="9">
        <f t="shared" si="4"/>
        <v>1.0000704366525772</v>
      </c>
      <c r="I26" s="5" t="str">
        <f t="shared" si="5"/>
        <v>-28 05 58.19424</v>
      </c>
      <c r="J26" s="5" t="str">
        <f t="shared" si="6"/>
        <v>118 24 09.84254</v>
      </c>
      <c r="K26" s="10">
        <f t="shared" si="7"/>
        <v>1.0000704366525774</v>
      </c>
      <c r="L26" s="11" t="str">
        <f t="shared" si="8"/>
        <v>0 00 25.36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 t="shared" si="0"/>
        <v>52235.021941217201</v>
      </c>
      <c r="E27" s="4">
        <f t="shared" si="1"/>
        <v>358356.69080691133</v>
      </c>
      <c r="F27" s="8">
        <f t="shared" si="2"/>
        <v>1</v>
      </c>
      <c r="G27" s="8" t="str">
        <f t="shared" si="3"/>
        <v>0 00 30.63</v>
      </c>
      <c r="H27" s="9">
        <f t="shared" si="4"/>
        <v>1.0000506516814702</v>
      </c>
      <c r="I27" s="5" t="str">
        <f t="shared" si="5"/>
        <v>-22 58 28.36081</v>
      </c>
      <c r="J27" s="5" t="str">
        <f t="shared" si="6"/>
        <v>117 01 18.46240</v>
      </c>
      <c r="K27" s="10">
        <f t="shared" si="7"/>
        <v>1.0000506516814704</v>
      </c>
      <c r="L27" s="11" t="str">
        <f t="shared" si="8"/>
        <v>0 00 30.63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 t="shared" si="0"/>
        <v>50196.314598546749</v>
      </c>
      <c r="E28" s="4">
        <f t="shared" si="1"/>
        <v>349275.71097389609</v>
      </c>
      <c r="F28" s="8">
        <f t="shared" si="2"/>
        <v>1</v>
      </c>
      <c r="G28" s="8" t="str">
        <f t="shared" si="3"/>
        <v>0 00 02.58</v>
      </c>
      <c r="H28" s="9">
        <f t="shared" si="4"/>
        <v>1.0000666304759362</v>
      </c>
      <c r="I28" s="5" t="str">
        <f t="shared" si="5"/>
        <v>-22 09 04.90381</v>
      </c>
      <c r="J28" s="5" t="str">
        <f t="shared" si="6"/>
        <v>118 51 36.85090</v>
      </c>
      <c r="K28" s="10">
        <f t="shared" si="7"/>
        <v>1.0000666304759362</v>
      </c>
      <c r="L28" s="11" t="str">
        <f t="shared" si="8"/>
        <v>0 00 02.58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 t="shared" si="0"/>
        <v>50269.45750381457</v>
      </c>
      <c r="E29" s="4">
        <f t="shared" si="1"/>
        <v>336961.20535049587</v>
      </c>
      <c r="F29" s="8">
        <f t="shared" si="2"/>
        <v>1</v>
      </c>
      <c r="G29" s="8" t="str">
        <f t="shared" si="3"/>
        <v>0 00 03.44</v>
      </c>
      <c r="H29" s="9">
        <f t="shared" si="4"/>
        <v>1.0000460408967591</v>
      </c>
      <c r="I29" s="5" t="str">
        <f t="shared" si="5"/>
        <v>-21 32 26.05193</v>
      </c>
      <c r="J29" s="5" t="str">
        <f t="shared" si="6"/>
        <v>117 20 09.36373</v>
      </c>
      <c r="K29" s="10">
        <f t="shared" si="7"/>
        <v>1.0000460408967591</v>
      </c>
      <c r="L29" s="11" t="str">
        <f t="shared" si="8"/>
        <v>0 00 03.44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 t="shared" si="0"/>
        <v>50525.298006614285</v>
      </c>
      <c r="E30" s="4">
        <f t="shared" si="1"/>
        <v>377666.54810246592</v>
      </c>
      <c r="F30" s="8">
        <f t="shared" si="2"/>
        <v>1</v>
      </c>
      <c r="G30" s="8" t="str">
        <f t="shared" si="3"/>
        <v>0 00 09.81</v>
      </c>
      <c r="H30" s="9">
        <f t="shared" si="4"/>
        <v>1.0000350434028213</v>
      </c>
      <c r="I30" s="5" t="str">
        <f t="shared" si="5"/>
        <v>-30 01 08.31659</v>
      </c>
      <c r="J30" s="5" t="str">
        <f t="shared" si="6"/>
        <v>115 55 19.60244</v>
      </c>
      <c r="K30" s="10">
        <f t="shared" si="7"/>
        <v>1.0000350434028213</v>
      </c>
      <c r="L30" s="11" t="str">
        <f t="shared" si="8"/>
        <v>0 00 09.81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 t="shared" si="0"/>
        <v>50421.454963550539</v>
      </c>
      <c r="E31" s="4">
        <f t="shared" si="1"/>
        <v>366081.13855759241</v>
      </c>
      <c r="F31" s="8">
        <f t="shared" si="2"/>
        <v>1</v>
      </c>
      <c r="G31" s="8" t="str">
        <f t="shared" si="3"/>
        <v>0 00 08.63</v>
      </c>
      <c r="H31" s="9">
        <f t="shared" si="4"/>
        <v>1.0000407021893492</v>
      </c>
      <c r="I31" s="5" t="str">
        <f t="shared" si="5"/>
        <v>-32 22 40.93284</v>
      </c>
      <c r="J31" s="5" t="str">
        <f t="shared" si="6"/>
        <v>117 35 16.12244</v>
      </c>
      <c r="K31" s="10">
        <f t="shared" si="7"/>
        <v>1.0000407021893492</v>
      </c>
      <c r="L31" s="11" t="str">
        <f t="shared" si="8"/>
        <v>0 00 08.63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 t="shared" si="0"/>
        <v>53521.18439614962</v>
      </c>
      <c r="E32" s="4">
        <f t="shared" si="1"/>
        <v>314052.17322937818</v>
      </c>
      <c r="F32" s="8">
        <f t="shared" si="2"/>
        <v>1</v>
      </c>
      <c r="G32" s="8" t="str">
        <f t="shared" si="3"/>
        <v>0 01 01.13</v>
      </c>
      <c r="H32" s="9">
        <f t="shared" si="4"/>
        <v>1.0000770730067519</v>
      </c>
      <c r="I32" s="5" t="str">
        <f t="shared" si="5"/>
        <v>-28 14 45.69922</v>
      </c>
      <c r="J32" s="5" t="str">
        <f t="shared" si="6"/>
        <v>122 43 09.15838</v>
      </c>
      <c r="K32" s="10">
        <f t="shared" si="7"/>
        <v>1.0000770730067521</v>
      </c>
      <c r="L32" s="11" t="str">
        <f t="shared" si="8"/>
        <v>0 01 01.13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 t="shared" si="0"/>
        <v>50703.356817401283</v>
      </c>
      <c r="E33" s="4">
        <f t="shared" si="1"/>
        <v>466148.69803864788</v>
      </c>
      <c r="F33" s="8">
        <f t="shared" si="2"/>
        <v>1</v>
      </c>
      <c r="G33" s="8" t="str">
        <f t="shared" si="3"/>
        <v>0 00 15.17</v>
      </c>
      <c r="H33" s="9">
        <f t="shared" si="4"/>
        <v>1.0000358260959379</v>
      </c>
      <c r="I33" s="5" t="str">
        <f t="shared" si="5"/>
        <v>-33 43 48.14537</v>
      </c>
      <c r="J33" s="5" t="str">
        <f t="shared" si="6"/>
        <v>117 31 27.32092</v>
      </c>
      <c r="K33" s="10">
        <f t="shared" si="7"/>
        <v>1.0000358260959379</v>
      </c>
      <c r="L33" s="11" t="str">
        <f t="shared" si="8"/>
        <v>0 00 15.17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 t="shared" si="0"/>
        <v>51792.649057753224</v>
      </c>
      <c r="E34" s="4">
        <f t="shared" si="1"/>
        <v>318760.87299047643</v>
      </c>
      <c r="F34" s="8">
        <f t="shared" si="2"/>
        <v>1</v>
      </c>
      <c r="G34" s="8" t="str">
        <f t="shared" si="3"/>
        <v>0 00 30.36</v>
      </c>
      <c r="H34" s="9">
        <f t="shared" si="4"/>
        <v>1.0000620696468643</v>
      </c>
      <c r="I34" s="5" t="str">
        <f t="shared" si="5"/>
        <v>-27 39 45.26053</v>
      </c>
      <c r="J34" s="5" t="str">
        <f t="shared" si="6"/>
        <v>117 55 57.97348</v>
      </c>
      <c r="K34" s="10">
        <f t="shared" si="7"/>
        <v>1.0000620696468641</v>
      </c>
      <c r="L34" s="11" t="str">
        <f t="shared" si="8"/>
        <v>0 00 30.36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 t="shared" si="0"/>
        <v>50585.795937387506</v>
      </c>
      <c r="E35" s="4">
        <f t="shared" si="1"/>
        <v>339198.87394601386</v>
      </c>
      <c r="F35" s="8">
        <f t="shared" si="2"/>
        <v>1</v>
      </c>
      <c r="G35" s="8" t="str">
        <f t="shared" si="3"/>
        <v>0 00 11.80</v>
      </c>
      <c r="H35" s="9">
        <f t="shared" si="4"/>
        <v>1.0000444842300309</v>
      </c>
      <c r="I35" s="5" t="str">
        <f t="shared" si="5"/>
        <v>-31 56 38.43388</v>
      </c>
      <c r="J35" s="5" t="str">
        <f t="shared" si="6"/>
        <v>123 08 06.30312</v>
      </c>
      <c r="K35" s="10">
        <f t="shared" si="7"/>
        <v>1.0000444842300309</v>
      </c>
      <c r="L35" s="11" t="str">
        <f t="shared" si="8"/>
        <v>0 00 11.80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 t="shared" si="0"/>
        <v>50246.277835722503</v>
      </c>
      <c r="E36" s="4">
        <f t="shared" si="1"/>
        <v>317904.80818530079</v>
      </c>
      <c r="F36" s="8">
        <f t="shared" si="2"/>
        <v>1</v>
      </c>
      <c r="G36" s="8" t="str">
        <f t="shared" si="3"/>
        <v>0 00 04.74</v>
      </c>
      <c r="H36" s="9">
        <f t="shared" si="4"/>
        <v>1.0000320507478446</v>
      </c>
      <c r="I36" s="5" t="str">
        <f t="shared" si="5"/>
        <v>-30 47 17.85844</v>
      </c>
      <c r="J36" s="5" t="str">
        <f t="shared" si="6"/>
        <v>115 37 39.26266</v>
      </c>
      <c r="K36" s="10">
        <f t="shared" si="7"/>
        <v>1.0000320507478446</v>
      </c>
      <c r="L36" s="11" t="str">
        <f t="shared" si="8"/>
        <v>0 00 04.74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 t="shared" si="0"/>
        <v>51186.962692606023</v>
      </c>
      <c r="E37" s="4">
        <f t="shared" si="1"/>
        <v>346769.3387664021</v>
      </c>
      <c r="F37" s="8">
        <f t="shared" si="2"/>
        <v>1</v>
      </c>
      <c r="G37" s="8" t="str">
        <f t="shared" si="3"/>
        <v>0 00 20.32</v>
      </c>
      <c r="H37" s="9">
        <f t="shared" si="4"/>
        <v>1.0000661673807734</v>
      </c>
      <c r="I37" s="5" t="str">
        <f t="shared" si="5"/>
        <v>-27 55 10.37532</v>
      </c>
      <c r="J37" s="5" t="str">
        <f t="shared" si="6"/>
        <v>120 04 25.40723</v>
      </c>
      <c r="K37" s="10">
        <f t="shared" si="7"/>
        <v>1.0000661673807731</v>
      </c>
      <c r="L37" s="11" t="str">
        <f t="shared" si="8"/>
        <v>0 00 20.32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 t="shared" si="0"/>
        <v>52692.781706663627</v>
      </c>
      <c r="E38" s="4">
        <f t="shared" si="1"/>
        <v>358620.02377226017</v>
      </c>
      <c r="F38" s="8">
        <f t="shared" si="2"/>
        <v>1</v>
      </c>
      <c r="G38" s="8" t="str">
        <f t="shared" si="3"/>
        <v>0 00 27.54</v>
      </c>
      <c r="H38" s="9">
        <f t="shared" si="4"/>
        <v>1.0000040196130087</v>
      </c>
      <c r="I38" s="5" t="str">
        <f t="shared" si="5"/>
        <v>-17 33 06.35134</v>
      </c>
      <c r="J38" s="5" t="str">
        <f t="shared" si="6"/>
        <v>123 42 31.30675</v>
      </c>
      <c r="K38" s="10">
        <f t="shared" si="7"/>
        <v>1.0000040196130087</v>
      </c>
      <c r="L38" s="11" t="str">
        <f t="shared" si="8"/>
        <v>0 00 27.54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 t="shared" si="0"/>
        <v>54705.26713527563</v>
      </c>
      <c r="E39" s="4">
        <f t="shared" si="1"/>
        <v>351234.10108657135</v>
      </c>
      <c r="F39" s="8">
        <f t="shared" si="2"/>
        <v>1</v>
      </c>
      <c r="G39" s="8" t="str">
        <f t="shared" si="3"/>
        <v>0 01 10.56</v>
      </c>
      <c r="H39" s="9">
        <f t="shared" si="4"/>
        <v>1.0001001332712571</v>
      </c>
      <c r="I39" s="5" t="str">
        <f t="shared" si="5"/>
        <v>-24 53 27.92720</v>
      </c>
      <c r="J39" s="5" t="str">
        <f t="shared" si="6"/>
        <v>129 09 35.63118</v>
      </c>
      <c r="K39" s="10">
        <f t="shared" si="7"/>
        <v>1.0001001332712571</v>
      </c>
      <c r="L39" s="11" t="str">
        <f t="shared" si="8"/>
        <v>0 01 10.56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 t="shared" si="0"/>
        <v>51347.092828456938</v>
      </c>
      <c r="E40" s="4">
        <f t="shared" si="1"/>
        <v>696638.60074301157</v>
      </c>
      <c r="F40" s="8">
        <f t="shared" si="2"/>
        <v>1</v>
      </c>
      <c r="G40" s="8" t="str">
        <f t="shared" si="3"/>
        <v>0 00 21.46</v>
      </c>
      <c r="H40" s="9">
        <f t="shared" si="4"/>
        <v>1.000084132393438</v>
      </c>
      <c r="I40" s="5" t="str">
        <f t="shared" si="5"/>
        <v>-26 14 14.02501</v>
      </c>
      <c r="J40" s="5" t="str">
        <f t="shared" si="6"/>
        <v>119 30 48.53214</v>
      </c>
      <c r="K40" s="10">
        <f t="shared" si="7"/>
        <v>1.0000841323934377</v>
      </c>
      <c r="L40" s="11" t="str">
        <f t="shared" si="8"/>
        <v>0 00 21.46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 t="shared" si="0"/>
        <v>58344.954634986614</v>
      </c>
      <c r="E41" s="4">
        <f t="shared" si="1"/>
        <v>697367.0940252454</v>
      </c>
      <c r="F41" s="8">
        <f t="shared" si="2"/>
        <v>1</v>
      </c>
      <c r="G41" s="8" t="str">
        <f t="shared" si="3"/>
        <v>0 02 40.36</v>
      </c>
      <c r="H41" s="9">
        <f t="shared" si="4"/>
        <v>1.000041948635449</v>
      </c>
      <c r="I41" s="5" t="str">
        <f t="shared" si="5"/>
        <v>-30 44 35.07328</v>
      </c>
      <c r="J41" s="5" t="str">
        <f t="shared" si="6"/>
        <v>116 56 13.70926</v>
      </c>
      <c r="K41" s="10">
        <f t="shared" si="7"/>
        <v>1.000041948635449</v>
      </c>
      <c r="L41" s="11" t="str">
        <f t="shared" si="8"/>
        <v>0 02 40.36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 t="shared" si="0"/>
        <v>50027.326663844702</v>
      </c>
      <c r="E42" s="4">
        <f t="shared" si="1"/>
        <v>375596.00580812851</v>
      </c>
      <c r="F42" s="8">
        <f t="shared" si="2"/>
        <v>1</v>
      </c>
      <c r="G42" s="8" t="str">
        <f t="shared" si="3"/>
        <v>0 00 00.25</v>
      </c>
      <c r="H42" s="9">
        <f t="shared" si="4"/>
        <v>1.0000248700092309</v>
      </c>
      <c r="I42" s="5" t="str">
        <f t="shared" si="5"/>
        <v>-15 35 26.83306</v>
      </c>
      <c r="J42" s="5" t="str">
        <f t="shared" si="6"/>
        <v>127 48 00.91724</v>
      </c>
      <c r="K42" s="10">
        <f t="shared" si="7"/>
        <v>1.0000248700092309</v>
      </c>
      <c r="L42" s="11" t="str">
        <f t="shared" si="8"/>
        <v>0 00 00.25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 t="shared" si="0"/>
        <v>50163.007596833428</v>
      </c>
      <c r="E43" s="4">
        <f t="shared" si="1"/>
        <v>249538.19379887637</v>
      </c>
      <c r="F43" s="8">
        <f t="shared" si="2"/>
        <v>1</v>
      </c>
      <c r="G43" s="8" t="str">
        <f t="shared" si="3"/>
        <v>0 00 03.66</v>
      </c>
      <c r="H43" s="9">
        <f t="shared" si="4"/>
        <v>1.0000127103273524</v>
      </c>
      <c r="I43" s="5" t="str">
        <f t="shared" si="5"/>
        <v>-34 46 55.34846</v>
      </c>
      <c r="J43" s="5" t="str">
        <f t="shared" si="6"/>
        <v>118 20 06.41126</v>
      </c>
      <c r="K43" s="10">
        <f t="shared" si="7"/>
        <v>1.0000127103273524</v>
      </c>
      <c r="L43" s="11" t="str">
        <f t="shared" si="8"/>
        <v>0 00 03.66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 t="shared" si="0"/>
        <v>52194.344749714364</v>
      </c>
      <c r="E44" s="4">
        <f t="shared" si="1"/>
        <v>363662.03991683898</v>
      </c>
      <c r="F44" s="8">
        <f t="shared" si="2"/>
        <v>1</v>
      </c>
      <c r="G44" s="8" t="str">
        <f t="shared" si="3"/>
        <v>0 00 27.40</v>
      </c>
      <c r="H44" s="9">
        <f t="shared" si="4"/>
        <v>1.0000415087852073</v>
      </c>
      <c r="I44" s="5" t="str">
        <f t="shared" si="5"/>
        <v>-21 07 08.03230</v>
      </c>
      <c r="J44" s="5" t="str">
        <f t="shared" si="6"/>
        <v>120 14 56.03694</v>
      </c>
      <c r="K44" s="10">
        <f t="shared" si="7"/>
        <v>1.0000415087852073</v>
      </c>
      <c r="L44" s="11" t="str">
        <f t="shared" si="8"/>
        <v>0 00 27.40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 t="shared" si="0"/>
        <v>54215.236768838593</v>
      </c>
      <c r="E45" s="4">
        <f t="shared" si="1"/>
        <v>323885.48163335258</v>
      </c>
      <c r="F45" s="8">
        <f t="shared" si="2"/>
        <v>1</v>
      </c>
      <c r="G45" s="8" t="str">
        <f t="shared" si="3"/>
        <v>0 00 39.22</v>
      </c>
      <c r="H45" s="9">
        <f t="shared" si="4"/>
        <v>1.0000627596196749</v>
      </c>
      <c r="I45" s="5" t="str">
        <f t="shared" si="5"/>
        <v>-16 03 26.89985</v>
      </c>
      <c r="J45" s="5" t="str">
        <f t="shared" si="6"/>
        <v>126 55 52.80722</v>
      </c>
      <c r="K45" s="10">
        <f t="shared" si="7"/>
        <v>1.0000627596196749</v>
      </c>
      <c r="L45" s="11" t="str">
        <f t="shared" si="8"/>
        <v>0 00 39.22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 t="shared" si="0"/>
        <v>52613.951768378851</v>
      </c>
      <c r="E46" s="4">
        <f t="shared" si="1"/>
        <v>350407.08191889804</v>
      </c>
      <c r="F46" s="8">
        <f t="shared" si="2"/>
        <v>1</v>
      </c>
      <c r="G46" s="8" t="str">
        <f t="shared" si="3"/>
        <v>0 00 52.00</v>
      </c>
      <c r="H46" s="9">
        <f t="shared" si="4"/>
        <v>1.0000059142349633</v>
      </c>
      <c r="I46" s="5" t="str">
        <f t="shared" si="5"/>
        <v>-31 37 07.30776</v>
      </c>
      <c r="J46" s="5" t="str">
        <f t="shared" si="6"/>
        <v>128 46 39.17752</v>
      </c>
      <c r="K46" s="10">
        <f t="shared" si="7"/>
        <v>1.0000059142349633</v>
      </c>
      <c r="L46" s="11" t="str">
        <f t="shared" si="8"/>
        <v>0 00 52.00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 t="shared" si="0"/>
        <v>56720.341319249834</v>
      </c>
      <c r="E47" s="4">
        <f t="shared" si="1"/>
        <v>526348.99114539707</v>
      </c>
      <c r="F47" s="8">
        <f t="shared" si="2"/>
        <v>1</v>
      </c>
      <c r="G47" s="8" t="str">
        <f t="shared" si="3"/>
        <v>0 01 33.38</v>
      </c>
      <c r="H47" s="9">
        <f t="shared" si="4"/>
        <v>1.0000062476634577</v>
      </c>
      <c r="I47" s="5" t="str">
        <f t="shared" si="5"/>
        <v>-23 15 45.86076</v>
      </c>
      <c r="J47" s="5" t="str">
        <f t="shared" si="6"/>
        <v>114 04 56.43833</v>
      </c>
      <c r="K47" s="10">
        <f t="shared" si="7"/>
        <v>1.0000062476634577</v>
      </c>
      <c r="L47" s="11" t="str">
        <f t="shared" si="8"/>
        <v>0 01 33.38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 t="shared" si="0"/>
        <v>54143.802116766768</v>
      </c>
      <c r="E48" s="4">
        <f t="shared" si="1"/>
        <v>359150.11834213929</v>
      </c>
      <c r="F48" s="8">
        <f t="shared" si="2"/>
        <v>1</v>
      </c>
      <c r="G48" s="8" t="str">
        <f t="shared" si="3"/>
        <v>0 01 29.17</v>
      </c>
      <c r="H48" s="9">
        <f t="shared" si="4"/>
        <v>1.000035821589051</v>
      </c>
      <c r="I48" s="5" t="str">
        <f t="shared" si="5"/>
        <v>-33 40 00.90757</v>
      </c>
      <c r="J48" s="5" t="str">
        <f t="shared" si="6"/>
        <v>119 33 40.84261</v>
      </c>
      <c r="K48" s="10">
        <f t="shared" si="7"/>
        <v>1.0000358215890508</v>
      </c>
      <c r="L48" s="11" t="str">
        <f t="shared" si="8"/>
        <v>0 01 29.17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 t="shared" si="0"/>
        <v>50194.112439931858</v>
      </c>
      <c r="E49" s="4">
        <f t="shared" si="1"/>
        <v>375625.2880581331</v>
      </c>
      <c r="F49" s="8">
        <f t="shared" si="2"/>
        <v>1</v>
      </c>
      <c r="G49" s="8" t="str">
        <f t="shared" si="3"/>
        <v>0 00 02.08</v>
      </c>
      <c r="H49" s="9">
        <f t="shared" si="4"/>
        <v>1.0000224704656107</v>
      </c>
      <c r="I49" s="5" t="str">
        <f t="shared" si="5"/>
        <v>-18 18 04.63993</v>
      </c>
      <c r="J49" s="5" t="str">
        <f t="shared" si="6"/>
        <v>125 34 06.60958</v>
      </c>
      <c r="K49" s="10">
        <f t="shared" si="7"/>
        <v>1.0000224704656107</v>
      </c>
      <c r="L49" s="11" t="str">
        <f t="shared" si="8"/>
        <v>0 00 02.08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 t="shared" si="0"/>
        <v>56547.582760441634</v>
      </c>
      <c r="E50" s="4">
        <f t="shared" si="1"/>
        <v>358799.99074710486</v>
      </c>
      <c r="F50" s="8">
        <f t="shared" si="2"/>
        <v>1</v>
      </c>
      <c r="G50" s="8" t="str">
        <f t="shared" si="3"/>
        <v>0 01 23.01</v>
      </c>
      <c r="H50" s="9">
        <f t="shared" si="4"/>
        <v>1.0000178095151286</v>
      </c>
      <c r="I50" s="5" t="str">
        <f t="shared" si="5"/>
        <v>-21 24 57.25764</v>
      </c>
      <c r="J50" s="5" t="str">
        <f t="shared" si="6"/>
        <v>115 59 47.34341</v>
      </c>
      <c r="K50" s="10">
        <f t="shared" si="7"/>
        <v>1.0000178095151284</v>
      </c>
      <c r="L50" s="11" t="str">
        <f t="shared" si="8"/>
        <v>0 01 23.01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 t="shared" si="0"/>
        <v>50741.71135966594</v>
      </c>
      <c r="E51" s="4">
        <f t="shared" si="1"/>
        <v>330646.73528401926</v>
      </c>
      <c r="F51" s="8">
        <f t="shared" si="2"/>
        <v>1</v>
      </c>
      <c r="G51" s="8" t="str">
        <f t="shared" si="3"/>
        <v>0 00 16.56</v>
      </c>
      <c r="H51" s="9">
        <f t="shared" si="4"/>
        <v>1.000016036777666</v>
      </c>
      <c r="I51" s="5" t="str">
        <f t="shared" si="5"/>
        <v>-34 39 17.09939</v>
      </c>
      <c r="J51" s="5" t="str">
        <f t="shared" si="6"/>
        <v>116 27 42.12752</v>
      </c>
      <c r="K51" s="10">
        <f t="shared" si="7"/>
        <v>1.000016036777666</v>
      </c>
      <c r="L51" s="11" t="str">
        <f t="shared" si="8"/>
        <v>0 00 16.56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 t="shared" si="0"/>
        <v>0</v>
      </c>
      <c r="E52" s="4">
        <f t="shared" si="1"/>
        <v>0</v>
      </c>
      <c r="F52" s="8">
        <f t="shared" si="2"/>
        <v>2</v>
      </c>
      <c r="G52" s="8" t="str">
        <f t="shared" si="3"/>
        <v>-39 24 23.81</v>
      </c>
      <c r="H52" s="9">
        <f t="shared" si="4"/>
        <v>0</v>
      </c>
      <c r="I52" s="5" t="str">
        <f t="shared" si="5"/>
        <v>Division by zero</v>
      </c>
      <c r="J52" s="5" t="str">
        <f t="shared" si="6"/>
        <v>Division by zero</v>
      </c>
      <c r="K52" s="10" t="str">
        <f t="shared" si="7"/>
        <v>Division by zero</v>
      </c>
      <c r="L52" s="11" t="str">
        <f t="shared" si="8"/>
        <v>Division by zero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 t="shared" si="0"/>
        <v>50737.920476927255</v>
      </c>
      <c r="E53" s="4">
        <f t="shared" si="1"/>
        <v>317976.49422221584</v>
      </c>
      <c r="F53" s="8">
        <f t="shared" si="2"/>
        <v>1</v>
      </c>
      <c r="G53" s="8" t="str">
        <f t="shared" si="3"/>
        <v>0 00 12.94</v>
      </c>
      <c r="H53" s="9">
        <f t="shared" si="4"/>
        <v>1.0000473767169886</v>
      </c>
      <c r="I53" s="5" t="str">
        <f t="shared" si="5"/>
        <v>-28 28 55.70594</v>
      </c>
      <c r="J53" s="5" t="str">
        <f t="shared" si="6"/>
        <v>116 21 31.04798</v>
      </c>
      <c r="K53" s="10">
        <f t="shared" si="7"/>
        <v>1.0000473767169886</v>
      </c>
      <c r="L53" s="11" t="str">
        <f t="shared" si="8"/>
        <v>0 00 12.94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 t="shared" si="0"/>
        <v>55303.406167742069</v>
      </c>
      <c r="E54" s="4">
        <f t="shared" si="1"/>
        <v>307487.86007153918</v>
      </c>
      <c r="F54" s="8">
        <f t="shared" si="2"/>
        <v>1</v>
      </c>
      <c r="G54" s="8" t="str">
        <f t="shared" si="3"/>
        <v>0 00 51.59</v>
      </c>
      <c r="H54" s="9">
        <f t="shared" si="4"/>
        <v>1.0000702676129214</v>
      </c>
      <c r="I54" s="5" t="str">
        <f t="shared" si="5"/>
        <v>-16 44 51.59994</v>
      </c>
      <c r="J54" s="5" t="str">
        <f t="shared" si="6"/>
        <v>125 52 59.04350</v>
      </c>
      <c r="K54" s="10">
        <f t="shared" si="7"/>
        <v>1.0000702676129214</v>
      </c>
      <c r="L54" s="11" t="str">
        <f t="shared" si="8"/>
        <v>0 00 51.59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 t="shared" si="0"/>
        <v>53056.637325157892</v>
      </c>
      <c r="E55" s="4">
        <f t="shared" si="1"/>
        <v>351487.0151076247</v>
      </c>
      <c r="F55" s="8">
        <f t="shared" si="2"/>
        <v>1</v>
      </c>
      <c r="G55" s="8" t="str">
        <f t="shared" si="3"/>
        <v>0 00 46.15</v>
      </c>
      <c r="H55" s="9">
        <f t="shared" si="4"/>
        <v>1.0000203853283829</v>
      </c>
      <c r="I55" s="5" t="str">
        <f t="shared" si="5"/>
        <v>-25 02 23.07019</v>
      </c>
      <c r="J55" s="5" t="str">
        <f t="shared" si="6"/>
        <v>115 19 19.03620</v>
      </c>
      <c r="K55" s="10">
        <f t="shared" si="7"/>
        <v>1.0000203853283829</v>
      </c>
      <c r="L55" s="11" t="str">
        <f t="shared" si="8"/>
        <v>0 00 46.15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 t="shared" si="0"/>
        <v>0</v>
      </c>
      <c r="E56" s="4">
        <f t="shared" si="1"/>
        <v>0</v>
      </c>
      <c r="F56" s="8">
        <f t="shared" si="2"/>
        <v>2</v>
      </c>
      <c r="G56" s="8" t="str">
        <f t="shared" si="3"/>
        <v>-22 12 51.72</v>
      </c>
      <c r="H56" s="9">
        <f t="shared" si="4"/>
        <v>0</v>
      </c>
      <c r="I56" s="5" t="str">
        <f t="shared" si="5"/>
        <v>Division by zero</v>
      </c>
      <c r="J56" s="5" t="str">
        <f t="shared" si="6"/>
        <v>Division by zero</v>
      </c>
      <c r="K56" s="10" t="str">
        <f t="shared" si="7"/>
        <v>Division by zero</v>
      </c>
      <c r="L56" s="11" t="str">
        <f t="shared" si="8"/>
        <v>Division by zero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 t="shared" si="0"/>
        <v>102138.66810751411</v>
      </c>
      <c r="E57" s="4">
        <f t="shared" si="1"/>
        <v>297096.87460001558</v>
      </c>
      <c r="F57" s="8">
        <f t="shared" si="2"/>
        <v>1</v>
      </c>
      <c r="G57" s="8" t="str">
        <f t="shared" si="3"/>
        <v>0 00 20.04</v>
      </c>
      <c r="H57" s="9">
        <f t="shared" si="4"/>
        <v>1.0000781965329362</v>
      </c>
      <c r="I57" s="5" t="str">
        <f t="shared" si="5"/>
        <v>-16 09 49.48679</v>
      </c>
      <c r="J57" s="5" t="str">
        <f t="shared" si="6"/>
        <v>126 22 32.98537</v>
      </c>
      <c r="K57" s="10">
        <f t="shared" si="7"/>
        <v>1.0000781965329362</v>
      </c>
      <c r="L57" s="11" t="str">
        <f t="shared" si="8"/>
        <v>0 00 20.04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 t="shared" si="0"/>
        <v>50150.678664067513</v>
      </c>
      <c r="E58" s="4">
        <f t="shared" si="1"/>
        <v>332915.30452517141</v>
      </c>
      <c r="F58" s="8">
        <f t="shared" si="2"/>
        <v>1</v>
      </c>
      <c r="G58" s="8" t="str">
        <f t="shared" si="3"/>
        <v>0 00 02.30</v>
      </c>
      <c r="H58" s="9">
        <f t="shared" si="4"/>
        <v>1.0000849302802231</v>
      </c>
      <c r="I58" s="5" t="str">
        <f t="shared" si="5"/>
        <v>-25 17 45.71020</v>
      </c>
      <c r="J58" s="5" t="str">
        <f t="shared" si="6"/>
        <v>127 53 22.38590</v>
      </c>
      <c r="K58" s="10">
        <f t="shared" si="7"/>
        <v>1.0000849302802231</v>
      </c>
      <c r="L58" s="11" t="str">
        <f t="shared" si="8"/>
        <v>0 00 02.30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 t="shared" si="0"/>
        <v>51888.901590978319</v>
      </c>
      <c r="E59" s="4">
        <f t="shared" si="1"/>
        <v>314601.76067365613</v>
      </c>
      <c r="F59" s="8">
        <f t="shared" si="2"/>
        <v>1</v>
      </c>
      <c r="G59" s="8" t="str">
        <f t="shared" si="3"/>
        <v>0 00 25.25</v>
      </c>
      <c r="H59" s="9">
        <f t="shared" si="4"/>
        <v>1.0000042840622576</v>
      </c>
      <c r="I59" s="5" t="str">
        <f t="shared" si="5"/>
        <v>-22 27 57.12300</v>
      </c>
      <c r="J59" s="5" t="str">
        <f t="shared" si="6"/>
        <v>114 44 06.06995</v>
      </c>
      <c r="K59" s="10">
        <f t="shared" si="7"/>
        <v>1.0000042840622574</v>
      </c>
      <c r="L59" s="11" t="str">
        <f t="shared" si="8"/>
        <v>0 00 25.25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 t="shared" si="0"/>
        <v>51428.913584897957</v>
      </c>
      <c r="E60" s="4">
        <f t="shared" si="1"/>
        <v>370069.9957749485</v>
      </c>
      <c r="F60" s="8">
        <f t="shared" si="2"/>
        <v>1</v>
      </c>
      <c r="G60" s="8" t="str">
        <f t="shared" si="3"/>
        <v>0 00 29.74</v>
      </c>
      <c r="H60" s="9">
        <f t="shared" si="4"/>
        <v>1.0000444951642931</v>
      </c>
      <c r="I60" s="5" t="str">
        <f t="shared" si="5"/>
        <v>-32 47 34.06261</v>
      </c>
      <c r="J60" s="5" t="str">
        <f t="shared" si="6"/>
        <v>116 40 54.91409</v>
      </c>
      <c r="K60" s="10">
        <f t="shared" si="7"/>
        <v>1.0000444951642928</v>
      </c>
      <c r="L60" s="11" t="str">
        <f t="shared" si="8"/>
        <v>0 00 29.74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 t="shared" si="0"/>
        <v>50263.458610303147</v>
      </c>
      <c r="E61" s="4">
        <f t="shared" si="1"/>
        <v>382457.00482250284</v>
      </c>
      <c r="F61" s="8">
        <f t="shared" si="2"/>
        <v>1</v>
      </c>
      <c r="G61" s="8" t="str">
        <f t="shared" si="3"/>
        <v>0 00 02.59</v>
      </c>
      <c r="H61" s="9">
        <f t="shared" si="4"/>
        <v>1.0000476108578531</v>
      </c>
      <c r="I61" s="5" t="str">
        <f t="shared" si="5"/>
        <v>-16 53 01.89535</v>
      </c>
      <c r="J61" s="5" t="str">
        <f t="shared" si="6"/>
        <v>128 10 08.90094</v>
      </c>
      <c r="K61" s="10">
        <f t="shared" si="7"/>
        <v>1.0000476108578531</v>
      </c>
      <c r="L61" s="11" t="str">
        <f t="shared" si="8"/>
        <v>0 00 02.59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 t="shared" si="0"/>
        <v>56246.111226333574</v>
      </c>
      <c r="E62" s="4">
        <f t="shared" si="1"/>
        <v>282398.70808815071</v>
      </c>
      <c r="F62" s="8">
        <f t="shared" si="2"/>
        <v>1</v>
      </c>
      <c r="G62" s="8" t="str">
        <f t="shared" si="3"/>
        <v>0 01 08.31</v>
      </c>
      <c r="H62" s="9">
        <f t="shared" si="4"/>
        <v>1.0000568920554784</v>
      </c>
      <c r="I62" s="5" t="str">
        <f t="shared" si="5"/>
        <v>-18 41 28.21124</v>
      </c>
      <c r="J62" s="5" t="str">
        <f t="shared" si="6"/>
        <v>127 50 33.15624</v>
      </c>
      <c r="K62" s="10">
        <f t="shared" si="7"/>
        <v>1.0000568920554784</v>
      </c>
      <c r="L62" s="11" t="str">
        <f t="shared" si="8"/>
        <v>0 01 08.31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 t="shared" si="0"/>
        <v>52238.397320821314</v>
      </c>
      <c r="E63" s="4">
        <f t="shared" si="1"/>
        <v>385237.96622713329</v>
      </c>
      <c r="F63" s="8">
        <f t="shared" si="2"/>
        <v>1</v>
      </c>
      <c r="G63" s="8" t="str">
        <f t="shared" si="3"/>
        <v>0 00 50.13</v>
      </c>
      <c r="H63" s="9">
        <f t="shared" si="4"/>
        <v>1.0000099617277003</v>
      </c>
      <c r="I63" s="5" t="str">
        <f t="shared" si="5"/>
        <v>-34 43 50.72869</v>
      </c>
      <c r="J63" s="5" t="str">
        <f t="shared" si="6"/>
        <v>117 00 27.98435</v>
      </c>
      <c r="K63" s="10">
        <f t="shared" si="7"/>
        <v>1.0000099617277001</v>
      </c>
      <c r="L63" s="11" t="str">
        <f t="shared" si="8"/>
        <v>0 00 50.13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 t="shared" si="0"/>
        <v>51080.311838909467</v>
      </c>
      <c r="E64" s="4">
        <f t="shared" si="1"/>
        <v>335537.37097879313</v>
      </c>
      <c r="F64" s="8">
        <f t="shared" si="2"/>
        <v>1</v>
      </c>
      <c r="G64" s="8" t="str">
        <f t="shared" si="3"/>
        <v>0 00 22.75</v>
      </c>
      <c r="H64" s="9">
        <f t="shared" si="4"/>
        <v>1.0000462143827333</v>
      </c>
      <c r="I64" s="5" t="str">
        <f t="shared" si="5"/>
        <v>-33 06 14.75953</v>
      </c>
      <c r="J64" s="5" t="str">
        <f t="shared" si="6"/>
        <v>120 20 41.66279</v>
      </c>
      <c r="K64" s="10">
        <f t="shared" si="7"/>
        <v>1.0000462143827333</v>
      </c>
      <c r="L64" s="11" t="str">
        <f t="shared" si="8"/>
        <v>0 00 22.75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 t="shared" si="0"/>
        <v>51713.769567179676</v>
      </c>
      <c r="E65" s="4">
        <f t="shared" si="1"/>
        <v>355375.0429756986</v>
      </c>
      <c r="F65" s="8">
        <f t="shared" si="2"/>
        <v>1</v>
      </c>
      <c r="G65" s="8" t="str">
        <f t="shared" si="3"/>
        <v>0 00 22.29</v>
      </c>
      <c r="H65" s="9">
        <f t="shared" si="4"/>
        <v>1.0000712162712866</v>
      </c>
      <c r="I65" s="5" t="str">
        <f t="shared" si="5"/>
        <v>-21 54 56.07551</v>
      </c>
      <c r="J65" s="5" t="str">
        <f t="shared" si="6"/>
        <v>117 42 59.70715</v>
      </c>
      <c r="K65" s="10">
        <f t="shared" si="7"/>
        <v>1.0000712162712866</v>
      </c>
      <c r="L65" s="11" t="str">
        <f t="shared" si="8"/>
        <v>0 00 22.29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 t="shared" si="0"/>
        <v>100730.15279392146</v>
      </c>
      <c r="E66" s="4">
        <f t="shared" si="1"/>
        <v>322730.84847534075</v>
      </c>
      <c r="F66" s="8">
        <f t="shared" si="2"/>
        <v>1</v>
      </c>
      <c r="G66" s="8" t="str">
        <f t="shared" si="3"/>
        <v>0 00 14.60</v>
      </c>
      <c r="H66" s="9">
        <f t="shared" si="4"/>
        <v>1.0000124665721737</v>
      </c>
      <c r="I66" s="5" t="str">
        <f t="shared" si="5"/>
        <v>-31 45 35.52023</v>
      </c>
      <c r="J66" s="5" t="str">
        <f t="shared" si="6"/>
        <v>128 10 17.74495</v>
      </c>
      <c r="K66" s="10">
        <f t="shared" si="7"/>
        <v>1.0000124665721739</v>
      </c>
      <c r="L66" s="11" t="str">
        <f t="shared" si="8"/>
        <v>0 00 14.60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 t="shared" si="0"/>
        <v>59200.289975187203</v>
      </c>
      <c r="E67" s="4">
        <f t="shared" si="1"/>
        <v>333072.88707841886</v>
      </c>
      <c r="F67" s="8">
        <f t="shared" si="2"/>
        <v>1</v>
      </c>
      <c r="G67" s="8" t="str">
        <f t="shared" si="3"/>
        <v>0 03 07.36</v>
      </c>
      <c r="H67" s="9">
        <f t="shared" si="4"/>
        <v>1.0000288533630552</v>
      </c>
      <c r="I67" s="5" t="str">
        <f t="shared" si="5"/>
        <v>-32 13 30.69250</v>
      </c>
      <c r="J67" s="5" t="str">
        <f t="shared" si="6"/>
        <v>123 19 51.36434</v>
      </c>
      <c r="K67" s="10">
        <f t="shared" si="7"/>
        <v>1.0000288533630555</v>
      </c>
      <c r="L67" s="11" t="str">
        <f t="shared" si="8"/>
        <v>0 03 07.36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 t="shared" ref="D68:D131" si="9">grideasting(B68,C68,A68)</f>
        <v>51124.562093938337</v>
      </c>
      <c r="E68" s="4">
        <f t="shared" ref="E68:E131" si="10">gridnorthing(B68,C68,A68)</f>
        <v>317878.75303174159</v>
      </c>
      <c r="F68" s="8">
        <f t="shared" ref="F68:F131" si="11">gridzone(B68,C68,A68)</f>
        <v>1</v>
      </c>
      <c r="G68" s="8" t="str">
        <f t="shared" ref="G68:G131" si="12">GridGridCon(B68,C68,A68)</f>
        <v>0 00 10.42</v>
      </c>
      <c r="H68" s="9">
        <f t="shared" ref="H68:H131" si="13">GridPntScleFact(B68,C68,A68)</f>
        <v>1.0000522256315501</v>
      </c>
      <c r="I68" s="5" t="str">
        <f t="shared" ref="I68:I131" si="14">datumlat(D68,E68,F68,A68)</f>
        <v>-15 59 40.01284</v>
      </c>
      <c r="J68" s="5" t="str">
        <f t="shared" ref="J68:J131" si="15">datumlong(D68,E68,F68,A68)</f>
        <v>127 24 46.82056</v>
      </c>
      <c r="K68" s="10">
        <f t="shared" ref="K68:K131" si="16">DatumPntScle(D68,E68,F68,A68)</f>
        <v>1.0000522256315498</v>
      </c>
      <c r="L68" s="11" t="str">
        <f t="shared" ref="L68:L131" si="17">DatumGridConv(D68,E68,F68,A68)</f>
        <v>0 00 10.42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 t="shared" si="9"/>
        <v>49316.23868561221</v>
      </c>
      <c r="E69" s="4">
        <f t="shared" si="10"/>
        <v>356195.66890225746</v>
      </c>
      <c r="F69" s="8">
        <f t="shared" si="11"/>
        <v>1</v>
      </c>
      <c r="G69" s="8" t="str">
        <f t="shared" si="12"/>
        <v>0 00 14.80</v>
      </c>
      <c r="H69" s="9">
        <f t="shared" si="13"/>
        <v>1.0000086657610476</v>
      </c>
      <c r="I69" s="5" t="str">
        <f t="shared" si="14"/>
        <v>-33 49 14.47252</v>
      </c>
      <c r="J69" s="5" t="str">
        <f t="shared" si="15"/>
        <v>120 06 33.41153</v>
      </c>
      <c r="K69" s="10">
        <f t="shared" si="16"/>
        <v>1.0000086657610476</v>
      </c>
      <c r="L69" s="11" t="str">
        <f t="shared" si="17"/>
        <v>0 00 14.80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 t="shared" si="9"/>
        <v>49350.731699298325</v>
      </c>
      <c r="E70" s="4">
        <f t="shared" si="10"/>
        <v>544786.69297310803</v>
      </c>
      <c r="F70" s="8">
        <f t="shared" si="11"/>
        <v>1</v>
      </c>
      <c r="G70" s="8" t="str">
        <f t="shared" si="12"/>
        <v>0 00 13.17</v>
      </c>
      <c r="H70" s="9">
        <f t="shared" si="13"/>
        <v>1.0000347251962187</v>
      </c>
      <c r="I70" s="5" t="str">
        <f t="shared" si="14"/>
        <v>-32 07 09.75590</v>
      </c>
      <c r="J70" s="5" t="str">
        <f t="shared" si="15"/>
        <v>116 13 35.23289</v>
      </c>
      <c r="K70" s="10">
        <f t="shared" si="16"/>
        <v>1.0000347251962187</v>
      </c>
      <c r="L70" s="11" t="str">
        <f t="shared" si="17"/>
        <v>0 00 13.17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 t="shared" si="9"/>
        <v>54239.725276886624</v>
      </c>
      <c r="E71" s="4">
        <f t="shared" si="10"/>
        <v>403208.24461455923</v>
      </c>
      <c r="F71" s="8">
        <f t="shared" si="11"/>
        <v>1</v>
      </c>
      <c r="G71" s="8" t="str">
        <f t="shared" si="12"/>
        <v>0 01 27.24</v>
      </c>
      <c r="H71" s="9">
        <f t="shared" si="13"/>
        <v>1.0000455615518979</v>
      </c>
      <c r="I71" s="5" t="str">
        <f t="shared" si="14"/>
        <v>-32 29 38.24185</v>
      </c>
      <c r="J71" s="5" t="str">
        <f t="shared" si="15"/>
        <v>119 02 42.39438</v>
      </c>
      <c r="K71" s="10">
        <f t="shared" si="16"/>
        <v>1.0000455615518979</v>
      </c>
      <c r="L71" s="11" t="str">
        <f t="shared" si="17"/>
        <v>0 01 27.24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 t="shared" si="9"/>
        <v>50778.436718789002</v>
      </c>
      <c r="E72" s="4">
        <f t="shared" si="10"/>
        <v>314855.7287048276</v>
      </c>
      <c r="F72" s="8">
        <f t="shared" si="11"/>
        <v>1</v>
      </c>
      <c r="G72" s="8" t="str">
        <f t="shared" si="12"/>
        <v>0 00 07.76</v>
      </c>
      <c r="H72" s="9">
        <f t="shared" si="13"/>
        <v>1.000064067488821</v>
      </c>
      <c r="I72" s="5" t="str">
        <f t="shared" si="14"/>
        <v>-17 07 58.68926</v>
      </c>
      <c r="J72" s="5" t="str">
        <f t="shared" si="15"/>
        <v>125 25 55.33381</v>
      </c>
      <c r="K72" s="10">
        <f t="shared" si="16"/>
        <v>1.000064067488821</v>
      </c>
      <c r="L72" s="11" t="str">
        <f t="shared" si="17"/>
        <v>0 00 07.76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 t="shared" si="9"/>
        <v>50870.793518964761</v>
      </c>
      <c r="E73" s="4">
        <f t="shared" si="10"/>
        <v>362121.46174381394</v>
      </c>
      <c r="F73" s="8">
        <f t="shared" si="11"/>
        <v>1</v>
      </c>
      <c r="G73" s="8" t="str">
        <f t="shared" si="12"/>
        <v>0 00 19.00</v>
      </c>
      <c r="H73" s="9">
        <f t="shared" si="13"/>
        <v>1.0000347293431024</v>
      </c>
      <c r="I73" s="5" t="str">
        <f t="shared" si="14"/>
        <v>-34 02 12.61903</v>
      </c>
      <c r="J73" s="5" t="str">
        <f t="shared" si="15"/>
        <v>118 54 33.94609</v>
      </c>
      <c r="K73" s="10">
        <f t="shared" si="16"/>
        <v>1.0000347293431024</v>
      </c>
      <c r="L73" s="11" t="str">
        <f t="shared" si="17"/>
        <v>0 00 19.00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 t="shared" si="9"/>
        <v>53492.792438988334</v>
      </c>
      <c r="E74" s="4">
        <f t="shared" si="10"/>
        <v>359689.5237109568</v>
      </c>
      <c r="F74" s="8">
        <f t="shared" si="11"/>
        <v>1</v>
      </c>
      <c r="G74" s="8" t="str">
        <f t="shared" si="12"/>
        <v>0 01 10.48</v>
      </c>
      <c r="H74" s="9">
        <f t="shared" si="13"/>
        <v>1.0000131503856082</v>
      </c>
      <c r="I74" s="5" t="str">
        <f t="shared" si="14"/>
        <v>-31 59 08.42590</v>
      </c>
      <c r="J74" s="5" t="str">
        <f t="shared" si="15"/>
        <v>125 45 13.04600</v>
      </c>
      <c r="K74" s="10">
        <f t="shared" si="16"/>
        <v>1.000013150385608</v>
      </c>
      <c r="L74" s="11" t="str">
        <f t="shared" si="17"/>
        <v>0 01 10.48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 t="shared" si="9"/>
        <v>61624.953530408238</v>
      </c>
      <c r="E75" s="4">
        <f t="shared" si="10"/>
        <v>314012.45736703137</v>
      </c>
      <c r="F75" s="8">
        <f t="shared" si="11"/>
        <v>1</v>
      </c>
      <c r="G75" s="8" t="str">
        <f t="shared" si="12"/>
        <v>0 02 38.88</v>
      </c>
      <c r="H75" s="9">
        <f t="shared" si="13"/>
        <v>1.0000726886633462</v>
      </c>
      <c r="I75" s="5" t="str">
        <f t="shared" si="14"/>
        <v>-22 55 16.05925</v>
      </c>
      <c r="J75" s="5" t="str">
        <f t="shared" si="15"/>
        <v>117 35 47.93550</v>
      </c>
      <c r="K75" s="10">
        <f t="shared" si="16"/>
        <v>1.0000726886633462</v>
      </c>
      <c r="L75" s="11" t="str">
        <f t="shared" si="17"/>
        <v>0 02 38.88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 t="shared" si="9"/>
        <v>52587.732724103102</v>
      </c>
      <c r="E76" s="4">
        <f t="shared" si="10"/>
        <v>366978.25458253268</v>
      </c>
      <c r="F76" s="8">
        <f t="shared" si="11"/>
        <v>1</v>
      </c>
      <c r="G76" s="8" t="str">
        <f t="shared" si="12"/>
        <v>0 00 43.36</v>
      </c>
      <c r="H76" s="9">
        <f t="shared" si="13"/>
        <v>1.0000200326221553</v>
      </c>
      <c r="I76" s="5" t="str">
        <f t="shared" si="14"/>
        <v>-27 24 32.74798</v>
      </c>
      <c r="J76" s="5" t="str">
        <f t="shared" si="15"/>
        <v>114 20 34.19912</v>
      </c>
      <c r="K76" s="10">
        <f t="shared" si="16"/>
        <v>1.0000200326221553</v>
      </c>
      <c r="L76" s="11" t="str">
        <f t="shared" si="17"/>
        <v>0 00 43.36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 t="shared" si="9"/>
        <v>56244.778939220399</v>
      </c>
      <c r="E77" s="4">
        <f t="shared" si="10"/>
        <v>335557.5102585284</v>
      </c>
      <c r="F77" s="8">
        <f t="shared" si="11"/>
        <v>1</v>
      </c>
      <c r="G77" s="8" t="str">
        <f t="shared" si="12"/>
        <v>0 01 47.36</v>
      </c>
      <c r="H77" s="9">
        <f t="shared" si="13"/>
        <v>1.0000847010754357</v>
      </c>
      <c r="I77" s="5" t="str">
        <f t="shared" si="14"/>
        <v>-28 00 56.45999</v>
      </c>
      <c r="J77" s="5" t="str">
        <f t="shared" si="15"/>
        <v>119 39 14.56992</v>
      </c>
      <c r="K77" s="10">
        <f t="shared" si="16"/>
        <v>1.0000847010754357</v>
      </c>
      <c r="L77" s="11" t="str">
        <f t="shared" si="17"/>
        <v>0 01 47.36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 t="shared" si="9"/>
        <v>58832.563277035712</v>
      </c>
      <c r="E78" s="4">
        <f t="shared" si="10"/>
        <v>283478.40012456104</v>
      </c>
      <c r="F78" s="8">
        <f t="shared" si="11"/>
        <v>1</v>
      </c>
      <c r="G78" s="8" t="str">
        <f t="shared" si="12"/>
        <v>0 01 58.88</v>
      </c>
      <c r="H78" s="9">
        <f t="shared" si="13"/>
        <v>1.0001139833056971</v>
      </c>
      <c r="I78" s="5" t="str">
        <f t="shared" si="14"/>
        <v>-22 36 32.35547</v>
      </c>
      <c r="J78" s="5" t="str">
        <f t="shared" si="15"/>
        <v>118 26 09.23003</v>
      </c>
      <c r="K78" s="10">
        <f t="shared" si="16"/>
        <v>1.0001139833056971</v>
      </c>
      <c r="L78" s="11" t="str">
        <f t="shared" si="17"/>
        <v>0 01 58.88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 t="shared" si="9"/>
        <v>54409.605582136981</v>
      </c>
      <c r="E79" s="4">
        <f t="shared" si="10"/>
        <v>339785.26824982744</v>
      </c>
      <c r="F79" s="8">
        <f t="shared" si="11"/>
        <v>1</v>
      </c>
      <c r="G79" s="8" t="str">
        <f t="shared" si="12"/>
        <v>0 01 26.80</v>
      </c>
      <c r="H79" s="9">
        <f t="shared" si="13"/>
        <v>1.0000417197206071</v>
      </c>
      <c r="I79" s="5" t="str">
        <f t="shared" si="14"/>
        <v>-31 21 09.42163</v>
      </c>
      <c r="J79" s="5" t="str">
        <f t="shared" si="15"/>
        <v>117 41 46.82868</v>
      </c>
      <c r="K79" s="10">
        <f t="shared" si="16"/>
        <v>1.0000417197206071</v>
      </c>
      <c r="L79" s="11" t="str">
        <f t="shared" si="17"/>
        <v>0 01 26.80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 t="shared" si="9"/>
        <v>55054.039287674852</v>
      </c>
      <c r="E80" s="4">
        <f t="shared" si="10"/>
        <v>269166.50812980114</v>
      </c>
      <c r="F80" s="8">
        <f t="shared" si="11"/>
        <v>1</v>
      </c>
      <c r="G80" s="8" t="str">
        <f t="shared" si="12"/>
        <v>0 01 21.70</v>
      </c>
      <c r="H80" s="9">
        <f t="shared" si="13"/>
        <v>1.0000917951899846</v>
      </c>
      <c r="I80" s="5" t="str">
        <f t="shared" si="14"/>
        <v>-26 34 30.75622</v>
      </c>
      <c r="J80" s="5" t="str">
        <f t="shared" si="15"/>
        <v>119 03 14.40335</v>
      </c>
      <c r="K80" s="10">
        <f t="shared" si="16"/>
        <v>1.0000917951899846</v>
      </c>
      <c r="L80" s="11" t="str">
        <f t="shared" si="17"/>
        <v>0 01 21.70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 t="shared" si="9"/>
        <v>52796.592719001572</v>
      </c>
      <c r="E81" s="4">
        <f t="shared" si="10"/>
        <v>357176.86922596488</v>
      </c>
      <c r="F81" s="8">
        <f t="shared" si="11"/>
        <v>1</v>
      </c>
      <c r="G81" s="8" t="str">
        <f t="shared" si="12"/>
        <v>0 01 00.50</v>
      </c>
      <c r="H81" s="9">
        <f t="shared" si="13"/>
        <v>1.0000382763693603</v>
      </c>
      <c r="I81" s="5" t="str">
        <f t="shared" si="14"/>
        <v>-33 48 39.02850</v>
      </c>
      <c r="J81" s="5" t="str">
        <f t="shared" si="15"/>
        <v>117 04 48.73152</v>
      </c>
      <c r="K81" s="10">
        <f t="shared" si="16"/>
        <v>1.0000382763693603</v>
      </c>
      <c r="L81" s="11" t="str">
        <f t="shared" si="17"/>
        <v>0 01 00.50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 t="shared" si="9"/>
        <v>52807.719011825851</v>
      </c>
      <c r="E82" s="4">
        <f t="shared" si="10"/>
        <v>358939.701847516</v>
      </c>
      <c r="F82" s="8">
        <f t="shared" si="11"/>
        <v>1</v>
      </c>
      <c r="G82" s="8" t="str">
        <f t="shared" si="12"/>
        <v>0 00 57.46</v>
      </c>
      <c r="H82" s="9">
        <f t="shared" si="13"/>
        <v>1.0000431471675744</v>
      </c>
      <c r="I82" s="5" t="str">
        <f t="shared" si="14"/>
        <v>-32 21 07.85160</v>
      </c>
      <c r="J82" s="5" t="str">
        <f t="shared" si="15"/>
        <v>118 13 47.37634</v>
      </c>
      <c r="K82" s="10">
        <f t="shared" si="16"/>
        <v>1.0000431471675744</v>
      </c>
      <c r="L82" s="11" t="str">
        <f t="shared" si="17"/>
        <v>0 00 57.46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 t="shared" si="9"/>
        <v>57234.070459132075</v>
      </c>
      <c r="E83" s="4">
        <f t="shared" si="10"/>
        <v>804156.04537987383</v>
      </c>
      <c r="F83" s="8">
        <f t="shared" si="11"/>
        <v>1</v>
      </c>
      <c r="G83" s="8" t="str">
        <f t="shared" si="12"/>
        <v>0 02 13.75</v>
      </c>
      <c r="H83" s="9">
        <f t="shared" si="13"/>
        <v>1.0000507353683543</v>
      </c>
      <c r="I83" s="5" t="str">
        <f t="shared" si="14"/>
        <v>-29 46 46.38464</v>
      </c>
      <c r="J83" s="5" t="str">
        <f t="shared" si="15"/>
        <v>117 28 29.30365</v>
      </c>
      <c r="K83" s="10">
        <f t="shared" si="16"/>
        <v>1.0000507353683545</v>
      </c>
      <c r="L83" s="11" t="str">
        <f t="shared" si="17"/>
        <v>0 02 13.75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 t="shared" si="9"/>
        <v>102937.77947004992</v>
      </c>
      <c r="E84" s="4">
        <f t="shared" si="10"/>
        <v>320734.80672146939</v>
      </c>
      <c r="F84" s="8">
        <f t="shared" si="11"/>
        <v>1</v>
      </c>
      <c r="G84" s="8" t="str">
        <f t="shared" si="12"/>
        <v>0 00 43.91</v>
      </c>
      <c r="H84" s="9">
        <f t="shared" si="13"/>
        <v>1.0000882865306071</v>
      </c>
      <c r="I84" s="5" t="str">
        <f t="shared" si="14"/>
        <v>-24 49 08.99202</v>
      </c>
      <c r="J84" s="5" t="str">
        <f t="shared" si="15"/>
        <v>119 30 34.60288</v>
      </c>
      <c r="K84" s="10">
        <f t="shared" si="16"/>
        <v>1.0000882865306073</v>
      </c>
      <c r="L84" s="11" t="str">
        <f t="shared" si="17"/>
        <v>0 00 43.91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 t="shared" si="9"/>
        <v>0</v>
      </c>
      <c r="E85" s="4">
        <f t="shared" si="10"/>
        <v>0</v>
      </c>
      <c r="F85" s="8">
        <f t="shared" si="11"/>
        <v>2</v>
      </c>
      <c r="G85" s="8" t="str">
        <f t="shared" si="12"/>
        <v>-45 06 26.01</v>
      </c>
      <c r="H85" s="9">
        <f t="shared" si="13"/>
        <v>0</v>
      </c>
      <c r="I85" s="5" t="str">
        <f t="shared" si="14"/>
        <v>Division by zero</v>
      </c>
      <c r="J85" s="5" t="str">
        <f t="shared" si="15"/>
        <v>Division by zero</v>
      </c>
      <c r="K85" s="10" t="str">
        <f t="shared" si="16"/>
        <v>Division by zero</v>
      </c>
      <c r="L85" s="11" t="str">
        <f t="shared" si="17"/>
        <v>Division by zero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 t="shared" si="9"/>
        <v>54489.333806594557</v>
      </c>
      <c r="E86" s="4">
        <f t="shared" si="10"/>
        <v>329221.837081715</v>
      </c>
      <c r="F86" s="8">
        <f t="shared" si="11"/>
        <v>1</v>
      </c>
      <c r="G86" s="8" t="str">
        <f t="shared" si="12"/>
        <v>0 01 34.12</v>
      </c>
      <c r="H86" s="9">
        <f t="shared" si="13"/>
        <v>1.0000462583810856</v>
      </c>
      <c r="I86" s="5" t="str">
        <f t="shared" si="14"/>
        <v>-32 58 50.57141</v>
      </c>
      <c r="J86" s="5" t="str">
        <f t="shared" si="15"/>
        <v>119 44 16.69232</v>
      </c>
      <c r="K86" s="10">
        <f t="shared" si="16"/>
        <v>1.0000462583810856</v>
      </c>
      <c r="L86" s="11" t="str">
        <f t="shared" si="17"/>
        <v>0 01 34.12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 t="shared" si="9"/>
        <v>54443.84073049092</v>
      </c>
      <c r="E87" s="4">
        <f t="shared" si="10"/>
        <v>328464.43841830944</v>
      </c>
      <c r="F87" s="8">
        <f t="shared" si="11"/>
        <v>1</v>
      </c>
      <c r="G87" s="8" t="str">
        <f t="shared" si="12"/>
        <v>0 00 48.32</v>
      </c>
      <c r="H87" s="9">
        <f t="shared" si="13"/>
        <v>1.0000585540056459</v>
      </c>
      <c r="I87" s="5" t="str">
        <f t="shared" si="14"/>
        <v>-18 35 28.22042</v>
      </c>
      <c r="J87" s="5" t="str">
        <f t="shared" si="15"/>
        <v>127 17 43.56254</v>
      </c>
      <c r="K87" s="10">
        <f t="shared" si="16"/>
        <v>1.0000585540056457</v>
      </c>
      <c r="L87" s="11" t="str">
        <f t="shared" si="17"/>
        <v>0 00 48.32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 t="shared" si="9"/>
        <v>56375.315928987038</v>
      </c>
      <c r="E88" s="4">
        <f t="shared" si="10"/>
        <v>231628.85390944546</v>
      </c>
      <c r="F88" s="8">
        <f t="shared" si="11"/>
        <v>1</v>
      </c>
      <c r="G88" s="8" t="str">
        <f t="shared" si="12"/>
        <v>0 01 53.29</v>
      </c>
      <c r="H88" s="9">
        <f t="shared" si="13"/>
        <v>1.0000653813295806</v>
      </c>
      <c r="I88" s="5" t="str">
        <f t="shared" si="14"/>
        <v>-28 48 34.43184</v>
      </c>
      <c r="J88" s="5" t="str">
        <f t="shared" si="15"/>
        <v>122 09 55.09894</v>
      </c>
      <c r="K88" s="10">
        <f t="shared" si="16"/>
        <v>1.0000653813295803</v>
      </c>
      <c r="L88" s="11" t="str">
        <f t="shared" si="17"/>
        <v>0 01 53.29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 t="shared" si="9"/>
        <v>53630.568240335626</v>
      </c>
      <c r="E89" s="4">
        <f t="shared" si="10"/>
        <v>311249.80184912495</v>
      </c>
      <c r="F89" s="8">
        <f t="shared" si="11"/>
        <v>1</v>
      </c>
      <c r="G89" s="8" t="str">
        <f t="shared" si="12"/>
        <v>0 01 02.14</v>
      </c>
      <c r="H89" s="9">
        <f t="shared" si="13"/>
        <v>1.0000779426072448</v>
      </c>
      <c r="I89" s="5" t="str">
        <f t="shared" si="14"/>
        <v>-27 54 37.34377</v>
      </c>
      <c r="J89" s="5" t="str">
        <f t="shared" si="15"/>
        <v>120 40 47.03714</v>
      </c>
      <c r="K89" s="10">
        <f t="shared" si="16"/>
        <v>1.0000779426072448</v>
      </c>
      <c r="L89" s="11" t="str">
        <f t="shared" si="17"/>
        <v>0 01 02.14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 t="shared" si="9"/>
        <v>54007.495894649357</v>
      </c>
      <c r="E90" s="4">
        <f t="shared" si="10"/>
        <v>411946.00541877095</v>
      </c>
      <c r="F90" s="8">
        <f t="shared" si="11"/>
        <v>1</v>
      </c>
      <c r="G90" s="8" t="str">
        <f t="shared" si="12"/>
        <v>0 00 46.58</v>
      </c>
      <c r="H90" s="9">
        <f t="shared" si="13"/>
        <v>1.0000668184040731</v>
      </c>
      <c r="I90" s="5" t="str">
        <f t="shared" si="14"/>
        <v>-19 46 44.62352</v>
      </c>
      <c r="J90" s="5" t="str">
        <f t="shared" si="15"/>
        <v>128 50 17.66299</v>
      </c>
      <c r="K90" s="10">
        <f t="shared" si="16"/>
        <v>1.0000668184040731</v>
      </c>
      <c r="L90" s="11" t="str">
        <f t="shared" si="17"/>
        <v>0 00 46.58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 t="shared" si="9"/>
        <v>57319.251397036809</v>
      </c>
      <c r="E91" s="4">
        <f t="shared" si="10"/>
        <v>344772.39095511497</v>
      </c>
      <c r="F91" s="8">
        <f t="shared" si="11"/>
        <v>1</v>
      </c>
      <c r="G91" s="8" t="str">
        <f t="shared" si="12"/>
        <v>0 01 15.41</v>
      </c>
      <c r="H91" s="9">
        <f t="shared" si="13"/>
        <v>1.0000086620534301</v>
      </c>
      <c r="I91" s="5" t="str">
        <f t="shared" si="14"/>
        <v>-17 40 36.48011</v>
      </c>
      <c r="J91" s="5" t="str">
        <f t="shared" si="15"/>
        <v>123 05 08.35084</v>
      </c>
      <c r="K91" s="10">
        <f t="shared" si="16"/>
        <v>1.0000086620534301</v>
      </c>
      <c r="L91" s="11" t="str">
        <f t="shared" si="17"/>
        <v>0 01 15.41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 t="shared" si="9"/>
        <v>50057.585238804721</v>
      </c>
      <c r="E92" s="4">
        <f t="shared" si="10"/>
        <v>325507.68339475314</v>
      </c>
      <c r="F92" s="8">
        <f t="shared" si="11"/>
        <v>1</v>
      </c>
      <c r="G92" s="8" t="str">
        <f t="shared" si="12"/>
        <v>0 00 00.63</v>
      </c>
      <c r="H92" s="9">
        <f t="shared" si="13"/>
        <v>1.0000453300409728</v>
      </c>
      <c r="I92" s="5" t="str">
        <f t="shared" si="14"/>
        <v>-18 49 33.27614</v>
      </c>
      <c r="J92" s="5" t="str">
        <f t="shared" si="15"/>
        <v>126 41 34.96675</v>
      </c>
      <c r="K92" s="10">
        <f t="shared" si="16"/>
        <v>1.0000453300409728</v>
      </c>
      <c r="L92" s="11" t="str">
        <f t="shared" si="17"/>
        <v>0 00 00.63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 t="shared" si="9"/>
        <v>51120.6181513923</v>
      </c>
      <c r="E93" s="4">
        <f t="shared" si="10"/>
        <v>369420.39502914669</v>
      </c>
      <c r="F93" s="8">
        <f t="shared" si="11"/>
        <v>1</v>
      </c>
      <c r="G93" s="8" t="str">
        <f t="shared" si="12"/>
        <v>0 00 22.53</v>
      </c>
      <c r="H93" s="9">
        <f t="shared" si="13"/>
        <v>1.0000009854806511</v>
      </c>
      <c r="I93" s="5" t="str">
        <f t="shared" si="14"/>
        <v>-31 53 53.90542</v>
      </c>
      <c r="J93" s="5" t="str">
        <f t="shared" si="15"/>
        <v>127 02 42.64627</v>
      </c>
      <c r="K93" s="10">
        <f t="shared" si="16"/>
        <v>1.0000009854806511</v>
      </c>
      <c r="L93" s="11" t="str">
        <f t="shared" si="17"/>
        <v>0 00 22.53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 t="shared" si="9"/>
        <v>46736.794569700556</v>
      </c>
      <c r="E94" s="4">
        <f t="shared" si="10"/>
        <v>329953.71884788387</v>
      </c>
      <c r="F94" s="8">
        <f t="shared" si="11"/>
        <v>1</v>
      </c>
      <c r="G94" s="8" t="str">
        <f t="shared" si="12"/>
        <v>0 01 06.06</v>
      </c>
      <c r="H94" s="9">
        <f t="shared" si="13"/>
        <v>1.0000497812579787</v>
      </c>
      <c r="I94" s="5" t="str">
        <f t="shared" si="14"/>
        <v>-32 04 20.27712</v>
      </c>
      <c r="J94" s="5" t="str">
        <f t="shared" si="15"/>
        <v>122 45 55.58684</v>
      </c>
      <c r="K94" s="10">
        <f t="shared" si="16"/>
        <v>1.0000497812579787</v>
      </c>
      <c r="L94" s="11" t="str">
        <f t="shared" si="17"/>
        <v>0 01 06.06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 t="shared" si="9"/>
        <v>52642.426110664543</v>
      </c>
      <c r="E95" s="4">
        <f t="shared" si="10"/>
        <v>393758.15145687852</v>
      </c>
      <c r="F95" s="8">
        <f t="shared" si="11"/>
        <v>1</v>
      </c>
      <c r="G95" s="8" t="str">
        <f t="shared" si="12"/>
        <v>0 00 32.53</v>
      </c>
      <c r="H95" s="9">
        <f t="shared" si="13"/>
        <v>1.0000239662497845</v>
      </c>
      <c r="I95" s="5" t="str">
        <f t="shared" si="14"/>
        <v>-20 50 50.80150</v>
      </c>
      <c r="J95" s="5" t="str">
        <f t="shared" si="15"/>
        <v>119 52 31.39990</v>
      </c>
      <c r="K95" s="10">
        <f t="shared" si="16"/>
        <v>1.0000239662497845</v>
      </c>
      <c r="L95" s="11" t="str">
        <f t="shared" si="17"/>
        <v>0 00 32.53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 t="shared" si="9"/>
        <v>0</v>
      </c>
      <c r="E96" s="4">
        <f t="shared" si="10"/>
        <v>0</v>
      </c>
      <c r="F96" s="8">
        <f t="shared" si="11"/>
        <v>2</v>
      </c>
      <c r="G96" s="8" t="str">
        <f t="shared" si="12"/>
        <v>-41 43 00.70</v>
      </c>
      <c r="H96" s="9">
        <f t="shared" si="13"/>
        <v>0</v>
      </c>
      <c r="I96" s="5" t="str">
        <f t="shared" si="14"/>
        <v>Division by zero</v>
      </c>
      <c r="J96" s="5" t="str">
        <f t="shared" si="15"/>
        <v>Division by zero</v>
      </c>
      <c r="K96" s="10" t="str">
        <f t="shared" si="16"/>
        <v>Division by zero</v>
      </c>
      <c r="L96" s="11" t="str">
        <f t="shared" si="17"/>
        <v>Division by zero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 t="shared" si="9"/>
        <v>53432.259725471966</v>
      </c>
      <c r="E97" s="4">
        <f t="shared" si="10"/>
        <v>333911.61203582422</v>
      </c>
      <c r="F97" s="8">
        <f t="shared" si="11"/>
        <v>1</v>
      </c>
      <c r="G97" s="8" t="str">
        <f t="shared" si="12"/>
        <v>0 00 35.19</v>
      </c>
      <c r="H97" s="9">
        <f t="shared" si="13"/>
        <v>1.0000201055860025</v>
      </c>
      <c r="I97" s="5" t="str">
        <f t="shared" si="14"/>
        <v>-17 35 38.48525</v>
      </c>
      <c r="J97" s="5" t="str">
        <f t="shared" si="15"/>
        <v>124 06 56.40610</v>
      </c>
      <c r="K97" s="10">
        <f t="shared" si="16"/>
        <v>1.0000201055860027</v>
      </c>
      <c r="L97" s="11" t="str">
        <f t="shared" si="17"/>
        <v>0 00 35.19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 t="shared" si="9"/>
        <v>55781.637795203169</v>
      </c>
      <c r="E98" s="4">
        <f t="shared" si="10"/>
        <v>172307.52298811264</v>
      </c>
      <c r="F98" s="8">
        <f t="shared" si="11"/>
        <v>1</v>
      </c>
      <c r="G98" s="8" t="str">
        <f t="shared" si="12"/>
        <v>0 01 32.98</v>
      </c>
      <c r="H98" s="9">
        <f t="shared" si="13"/>
        <v>1.0000768524896713</v>
      </c>
      <c r="I98" s="5" t="str">
        <f t="shared" si="14"/>
        <v>-26 27 25.23596</v>
      </c>
      <c r="J98" s="5" t="str">
        <f t="shared" si="15"/>
        <v>118 21 28.69243</v>
      </c>
      <c r="K98" s="10">
        <f t="shared" si="16"/>
        <v>1.0000768524896713</v>
      </c>
      <c r="L98" s="11" t="str">
        <f t="shared" si="17"/>
        <v>0 01 32.98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 t="shared" si="9"/>
        <v>56621.345457064184</v>
      </c>
      <c r="E99" s="4">
        <f t="shared" si="10"/>
        <v>317198.33699902147</v>
      </c>
      <c r="F99" s="8">
        <f t="shared" si="11"/>
        <v>1</v>
      </c>
      <c r="G99" s="8" t="str">
        <f t="shared" si="12"/>
        <v>0 02 01.84</v>
      </c>
      <c r="H99" s="9">
        <f t="shared" si="13"/>
        <v>1.0000654306778689</v>
      </c>
      <c r="I99" s="5" t="str">
        <f t="shared" si="14"/>
        <v>-29 39 41.26655</v>
      </c>
      <c r="J99" s="5" t="str">
        <f t="shared" si="15"/>
        <v>121 08 06.20164</v>
      </c>
      <c r="K99" s="10">
        <f t="shared" si="16"/>
        <v>1.0000654306778689</v>
      </c>
      <c r="L99" s="11" t="str">
        <f t="shared" si="17"/>
        <v>0 02 01.84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 t="shared" si="9"/>
        <v>58252.925852412067</v>
      </c>
      <c r="E100" s="4">
        <f t="shared" si="10"/>
        <v>324893.82910799142</v>
      </c>
      <c r="F100" s="8">
        <f t="shared" si="11"/>
        <v>1</v>
      </c>
      <c r="G100" s="8" t="str">
        <f t="shared" si="12"/>
        <v>0 02 42.73</v>
      </c>
      <c r="H100" s="9">
        <f t="shared" si="13"/>
        <v>1.0000503296810754</v>
      </c>
      <c r="I100" s="5" t="str">
        <f t="shared" si="14"/>
        <v>-31 23 47.25456</v>
      </c>
      <c r="J100" s="5" t="str">
        <f t="shared" si="15"/>
        <v>118 22 12.37555</v>
      </c>
      <c r="K100" s="10">
        <f t="shared" si="16"/>
        <v>1.0000503296810754</v>
      </c>
      <c r="L100" s="11" t="str">
        <f t="shared" si="17"/>
        <v>0 02 42.73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 t="shared" si="9"/>
        <v>59681.190815835609</v>
      </c>
      <c r="E101" s="4">
        <f t="shared" si="10"/>
        <v>321715.96737758769</v>
      </c>
      <c r="F101" s="8">
        <f t="shared" si="11"/>
        <v>1</v>
      </c>
      <c r="G101" s="8" t="str">
        <f t="shared" si="12"/>
        <v>0 02 01.55</v>
      </c>
      <c r="H101" s="9">
        <f t="shared" si="13"/>
        <v>1.0000297576627661</v>
      </c>
      <c r="I101" s="5" t="str">
        <f t="shared" si="14"/>
        <v>-21 13 37.33172</v>
      </c>
      <c r="J101" s="5" t="str">
        <f t="shared" si="15"/>
        <v>117 07 35.71414</v>
      </c>
      <c r="K101" s="10">
        <f t="shared" si="16"/>
        <v>1.0000297576627659</v>
      </c>
      <c r="L101" s="11" t="str">
        <f t="shared" si="17"/>
        <v>0 02 01.55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 t="shared" si="9"/>
        <v>55176.006473693807</v>
      </c>
      <c r="E102" s="4">
        <f t="shared" si="10"/>
        <v>360682.82490480784</v>
      </c>
      <c r="F102" s="8">
        <f t="shared" si="11"/>
        <v>1</v>
      </c>
      <c r="G102" s="8" t="str">
        <f t="shared" si="12"/>
        <v>0 01 33.47</v>
      </c>
      <c r="H102" s="9">
        <f t="shared" si="13"/>
        <v>1.0000253004405588</v>
      </c>
      <c r="I102" s="5" t="str">
        <f t="shared" si="14"/>
        <v>-29 11 53.45574</v>
      </c>
      <c r="J102" s="5" t="str">
        <f t="shared" si="15"/>
        <v>115 23 11.59573</v>
      </c>
      <c r="K102" s="10">
        <f t="shared" si="16"/>
        <v>1.000025300440559</v>
      </c>
      <c r="L102" s="11" t="str">
        <f t="shared" si="17"/>
        <v>0 01 33.47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 t="shared" si="9"/>
        <v>55428.207010891114</v>
      </c>
      <c r="E103" s="4">
        <f t="shared" si="10"/>
        <v>344703.17498060688</v>
      </c>
      <c r="F103" s="8">
        <f t="shared" si="11"/>
        <v>1</v>
      </c>
      <c r="G103" s="8" t="str">
        <f t="shared" si="12"/>
        <v>0 01 49.26</v>
      </c>
      <c r="H103" s="9">
        <f t="shared" si="13"/>
        <v>1.0000116432286168</v>
      </c>
      <c r="I103" s="5" t="str">
        <f t="shared" si="14"/>
        <v>-31 55 20.89524</v>
      </c>
      <c r="J103" s="5" t="str">
        <f t="shared" si="15"/>
        <v>126 29 53.62782</v>
      </c>
      <c r="K103" s="10">
        <f t="shared" si="16"/>
        <v>1.0000116432286168</v>
      </c>
      <c r="L103" s="11" t="str">
        <f t="shared" si="17"/>
        <v>0 01 49.26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 t="shared" si="9"/>
        <v>52213.221324697639</v>
      </c>
      <c r="E104" s="4">
        <f t="shared" si="10"/>
        <v>337241.28910811013</v>
      </c>
      <c r="F104" s="8">
        <f t="shared" si="11"/>
        <v>1</v>
      </c>
      <c r="G104" s="8" t="str">
        <f t="shared" si="12"/>
        <v>0 00 49.86</v>
      </c>
      <c r="H104" s="9">
        <f t="shared" si="13"/>
        <v>1.0000013203453331</v>
      </c>
      <c r="I104" s="5" t="str">
        <f t="shared" si="14"/>
        <v>-34 53 35.81282</v>
      </c>
      <c r="J104" s="5" t="str">
        <f t="shared" si="15"/>
        <v>117 29 27.16649</v>
      </c>
      <c r="K104" s="10">
        <f t="shared" si="16"/>
        <v>1.0000013203453333</v>
      </c>
      <c r="L104" s="11" t="str">
        <f t="shared" si="17"/>
        <v>0 00 49.86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 t="shared" si="9"/>
        <v>54808.3592917797</v>
      </c>
      <c r="E105" s="4">
        <f t="shared" si="10"/>
        <v>346468.44221406966</v>
      </c>
      <c r="F105" s="8">
        <f t="shared" si="11"/>
        <v>1</v>
      </c>
      <c r="G105" s="8" t="str">
        <f t="shared" si="12"/>
        <v>0 00 47.50</v>
      </c>
      <c r="H105" s="9">
        <f t="shared" si="13"/>
        <v>1.0000499957425657</v>
      </c>
      <c r="I105" s="5" t="str">
        <f t="shared" si="14"/>
        <v>-16 59 31.71307</v>
      </c>
      <c r="J105" s="5" t="str">
        <f t="shared" si="15"/>
        <v>125 11 07.54285</v>
      </c>
      <c r="K105" s="10">
        <f t="shared" si="16"/>
        <v>1.0000499957425659</v>
      </c>
      <c r="L105" s="11" t="str">
        <f t="shared" si="17"/>
        <v>0 00 47.50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 t="shared" si="9"/>
        <v>56175.897949288963</v>
      </c>
      <c r="E106" s="4">
        <f t="shared" si="10"/>
        <v>320943.34922503633</v>
      </c>
      <c r="F106" s="8">
        <f t="shared" si="11"/>
        <v>1</v>
      </c>
      <c r="G106" s="8" t="str">
        <f t="shared" si="12"/>
        <v>0 01 49.37</v>
      </c>
      <c r="H106" s="9">
        <f t="shared" si="13"/>
        <v>1.0000631604660408</v>
      </c>
      <c r="I106" s="5" t="str">
        <f t="shared" si="14"/>
        <v>-28 43 32.13145</v>
      </c>
      <c r="J106" s="5" t="str">
        <f t="shared" si="15"/>
        <v>117 51 47.56338</v>
      </c>
      <c r="K106" s="10">
        <f t="shared" si="16"/>
        <v>1.0000631604660408</v>
      </c>
      <c r="L106" s="11" t="str">
        <f t="shared" si="17"/>
        <v>0 01 49.37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 t="shared" si="9"/>
        <v>54247.679339975788</v>
      </c>
      <c r="E107" s="4">
        <f t="shared" si="10"/>
        <v>651213.84639039775</v>
      </c>
      <c r="F107" s="8">
        <f t="shared" si="11"/>
        <v>1</v>
      </c>
      <c r="G107" s="8" t="str">
        <f t="shared" si="12"/>
        <v>0 01 22.99</v>
      </c>
      <c r="H107" s="9">
        <f t="shared" si="13"/>
        <v>1.0000183524522641</v>
      </c>
      <c r="I107" s="5" t="str">
        <f t="shared" si="14"/>
        <v>-31 09 36.29599</v>
      </c>
      <c r="J107" s="5" t="str">
        <f t="shared" si="15"/>
        <v>115 59 40.38043</v>
      </c>
      <c r="K107" s="10">
        <f t="shared" si="16"/>
        <v>1.0000183524522641</v>
      </c>
      <c r="L107" s="11" t="str">
        <f t="shared" si="17"/>
        <v>0 01 22.99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 t="shared" si="9"/>
        <v>50247.889079915454</v>
      </c>
      <c r="E108" s="4">
        <f t="shared" si="10"/>
        <v>313854.31892116042</v>
      </c>
      <c r="F108" s="8">
        <f t="shared" si="11"/>
        <v>1</v>
      </c>
      <c r="G108" s="8" t="str">
        <f t="shared" si="12"/>
        <v>0 00 02.88</v>
      </c>
      <c r="H108" s="9">
        <f t="shared" si="13"/>
        <v>1.0000609607591415</v>
      </c>
      <c r="I108" s="5" t="str">
        <f t="shared" si="14"/>
        <v>-19 45 42.98648</v>
      </c>
      <c r="J108" s="5" t="str">
        <f t="shared" si="15"/>
        <v>128 18 08.51447</v>
      </c>
      <c r="K108" s="10">
        <f t="shared" si="16"/>
        <v>1.0000609607591415</v>
      </c>
      <c r="L108" s="11" t="str">
        <f t="shared" si="17"/>
        <v>0 00 02.88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 t="shared" si="9"/>
        <v>51660.537339132992</v>
      </c>
      <c r="E109" s="4">
        <f t="shared" si="10"/>
        <v>312838.37653394649</v>
      </c>
      <c r="F109" s="8">
        <f t="shared" si="11"/>
        <v>1</v>
      </c>
      <c r="G109" s="8" t="str">
        <f t="shared" si="12"/>
        <v>0 00 27.46</v>
      </c>
      <c r="H109" s="9">
        <f t="shared" si="13"/>
        <v>1.0000677340219832</v>
      </c>
      <c r="I109" s="5" t="str">
        <f t="shared" si="14"/>
        <v>-27 06 08.04953</v>
      </c>
      <c r="J109" s="5" t="str">
        <f t="shared" si="15"/>
        <v>125 26 42.27864</v>
      </c>
      <c r="K109" s="10">
        <f t="shared" si="16"/>
        <v>1.0000677340219835</v>
      </c>
      <c r="L109" s="11" t="str">
        <f t="shared" si="17"/>
        <v>0 00 27.46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 t="shared" si="9"/>
        <v>0</v>
      </c>
      <c r="E110" s="4">
        <f t="shared" si="10"/>
        <v>0</v>
      </c>
      <c r="F110" s="8">
        <f t="shared" si="11"/>
        <v>2</v>
      </c>
      <c r="G110" s="8" t="str">
        <f t="shared" si="12"/>
        <v>-42 51 23.96</v>
      </c>
      <c r="H110" s="9">
        <f t="shared" si="13"/>
        <v>0</v>
      </c>
      <c r="I110" s="5" t="str">
        <f t="shared" si="14"/>
        <v>Division by zero</v>
      </c>
      <c r="J110" s="5" t="str">
        <f t="shared" si="15"/>
        <v>Division by zero</v>
      </c>
      <c r="K110" s="10" t="str">
        <f t="shared" si="16"/>
        <v>Division by zero</v>
      </c>
      <c r="L110" s="11" t="str">
        <f t="shared" si="17"/>
        <v>Division by zero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 t="shared" si="9"/>
        <v>50712.118338390195</v>
      </c>
      <c r="E111" s="4">
        <f t="shared" si="10"/>
        <v>345172.21497978177</v>
      </c>
      <c r="F111" s="8">
        <f t="shared" si="11"/>
        <v>1</v>
      </c>
      <c r="G111" s="8" t="str">
        <f t="shared" si="12"/>
        <v>0 00 09.40</v>
      </c>
      <c r="H111" s="9">
        <f t="shared" si="13"/>
        <v>1.0000656862624406</v>
      </c>
      <c r="I111" s="5" t="str">
        <f t="shared" si="14"/>
        <v>-22 12 55.90350</v>
      </c>
      <c r="J111" s="5" t="str">
        <f t="shared" si="15"/>
        <v>118 32 12.86250</v>
      </c>
      <c r="K111" s="10">
        <f t="shared" si="16"/>
        <v>1.0000656862624406</v>
      </c>
      <c r="L111" s="11" t="str">
        <f t="shared" si="17"/>
        <v>0 00 09.40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 t="shared" si="9"/>
        <v>51134.657982011006</v>
      </c>
      <c r="E112" s="4">
        <f t="shared" si="10"/>
        <v>341588.10775984311</v>
      </c>
      <c r="F112" s="8">
        <f t="shared" si="11"/>
        <v>1</v>
      </c>
      <c r="G112" s="8" t="str">
        <f t="shared" si="12"/>
        <v>0 00 22.86</v>
      </c>
      <c r="H112" s="9">
        <f t="shared" si="13"/>
        <v>0.99999900587084001</v>
      </c>
      <c r="I112" s="5" t="str">
        <f t="shared" si="14"/>
        <v>-31 57 03.48311</v>
      </c>
      <c r="J112" s="5" t="str">
        <f t="shared" si="15"/>
        <v>127 36 13.20527</v>
      </c>
      <c r="K112" s="10">
        <f t="shared" si="16"/>
        <v>0.99999900587084001</v>
      </c>
      <c r="L112" s="11" t="str">
        <f t="shared" si="17"/>
        <v>0 00 22.86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 t="shared" si="9"/>
        <v>50788.527270700193</v>
      </c>
      <c r="E113" s="4">
        <f t="shared" si="10"/>
        <v>334116.80520071881</v>
      </c>
      <c r="F113" s="8">
        <f t="shared" si="11"/>
        <v>1</v>
      </c>
      <c r="G113" s="8" t="str">
        <f t="shared" si="12"/>
        <v>0 00 16.96</v>
      </c>
      <c r="H113" s="9">
        <f t="shared" si="13"/>
        <v>1.0000158776619255</v>
      </c>
      <c r="I113" s="5" t="str">
        <f t="shared" si="14"/>
        <v>-33 39 31.94809</v>
      </c>
      <c r="J113" s="5" t="str">
        <f t="shared" si="15"/>
        <v>120 37 30.60462</v>
      </c>
      <c r="K113" s="10">
        <f t="shared" si="16"/>
        <v>1.0000158776619255</v>
      </c>
      <c r="L113" s="11" t="str">
        <f t="shared" si="17"/>
        <v>0 00 16.96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 t="shared" si="9"/>
        <v>54957.66492663711</v>
      </c>
      <c r="E114" s="4">
        <f t="shared" si="10"/>
        <v>302322.4908364485</v>
      </c>
      <c r="F114" s="8">
        <f t="shared" si="11"/>
        <v>1</v>
      </c>
      <c r="G114" s="8" t="str">
        <f t="shared" si="12"/>
        <v>0 01 22.07</v>
      </c>
      <c r="H114" s="9">
        <f t="shared" si="13"/>
        <v>1.0000379332688594</v>
      </c>
      <c r="I114" s="5" t="str">
        <f t="shared" si="14"/>
        <v>-27 07 32.68740</v>
      </c>
      <c r="J114" s="5" t="str">
        <f t="shared" si="15"/>
        <v>116 00 30.00964</v>
      </c>
      <c r="K114" s="10">
        <f t="shared" si="16"/>
        <v>1.0000379332688594</v>
      </c>
      <c r="L114" s="11" t="str">
        <f t="shared" si="17"/>
        <v>0 01 22.07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 t="shared" si="9"/>
        <v>106133.89415108624</v>
      </c>
      <c r="E115" s="4">
        <f t="shared" si="10"/>
        <v>620447.21782154078</v>
      </c>
      <c r="F115" s="8">
        <f t="shared" si="11"/>
        <v>1</v>
      </c>
      <c r="G115" s="8" t="str">
        <f t="shared" si="12"/>
        <v>0 01 40.67</v>
      </c>
      <c r="H115" s="9">
        <f t="shared" si="13"/>
        <v>1.0000675530576797</v>
      </c>
      <c r="I115" s="5" t="str">
        <f t="shared" si="14"/>
        <v>-26 55 31.01790</v>
      </c>
      <c r="J115" s="5" t="str">
        <f t="shared" si="15"/>
        <v>118 18 47.31620</v>
      </c>
      <c r="K115" s="10">
        <f t="shared" si="16"/>
        <v>1.0000675530576795</v>
      </c>
      <c r="L115" s="11" t="str">
        <f t="shared" si="17"/>
        <v>0 01 40.67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 t="shared" si="9"/>
        <v>50385.18392050168</v>
      </c>
      <c r="E116" s="4">
        <f t="shared" si="10"/>
        <v>347273.08734148974</v>
      </c>
      <c r="F116" s="8">
        <f t="shared" si="11"/>
        <v>1</v>
      </c>
      <c r="G116" s="8" t="str">
        <f t="shared" si="12"/>
        <v>0 00 05.07</v>
      </c>
      <c r="H116" s="9">
        <f t="shared" si="13"/>
        <v>1.0000078618323307</v>
      </c>
      <c r="I116" s="5" t="str">
        <f t="shared" si="14"/>
        <v>-22 10 14.69222</v>
      </c>
      <c r="J116" s="5" t="str">
        <f t="shared" si="15"/>
        <v>115 25 13.44461</v>
      </c>
      <c r="K116" s="10">
        <f t="shared" si="16"/>
        <v>1.0000078618323307</v>
      </c>
      <c r="L116" s="11" t="str">
        <f t="shared" si="17"/>
        <v>0 00 05.07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 t="shared" si="9"/>
        <v>55843.544058141553</v>
      </c>
      <c r="E117" s="4">
        <f t="shared" si="10"/>
        <v>350149.45374309807</v>
      </c>
      <c r="F117" s="8">
        <f t="shared" si="11"/>
        <v>1</v>
      </c>
      <c r="G117" s="8" t="str">
        <f t="shared" si="12"/>
        <v>0 00 58.10</v>
      </c>
      <c r="H117" s="9">
        <f t="shared" si="13"/>
        <v>1.0000268320248733</v>
      </c>
      <c r="I117" s="5" t="str">
        <f t="shared" si="14"/>
        <v>-17 05 41.31690</v>
      </c>
      <c r="J117" s="5" t="str">
        <f t="shared" si="15"/>
        <v>125 00 55.64894</v>
      </c>
      <c r="K117" s="10">
        <f t="shared" si="16"/>
        <v>1.0000268320248731</v>
      </c>
      <c r="L117" s="11" t="str">
        <f t="shared" si="17"/>
        <v>0 00 58.10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 t="shared" si="9"/>
        <v>52409.803274767306</v>
      </c>
      <c r="E118" s="4">
        <f t="shared" si="10"/>
        <v>356368.62489672564</v>
      </c>
      <c r="F118" s="8">
        <f t="shared" si="11"/>
        <v>1</v>
      </c>
      <c r="G118" s="8" t="str">
        <f t="shared" si="12"/>
        <v>0 00 50.40</v>
      </c>
      <c r="H118" s="9">
        <f t="shared" si="13"/>
        <v>1.0000454815688653</v>
      </c>
      <c r="I118" s="5" t="str">
        <f t="shared" si="14"/>
        <v>-32 54 58.68742</v>
      </c>
      <c r="J118" s="5" t="str">
        <f t="shared" si="15"/>
        <v>117 11 32.73864</v>
      </c>
      <c r="K118" s="10">
        <f t="shared" si="16"/>
        <v>1.0000454815688653</v>
      </c>
      <c r="L118" s="11" t="str">
        <f t="shared" si="17"/>
        <v>0 00 50.40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 t="shared" si="9"/>
        <v>50814.62141350469</v>
      </c>
      <c r="E119" s="4">
        <f t="shared" si="10"/>
        <v>336907.69762913277</v>
      </c>
      <c r="F119" s="8">
        <f t="shared" si="11"/>
        <v>1</v>
      </c>
      <c r="G119" s="8" t="str">
        <f t="shared" si="12"/>
        <v>0 00 17.15</v>
      </c>
      <c r="H119" s="9">
        <f t="shared" si="13"/>
        <v>1.0000444781781805</v>
      </c>
      <c r="I119" s="5" t="str">
        <f t="shared" si="14"/>
        <v>-33 05 30.48749</v>
      </c>
      <c r="J119" s="5" t="str">
        <f t="shared" si="15"/>
        <v>119 03 31.41198</v>
      </c>
      <c r="K119" s="10">
        <f t="shared" si="16"/>
        <v>1.0000444781781805</v>
      </c>
      <c r="L119" s="11" t="str">
        <f t="shared" si="17"/>
        <v>0 00 17.15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 t="shared" si="9"/>
        <v>50541.86175591834</v>
      </c>
      <c r="E120" s="4">
        <f t="shared" si="10"/>
        <v>318153.16773090418</v>
      </c>
      <c r="F120" s="8">
        <f t="shared" si="11"/>
        <v>1</v>
      </c>
      <c r="G120" s="8" t="str">
        <f t="shared" si="12"/>
        <v>0 00 07.72</v>
      </c>
      <c r="H120" s="9">
        <f t="shared" si="13"/>
        <v>1.0000886236248627</v>
      </c>
      <c r="I120" s="5" t="str">
        <f t="shared" si="14"/>
        <v>-23 47 10.47383</v>
      </c>
      <c r="J120" s="5" t="str">
        <f t="shared" si="15"/>
        <v>119 43 19.13801</v>
      </c>
      <c r="K120" s="10">
        <f t="shared" si="16"/>
        <v>1.0000886236248627</v>
      </c>
      <c r="L120" s="11" t="str">
        <f t="shared" si="17"/>
        <v>0 00 07.72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 t="shared" si="9"/>
        <v>50772.872196885837</v>
      </c>
      <c r="E121" s="4">
        <f t="shared" si="10"/>
        <v>345336.21255231556</v>
      </c>
      <c r="F121" s="8">
        <f t="shared" si="11"/>
        <v>1</v>
      </c>
      <c r="G121" s="8" t="str">
        <f t="shared" si="12"/>
        <v>0 00 10.10</v>
      </c>
      <c r="H121" s="9">
        <f t="shared" si="13"/>
        <v>1.0000612873768389</v>
      </c>
      <c r="I121" s="5" t="str">
        <f t="shared" si="14"/>
        <v>-22 01 17.70226</v>
      </c>
      <c r="J121" s="5" t="str">
        <f t="shared" si="15"/>
        <v>120 06 26.94686</v>
      </c>
      <c r="K121" s="10">
        <f t="shared" si="16"/>
        <v>1.0000612873768389</v>
      </c>
      <c r="L121" s="11" t="str">
        <f t="shared" si="17"/>
        <v>0 00 10.10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 t="shared" si="9"/>
        <v>50482.680786723853</v>
      </c>
      <c r="E122" s="4">
        <f t="shared" si="10"/>
        <v>336769.64932915941</v>
      </c>
      <c r="F122" s="8">
        <f t="shared" si="11"/>
        <v>1</v>
      </c>
      <c r="G122" s="8" t="str">
        <f t="shared" si="12"/>
        <v>0 00 06.11</v>
      </c>
      <c r="H122" s="9">
        <f t="shared" si="13"/>
        <v>1.0000372228775942</v>
      </c>
      <c r="I122" s="5" t="str">
        <f t="shared" si="14"/>
        <v>-21 23 20.25352</v>
      </c>
      <c r="J122" s="5" t="str">
        <f t="shared" si="15"/>
        <v>121 05 02.75611</v>
      </c>
      <c r="K122" s="10">
        <f t="shared" si="16"/>
        <v>1.0000372228775942</v>
      </c>
      <c r="L122" s="11" t="str">
        <f t="shared" si="17"/>
        <v>0 00 06.11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 t="shared" si="9"/>
        <v>51487.919549444377</v>
      </c>
      <c r="E123" s="4">
        <f t="shared" si="10"/>
        <v>349555.78905895352</v>
      </c>
      <c r="F123" s="8">
        <f t="shared" si="11"/>
        <v>1</v>
      </c>
      <c r="G123" s="8" t="str">
        <f t="shared" si="12"/>
        <v>0 00 32.40</v>
      </c>
      <c r="H123" s="9">
        <f t="shared" si="13"/>
        <v>1.0000380972787</v>
      </c>
      <c r="I123" s="5" t="str">
        <f t="shared" si="14"/>
        <v>-33 58 43.38822</v>
      </c>
      <c r="J123" s="5" t="str">
        <f t="shared" si="15"/>
        <v>118 29 27.96378</v>
      </c>
      <c r="K123" s="10">
        <f t="shared" si="16"/>
        <v>1.0000380972787</v>
      </c>
      <c r="L123" s="11" t="str">
        <f t="shared" si="17"/>
        <v>0 00 32.40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 t="shared" si="9"/>
        <v>52134.646164560225</v>
      </c>
      <c r="E124" s="4">
        <f t="shared" si="10"/>
        <v>359915.39806543896</v>
      </c>
      <c r="F124" s="8">
        <f t="shared" si="11"/>
        <v>1</v>
      </c>
      <c r="G124" s="8" t="str">
        <f t="shared" si="12"/>
        <v>0 00 29.47</v>
      </c>
      <c r="H124" s="9">
        <f t="shared" si="13"/>
        <v>1.0001095716908186</v>
      </c>
      <c r="I124" s="5" t="str">
        <f t="shared" si="14"/>
        <v>-23 07 43.76770</v>
      </c>
      <c r="J124" s="5" t="str">
        <f t="shared" si="15"/>
        <v>119 26 48.01963</v>
      </c>
      <c r="K124" s="10">
        <f t="shared" si="16"/>
        <v>1.0001095716908184</v>
      </c>
      <c r="L124" s="11" t="str">
        <f t="shared" si="17"/>
        <v>0 00 29.47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 t="shared" si="9"/>
        <v>52983.709343297523</v>
      </c>
      <c r="E125" s="4">
        <f t="shared" si="10"/>
        <v>347396.63282288378</v>
      </c>
      <c r="F125" s="8">
        <f t="shared" si="11"/>
        <v>1</v>
      </c>
      <c r="G125" s="8" t="str">
        <f t="shared" si="12"/>
        <v>0 00 35.13</v>
      </c>
      <c r="H125" s="9">
        <f t="shared" si="13"/>
        <v>1.0000084199835366</v>
      </c>
      <c r="I125" s="5" t="str">
        <f t="shared" si="14"/>
        <v>-20 00 39.62329</v>
      </c>
      <c r="J125" s="5" t="str">
        <f t="shared" si="15"/>
        <v>119 57 24.64988</v>
      </c>
      <c r="K125" s="10">
        <f t="shared" si="16"/>
        <v>1.0000084199835364</v>
      </c>
      <c r="L125" s="11" t="str">
        <f t="shared" si="17"/>
        <v>0 00 35.13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 t="shared" si="9"/>
        <v>50016.275454648079</v>
      </c>
      <c r="E126" s="4">
        <f t="shared" si="10"/>
        <v>319069.44369192468</v>
      </c>
      <c r="F126" s="8">
        <f t="shared" si="11"/>
        <v>1</v>
      </c>
      <c r="G126" s="8" t="str">
        <f t="shared" si="12"/>
        <v>0 00 00.16</v>
      </c>
      <c r="H126" s="9">
        <f t="shared" si="13"/>
        <v>1.000006980003274</v>
      </c>
      <c r="I126" s="5" t="str">
        <f t="shared" si="14"/>
        <v>-16 42 26.37526</v>
      </c>
      <c r="J126" s="5" t="str">
        <f t="shared" si="15"/>
        <v>122 53 58.54938</v>
      </c>
      <c r="K126" s="10">
        <f t="shared" si="16"/>
        <v>1.000006980003274</v>
      </c>
      <c r="L126" s="11" t="str">
        <f t="shared" si="17"/>
        <v>0 00 00.16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 t="shared" si="9"/>
        <v>51251.642352744093</v>
      </c>
      <c r="E127" s="4">
        <f t="shared" si="10"/>
        <v>328125.29602552624</v>
      </c>
      <c r="F127" s="8">
        <f t="shared" si="11"/>
        <v>1</v>
      </c>
      <c r="G127" s="8" t="str">
        <f t="shared" si="12"/>
        <v>0 00 27.41</v>
      </c>
      <c r="H127" s="9">
        <f t="shared" si="13"/>
        <v>1.00003345930245</v>
      </c>
      <c r="I127" s="5" t="str">
        <f t="shared" si="14"/>
        <v>-34 08 09.63913</v>
      </c>
      <c r="J127" s="5" t="str">
        <f t="shared" si="15"/>
        <v>116 32 48.84968</v>
      </c>
      <c r="K127" s="10">
        <f t="shared" si="16"/>
        <v>1.0000334593024498</v>
      </c>
      <c r="L127" s="11" t="str">
        <f t="shared" si="17"/>
        <v>0 00 27.41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 t="shared" si="9"/>
        <v>51374.120086945921</v>
      </c>
      <c r="E128" s="4">
        <f t="shared" si="10"/>
        <v>339535.93432631576</v>
      </c>
      <c r="F128" s="8">
        <f t="shared" si="11"/>
        <v>1</v>
      </c>
      <c r="G128" s="8" t="str">
        <f t="shared" si="12"/>
        <v>0 00 24.17</v>
      </c>
      <c r="H128" s="9">
        <f t="shared" si="13"/>
        <v>1.0000432332916449</v>
      </c>
      <c r="I128" s="5" t="str">
        <f t="shared" si="14"/>
        <v>-28 33 30.29112</v>
      </c>
      <c r="J128" s="5" t="str">
        <f t="shared" si="15"/>
        <v>115 48 50.55300</v>
      </c>
      <c r="K128" s="10">
        <f t="shared" si="16"/>
        <v>1.0000432332916447</v>
      </c>
      <c r="L128" s="11" t="str">
        <f t="shared" si="17"/>
        <v>0 00 24.17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 t="shared" si="9"/>
        <v>50558.665783859899</v>
      </c>
      <c r="E129" s="4">
        <f t="shared" si="10"/>
        <v>336084.25031203125</v>
      </c>
      <c r="F129" s="8">
        <f t="shared" si="11"/>
        <v>1</v>
      </c>
      <c r="G129" s="8" t="str">
        <f t="shared" si="12"/>
        <v>0 00 12.30</v>
      </c>
      <c r="H129" s="9">
        <f t="shared" si="13"/>
        <v>1.0000046638455253</v>
      </c>
      <c r="I129" s="5" t="str">
        <f t="shared" si="14"/>
        <v>-34 16 21.31122</v>
      </c>
      <c r="J129" s="5" t="str">
        <f t="shared" si="15"/>
        <v>119 27 21.83969</v>
      </c>
      <c r="K129" s="10">
        <f t="shared" si="16"/>
        <v>1.0000046638455253</v>
      </c>
      <c r="L129" s="11" t="str">
        <f t="shared" si="17"/>
        <v>0 00 12.30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 t="shared" si="9"/>
        <v>58666.161031920034</v>
      </c>
      <c r="E130" s="4">
        <f t="shared" si="10"/>
        <v>349852.14857971901</v>
      </c>
      <c r="F130" s="8">
        <f t="shared" si="11"/>
        <v>1</v>
      </c>
      <c r="G130" s="8" t="str">
        <f t="shared" si="12"/>
        <v>0 01 30.84</v>
      </c>
      <c r="H130" s="9">
        <f t="shared" si="13"/>
        <v>1.0000296980837671</v>
      </c>
      <c r="I130" s="5" t="str">
        <f t="shared" si="14"/>
        <v>-17 57 53.37050</v>
      </c>
      <c r="J130" s="5" t="str">
        <f t="shared" si="15"/>
        <v>125 09 54.51962</v>
      </c>
      <c r="K130" s="10">
        <f t="shared" si="16"/>
        <v>1.0000296980837668</v>
      </c>
      <c r="L130" s="11" t="str">
        <f t="shared" si="17"/>
        <v>0 01 30.84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 t="shared" si="9"/>
        <v>52907.366650894852</v>
      </c>
      <c r="E131" s="4">
        <f t="shared" si="10"/>
        <v>402666.51459609764</v>
      </c>
      <c r="F131" s="8">
        <f t="shared" si="11"/>
        <v>1</v>
      </c>
      <c r="G131" s="8" t="str">
        <f t="shared" si="12"/>
        <v>0 01 01.93</v>
      </c>
      <c r="H131" s="9">
        <f t="shared" si="13"/>
        <v>1.0000320041648749</v>
      </c>
      <c r="I131" s="5" t="str">
        <f t="shared" si="14"/>
        <v>-33 24 03.37097</v>
      </c>
      <c r="J131" s="5" t="str">
        <f t="shared" si="15"/>
        <v>120 03 52.50546</v>
      </c>
      <c r="K131" s="10">
        <f t="shared" si="16"/>
        <v>1.0000320041648751</v>
      </c>
      <c r="L131" s="11" t="str">
        <f t="shared" si="17"/>
        <v>0 01 01.93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 t="shared" ref="D132:D195" si="18">grideasting(B132,C132,A132)</f>
        <v>53302.890233022496</v>
      </c>
      <c r="E132" s="4">
        <f t="shared" ref="E132:E195" si="19">gridnorthing(B132,C132,A132)</f>
        <v>333310.17894642614</v>
      </c>
      <c r="F132" s="8">
        <f t="shared" ref="F132:F195" si="20">gridzone(B132,C132,A132)</f>
        <v>1</v>
      </c>
      <c r="G132" s="8" t="str">
        <f t="shared" ref="G132:G195" si="21">GridGridCon(B132,C132,A132)</f>
        <v>0 00 41.76</v>
      </c>
      <c r="H132" s="9">
        <f t="shared" ref="H132:H195" si="22">GridPntScleFact(B132,C132,A132)</f>
        <v>1.0000496147393221</v>
      </c>
      <c r="I132" s="5" t="str">
        <f t="shared" ref="I132:I195" si="23">datumlat(D132,E132,F132,A132)</f>
        <v>-21 21 43.69644</v>
      </c>
      <c r="J132" s="5" t="str">
        <f t="shared" ref="J132:J195" si="24">datumlong(D132,E132,F132,A132)</f>
        <v>120 32 12.63649</v>
      </c>
      <c r="K132" s="10">
        <f t="shared" ref="K132:K195" si="25">DatumPntScle(D132,E132,F132,A132)</f>
        <v>1.0000496147393221</v>
      </c>
      <c r="L132" s="11" t="str">
        <f t="shared" ref="L132:L195" si="26">DatumGridConv(D132,E132,F132,A132)</f>
        <v>0 00 41.76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 t="shared" si="18"/>
        <v>51809.096557159384</v>
      </c>
      <c r="E133" s="4">
        <f t="shared" si="19"/>
        <v>317715.15759983612</v>
      </c>
      <c r="F133" s="8">
        <f t="shared" si="20"/>
        <v>1</v>
      </c>
      <c r="G133" s="8" t="str">
        <f t="shared" si="21"/>
        <v>0 00 20.62</v>
      </c>
      <c r="H133" s="9">
        <f t="shared" si="22"/>
        <v>1.0000049004368854</v>
      </c>
      <c r="I133" s="5" t="str">
        <f t="shared" si="23"/>
        <v>-19 25 15.72244</v>
      </c>
      <c r="J133" s="5" t="str">
        <f t="shared" si="24"/>
        <v>121 19 02.01148</v>
      </c>
      <c r="K133" s="10">
        <f t="shared" si="25"/>
        <v>1.0000049004368854</v>
      </c>
      <c r="L133" s="11" t="str">
        <f t="shared" si="26"/>
        <v>0 00 20.62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 t="shared" si="18"/>
        <v>52712.773752719608</v>
      </c>
      <c r="E134" s="4">
        <f t="shared" si="19"/>
        <v>454281.0436383551</v>
      </c>
      <c r="F134" s="8">
        <f t="shared" si="20"/>
        <v>1</v>
      </c>
      <c r="G134" s="8" t="str">
        <f t="shared" si="21"/>
        <v>0 00 56.77</v>
      </c>
      <c r="H134" s="9">
        <f t="shared" si="22"/>
        <v>1.0000279006972135</v>
      </c>
      <c r="I134" s="5" t="str">
        <f t="shared" si="23"/>
        <v>-32 56 08.52893</v>
      </c>
      <c r="J134" s="5" t="str">
        <f t="shared" si="24"/>
        <v>121 43 44.42275</v>
      </c>
      <c r="K134" s="10">
        <f t="shared" si="25"/>
        <v>1.0000279006972135</v>
      </c>
      <c r="L134" s="11" t="str">
        <f t="shared" si="26"/>
        <v>0 00 56.77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 t="shared" si="18"/>
        <v>50192.859539533762</v>
      </c>
      <c r="E135" s="4">
        <f t="shared" si="19"/>
        <v>303137.25261032209</v>
      </c>
      <c r="F135" s="8">
        <f t="shared" si="20"/>
        <v>1</v>
      </c>
      <c r="G135" s="8" t="str">
        <f t="shared" si="21"/>
        <v>0 00 03.78</v>
      </c>
      <c r="H135" s="9">
        <f t="shared" si="22"/>
        <v>1.0000528004585578</v>
      </c>
      <c r="I135" s="5" t="str">
        <f t="shared" si="23"/>
        <v>-31 13 54.67174</v>
      </c>
      <c r="J135" s="5" t="str">
        <f t="shared" si="24"/>
        <v>119 03 07.28708</v>
      </c>
      <c r="K135" s="10">
        <f t="shared" si="25"/>
        <v>1.0000528004585578</v>
      </c>
      <c r="L135" s="11" t="str">
        <f t="shared" si="26"/>
        <v>0 00 03.78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 t="shared" si="18"/>
        <v>51372.960534793376</v>
      </c>
      <c r="E136" s="4">
        <f t="shared" si="19"/>
        <v>342349.82002527919</v>
      </c>
      <c r="F136" s="8">
        <f t="shared" si="20"/>
        <v>1</v>
      </c>
      <c r="G136" s="8" t="str">
        <f t="shared" si="21"/>
        <v>0 00 30.71</v>
      </c>
      <c r="H136" s="9">
        <f t="shared" si="22"/>
        <v>1.0000077832233805</v>
      </c>
      <c r="I136" s="5" t="str">
        <f t="shared" si="23"/>
        <v>-34 42 10.01822</v>
      </c>
      <c r="J136" s="5" t="str">
        <f t="shared" si="24"/>
        <v>116 27 53.94870</v>
      </c>
      <c r="K136" s="10">
        <f t="shared" si="25"/>
        <v>1.0000077832233805</v>
      </c>
      <c r="L136" s="11" t="str">
        <f t="shared" si="26"/>
        <v>0 00 30.71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 t="shared" si="18"/>
        <v>50169.277994913762</v>
      </c>
      <c r="E137" s="4">
        <f t="shared" si="19"/>
        <v>322360.9622387304</v>
      </c>
      <c r="F137" s="8">
        <f t="shared" si="20"/>
        <v>1</v>
      </c>
      <c r="G137" s="8" t="str">
        <f t="shared" si="21"/>
        <v>0 00 02.06</v>
      </c>
      <c r="H137" s="9">
        <f t="shared" si="22"/>
        <v>1.000010840353978</v>
      </c>
      <c r="I137" s="5" t="str">
        <f t="shared" si="23"/>
        <v>-20 35 21.73596</v>
      </c>
      <c r="J137" s="5" t="str">
        <f t="shared" si="24"/>
        <v>119 15 05.84539</v>
      </c>
      <c r="K137" s="10">
        <f t="shared" si="25"/>
        <v>1.000010840353978</v>
      </c>
      <c r="L137" s="11" t="str">
        <f t="shared" si="26"/>
        <v>0 00 02.06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 t="shared" si="18"/>
        <v>53139.91172740014</v>
      </c>
      <c r="E138" s="4">
        <f t="shared" si="19"/>
        <v>349579.75463900669</v>
      </c>
      <c r="F138" s="8">
        <f t="shared" si="20"/>
        <v>1</v>
      </c>
      <c r="G138" s="8" t="str">
        <f t="shared" si="21"/>
        <v>0 00 50.58</v>
      </c>
      <c r="H138" s="9">
        <f t="shared" si="22"/>
        <v>1.0000836316578021</v>
      </c>
      <c r="I138" s="5" t="str">
        <f t="shared" si="23"/>
        <v>-26 29 44.48616</v>
      </c>
      <c r="J138" s="5" t="str">
        <f t="shared" si="24"/>
        <v>118 53 43.37452</v>
      </c>
      <c r="K138" s="10">
        <f t="shared" si="25"/>
        <v>1.0000836316578021</v>
      </c>
      <c r="L138" s="11" t="str">
        <f t="shared" si="26"/>
        <v>0 00 50.58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 t="shared" si="18"/>
        <v>0</v>
      </c>
      <c r="E139" s="4">
        <f t="shared" si="19"/>
        <v>0</v>
      </c>
      <c r="F139" s="8">
        <f t="shared" si="20"/>
        <v>2</v>
      </c>
      <c r="G139" s="8" t="str">
        <f t="shared" si="21"/>
        <v>-42 13 18.28</v>
      </c>
      <c r="H139" s="9">
        <f t="shared" si="22"/>
        <v>0</v>
      </c>
      <c r="I139" s="5" t="str">
        <f t="shared" si="23"/>
        <v>Division by zero</v>
      </c>
      <c r="J139" s="5" t="str">
        <f t="shared" si="24"/>
        <v>Division by zero</v>
      </c>
      <c r="K139" s="10" t="str">
        <f t="shared" si="25"/>
        <v>Division by zero</v>
      </c>
      <c r="L139" s="11" t="str">
        <f t="shared" si="26"/>
        <v>Division by zero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 t="shared" si="18"/>
        <v>56555.434943069449</v>
      </c>
      <c r="E140" s="4">
        <f t="shared" si="19"/>
        <v>359859.64434286254</v>
      </c>
      <c r="F140" s="8">
        <f t="shared" si="20"/>
        <v>1</v>
      </c>
      <c r="G140" s="8" t="str">
        <f t="shared" si="21"/>
        <v>0 01 22.22</v>
      </c>
      <c r="H140" s="9">
        <f t="shared" si="22"/>
        <v>1.000014990805101</v>
      </c>
      <c r="I140" s="5" t="str">
        <f t="shared" si="23"/>
        <v>-21 12 20.43842</v>
      </c>
      <c r="J140" s="5" t="str">
        <f t="shared" si="24"/>
        <v>116 27 47.29302</v>
      </c>
      <c r="K140" s="10">
        <f t="shared" si="25"/>
        <v>1.000014990805101</v>
      </c>
      <c r="L140" s="11" t="str">
        <f t="shared" si="26"/>
        <v>0 01 22.22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 t="shared" si="18"/>
        <v>56010.281685861672</v>
      </c>
      <c r="E141" s="4">
        <f t="shared" si="19"/>
        <v>311774.55376645131</v>
      </c>
      <c r="F141" s="8">
        <f t="shared" si="20"/>
        <v>1</v>
      </c>
      <c r="G141" s="8" t="str">
        <f t="shared" si="21"/>
        <v>0 01 42.12</v>
      </c>
      <c r="H141" s="9">
        <f t="shared" si="22"/>
        <v>1.0000616056586271</v>
      </c>
      <c r="I141" s="5" t="str">
        <f t="shared" si="23"/>
        <v>-27 44 04.73622</v>
      </c>
      <c r="J141" s="5" t="str">
        <f t="shared" si="24"/>
        <v>124 05 27.42497</v>
      </c>
      <c r="K141" s="10">
        <f t="shared" si="25"/>
        <v>1.0000616056586271</v>
      </c>
      <c r="L141" s="11" t="str">
        <f t="shared" si="26"/>
        <v>0 01 42.12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 t="shared" si="18"/>
        <v>55407.156068449782</v>
      </c>
      <c r="E142" s="4">
        <f t="shared" si="19"/>
        <v>343870.4105015872</v>
      </c>
      <c r="F142" s="8">
        <f t="shared" si="20"/>
        <v>1</v>
      </c>
      <c r="G142" s="8" t="str">
        <f t="shared" si="21"/>
        <v>0 01 56.79</v>
      </c>
      <c r="H142" s="9">
        <f t="shared" si="22"/>
        <v>1.000051110260725</v>
      </c>
      <c r="I142" s="5" t="str">
        <f t="shared" si="23"/>
        <v>-33 46 05.13833</v>
      </c>
      <c r="J142" s="5" t="str">
        <f t="shared" si="24"/>
        <v>118 25 30.12312</v>
      </c>
      <c r="K142" s="10">
        <f t="shared" si="25"/>
        <v>1.0000511102607248</v>
      </c>
      <c r="L142" s="11" t="str">
        <f t="shared" si="26"/>
        <v>0 01 56.79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 t="shared" si="18"/>
        <v>55913.084198796016</v>
      </c>
      <c r="E143" s="4">
        <f t="shared" si="19"/>
        <v>307054.64844307723</v>
      </c>
      <c r="F143" s="8">
        <f t="shared" si="20"/>
        <v>1</v>
      </c>
      <c r="G143" s="8" t="str">
        <f t="shared" si="21"/>
        <v>0 01 39.27</v>
      </c>
      <c r="H143" s="9">
        <f t="shared" si="22"/>
        <v>1.0000681313815005</v>
      </c>
      <c r="I143" s="5" t="str">
        <f t="shared" si="23"/>
        <v>-27 27 07.95290</v>
      </c>
      <c r="J143" s="5" t="str">
        <f t="shared" si="24"/>
        <v>124 45 07.32251</v>
      </c>
      <c r="K143" s="10">
        <f t="shared" si="25"/>
        <v>1.0000681313815007</v>
      </c>
      <c r="L143" s="11" t="str">
        <f t="shared" si="26"/>
        <v>0 01 39.27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 t="shared" si="18"/>
        <v>53512.045918668824</v>
      </c>
      <c r="E144" s="4">
        <f t="shared" si="19"/>
        <v>368790.75014000479</v>
      </c>
      <c r="F144" s="8">
        <f t="shared" si="20"/>
        <v>1</v>
      </c>
      <c r="G144" s="8" t="str">
        <f t="shared" si="21"/>
        <v>0 00 46.85</v>
      </c>
      <c r="H144" s="9">
        <f t="shared" si="22"/>
        <v>1.0001011823103072</v>
      </c>
      <c r="I144" s="5" t="str">
        <f t="shared" si="23"/>
        <v>-22 25 33.12520</v>
      </c>
      <c r="J144" s="5" t="str">
        <f t="shared" si="24"/>
        <v>117 46 02.79714</v>
      </c>
      <c r="K144" s="10">
        <f t="shared" si="25"/>
        <v>1.0001011823103074</v>
      </c>
      <c r="L144" s="11" t="str">
        <f t="shared" si="26"/>
        <v>0 00 46.85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 t="shared" si="18"/>
        <v>50139.324162081182</v>
      </c>
      <c r="E145" s="4">
        <f t="shared" si="19"/>
        <v>370342.2035485087</v>
      </c>
      <c r="F145" s="8">
        <f t="shared" si="20"/>
        <v>1</v>
      </c>
      <c r="G145" s="8" t="str">
        <f t="shared" si="21"/>
        <v>0 00 01.87</v>
      </c>
      <c r="H145" s="9">
        <f t="shared" si="22"/>
        <v>1.0000253002397084</v>
      </c>
      <c r="I145" s="5" t="str">
        <f t="shared" si="23"/>
        <v>-22 34 57.37130</v>
      </c>
      <c r="J145" s="5" t="str">
        <f t="shared" si="24"/>
        <v>115 56 04.87727</v>
      </c>
      <c r="K145" s="10">
        <f t="shared" si="25"/>
        <v>1.0000253002397084</v>
      </c>
      <c r="L145" s="11" t="str">
        <f t="shared" si="26"/>
        <v>0 00 01.87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 t="shared" si="18"/>
        <v>50912.644661503728</v>
      </c>
      <c r="E146" s="4">
        <f t="shared" si="19"/>
        <v>310639.54460120155</v>
      </c>
      <c r="F146" s="8">
        <f t="shared" si="20"/>
        <v>1</v>
      </c>
      <c r="G146" s="8" t="str">
        <f t="shared" si="21"/>
        <v>0 00 18.60</v>
      </c>
      <c r="H146" s="9">
        <f t="shared" si="22"/>
        <v>1.0000155602668936</v>
      </c>
      <c r="I146" s="5" t="str">
        <f t="shared" si="23"/>
        <v>-32 14 51.24203</v>
      </c>
      <c r="J146" s="5" t="str">
        <f t="shared" si="24"/>
        <v>125 11 34.86340</v>
      </c>
      <c r="K146" s="10">
        <f t="shared" si="25"/>
        <v>1.0000155602668936</v>
      </c>
      <c r="L146" s="11" t="str">
        <f t="shared" si="26"/>
        <v>0 00 18.60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 t="shared" si="18"/>
        <v>52279.875518925917</v>
      </c>
      <c r="E147" s="4">
        <f t="shared" si="19"/>
        <v>302564.48197682528</v>
      </c>
      <c r="F147" s="8">
        <f t="shared" si="20"/>
        <v>1</v>
      </c>
      <c r="G147" s="8" t="str">
        <f t="shared" si="21"/>
        <v>0 00 40.55</v>
      </c>
      <c r="H147" s="9">
        <f t="shared" si="22"/>
        <v>1.0000048541160109</v>
      </c>
      <c r="I147" s="5" t="str">
        <f t="shared" si="23"/>
        <v>-28 49 47.75736</v>
      </c>
      <c r="J147" s="5" t="str">
        <f t="shared" si="24"/>
        <v>114 50 24.09511</v>
      </c>
      <c r="K147" s="10">
        <f t="shared" si="25"/>
        <v>1.0000048541160109</v>
      </c>
      <c r="L147" s="11" t="str">
        <f t="shared" si="26"/>
        <v>0 00 40.55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 t="shared" si="18"/>
        <v>102957.58853740701</v>
      </c>
      <c r="E148" s="4">
        <f t="shared" si="19"/>
        <v>342613.29106283467</v>
      </c>
      <c r="F148" s="8">
        <f t="shared" si="20"/>
        <v>1</v>
      </c>
      <c r="G148" s="8" t="str">
        <f t="shared" si="21"/>
        <v>0 00 34.51</v>
      </c>
      <c r="H148" s="9">
        <f t="shared" si="22"/>
        <v>1.000005578069241</v>
      </c>
      <c r="I148" s="5" t="str">
        <f t="shared" si="23"/>
        <v>-19 50 47.43773</v>
      </c>
      <c r="J148" s="5" t="str">
        <f t="shared" si="24"/>
        <v>120 36 16.64629</v>
      </c>
      <c r="K148" s="10">
        <f t="shared" si="25"/>
        <v>1.000005578069241</v>
      </c>
      <c r="L148" s="11" t="str">
        <f t="shared" si="26"/>
        <v>0 00 34.51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 t="shared" si="18"/>
        <v>56177.874699178283</v>
      </c>
      <c r="E149" s="4">
        <f t="shared" si="19"/>
        <v>365714.30493516801</v>
      </c>
      <c r="F149" s="8">
        <f t="shared" si="20"/>
        <v>1</v>
      </c>
      <c r="G149" s="8" t="str">
        <f t="shared" si="21"/>
        <v>0 02 19.44</v>
      </c>
      <c r="H149" s="9">
        <f t="shared" si="22"/>
        <v>1.0000019001835061</v>
      </c>
      <c r="I149" s="5" t="str">
        <f t="shared" si="23"/>
        <v>-34 56 35.08415</v>
      </c>
      <c r="J149" s="5" t="str">
        <f t="shared" si="24"/>
        <v>116 45 03.45910</v>
      </c>
      <c r="K149" s="10">
        <f t="shared" si="25"/>
        <v>1.0000019001835063</v>
      </c>
      <c r="L149" s="11" t="str">
        <f t="shared" si="26"/>
        <v>0 02 19.44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 t="shared" si="18"/>
        <v>51141.411546223157</v>
      </c>
      <c r="E150" s="4">
        <f t="shared" si="19"/>
        <v>311780.67188320542</v>
      </c>
      <c r="F150" s="8">
        <f t="shared" si="20"/>
        <v>1</v>
      </c>
      <c r="G150" s="8" t="str">
        <f t="shared" si="21"/>
        <v>0 00 17.77</v>
      </c>
      <c r="H150" s="9">
        <f t="shared" si="22"/>
        <v>1.0000813460787663</v>
      </c>
      <c r="I150" s="5" t="str">
        <f t="shared" si="23"/>
        <v>-25 43 17.63090</v>
      </c>
      <c r="J150" s="5" t="str">
        <f t="shared" si="24"/>
        <v>127 15 50.94313</v>
      </c>
      <c r="K150" s="10">
        <f t="shared" si="25"/>
        <v>1.0000813460787661</v>
      </c>
      <c r="L150" s="11" t="str">
        <f t="shared" si="26"/>
        <v>0 00 17.77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 t="shared" si="18"/>
        <v>51383.781871333667</v>
      </c>
      <c r="E151" s="4">
        <f t="shared" si="19"/>
        <v>347577.85199035006</v>
      </c>
      <c r="F151" s="8">
        <f t="shared" si="20"/>
        <v>1</v>
      </c>
      <c r="G151" s="8" t="str">
        <f t="shared" si="21"/>
        <v>0 00 20.80</v>
      </c>
      <c r="H151" s="9">
        <f t="shared" si="22"/>
        <v>1.0000932536351952</v>
      </c>
      <c r="I151" s="5" t="str">
        <f t="shared" si="23"/>
        <v>-24 56 48.59945</v>
      </c>
      <c r="J151" s="5" t="str">
        <f t="shared" si="24"/>
        <v>128 38 36.32150</v>
      </c>
      <c r="K151" s="10">
        <f t="shared" si="25"/>
        <v>1.000093253635195</v>
      </c>
      <c r="L151" s="11" t="str">
        <f t="shared" si="26"/>
        <v>0 00 20.80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 t="shared" si="18"/>
        <v>56457.552452440133</v>
      </c>
      <c r="E152" s="4">
        <f t="shared" si="19"/>
        <v>326039.13492698409</v>
      </c>
      <c r="F152" s="8">
        <f t="shared" si="20"/>
        <v>1</v>
      </c>
      <c r="G152" s="8" t="str">
        <f t="shared" si="21"/>
        <v>0 01 42.14</v>
      </c>
      <c r="H152" s="9">
        <f t="shared" si="22"/>
        <v>1.0000835860658543</v>
      </c>
      <c r="I152" s="5" t="str">
        <f t="shared" si="23"/>
        <v>-26 04 48.71111</v>
      </c>
      <c r="J152" s="5" t="str">
        <f t="shared" si="24"/>
        <v>126 47 29.33722</v>
      </c>
      <c r="K152" s="10">
        <f t="shared" si="25"/>
        <v>1.0000835860658543</v>
      </c>
      <c r="L152" s="11" t="str">
        <f t="shared" si="26"/>
        <v>0 01 42.14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 t="shared" si="18"/>
        <v>50180.75407981727</v>
      </c>
      <c r="E153" s="4">
        <f t="shared" si="19"/>
        <v>386052.95623671357</v>
      </c>
      <c r="F153" s="8">
        <f t="shared" si="20"/>
        <v>1</v>
      </c>
      <c r="G153" s="8" t="str">
        <f t="shared" si="21"/>
        <v>0 00 03.36</v>
      </c>
      <c r="H153" s="9">
        <f t="shared" si="22"/>
        <v>1.0000205804029179</v>
      </c>
      <c r="I153" s="5" t="str">
        <f t="shared" si="23"/>
        <v>-29 56 37.52819</v>
      </c>
      <c r="J153" s="5" t="str">
        <f t="shared" si="24"/>
        <v>115 19 06.74018</v>
      </c>
      <c r="K153" s="10">
        <f t="shared" si="25"/>
        <v>1.0000205804029179</v>
      </c>
      <c r="L153" s="11" t="str">
        <f t="shared" si="26"/>
        <v>0 00 03.36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 t="shared" si="18"/>
        <v>0</v>
      </c>
      <c r="E154" s="4">
        <f t="shared" si="19"/>
        <v>0</v>
      </c>
      <c r="F154" s="8">
        <f t="shared" si="20"/>
        <v>2</v>
      </c>
      <c r="G154" s="8" t="str">
        <f t="shared" si="21"/>
        <v>-30 15 09.12</v>
      </c>
      <c r="H154" s="9">
        <f t="shared" si="22"/>
        <v>0</v>
      </c>
      <c r="I154" s="5" t="str">
        <f t="shared" si="23"/>
        <v>Division by zero</v>
      </c>
      <c r="J154" s="5" t="str">
        <f t="shared" si="24"/>
        <v>Division by zero</v>
      </c>
      <c r="K154" s="10" t="str">
        <f t="shared" si="25"/>
        <v>Division by zero</v>
      </c>
      <c r="L154" s="11" t="str">
        <f t="shared" si="26"/>
        <v>Division by zero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 t="shared" si="18"/>
        <v>59263.813314269661</v>
      </c>
      <c r="E155" s="4">
        <f t="shared" si="19"/>
        <v>309941.80384006491</v>
      </c>
      <c r="F155" s="8">
        <f t="shared" si="20"/>
        <v>1</v>
      </c>
      <c r="G155" s="8" t="str">
        <f t="shared" si="21"/>
        <v>0 02 41.61</v>
      </c>
      <c r="H155" s="9">
        <f t="shared" si="22"/>
        <v>1.0000670786125703</v>
      </c>
      <c r="I155" s="5" t="str">
        <f t="shared" si="23"/>
        <v>-28 21 52.55176</v>
      </c>
      <c r="J155" s="5" t="str">
        <f t="shared" si="24"/>
        <v>121 05 40.18078</v>
      </c>
      <c r="K155" s="10">
        <f t="shared" si="25"/>
        <v>1.00006707861257</v>
      </c>
      <c r="L155" s="11" t="str">
        <f t="shared" si="26"/>
        <v>0 02 41.61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 t="shared" si="18"/>
        <v>51955.921974137425</v>
      </c>
      <c r="E156" s="4">
        <f t="shared" si="19"/>
        <v>362503.78446954535</v>
      </c>
      <c r="F156" s="8">
        <f t="shared" si="20"/>
        <v>1</v>
      </c>
      <c r="G156" s="8" t="str">
        <f t="shared" si="21"/>
        <v>0 00 26.75</v>
      </c>
      <c r="H156" s="9">
        <f t="shared" si="22"/>
        <v>1.000103717236106</v>
      </c>
      <c r="I156" s="5" t="str">
        <f t="shared" si="23"/>
        <v>-22 56 02.54789</v>
      </c>
      <c r="J156" s="5" t="str">
        <f t="shared" si="24"/>
        <v>119 02 03.64027</v>
      </c>
      <c r="K156" s="10">
        <f t="shared" si="25"/>
        <v>1.0001037172361062</v>
      </c>
      <c r="L156" s="11" t="str">
        <f t="shared" si="26"/>
        <v>0 00 26.75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 t="shared" si="18"/>
        <v>52347.439973273889</v>
      </c>
      <c r="E157" s="4">
        <f t="shared" si="19"/>
        <v>392531.45912589179</v>
      </c>
      <c r="F157" s="8">
        <f t="shared" si="20"/>
        <v>1</v>
      </c>
      <c r="G157" s="8" t="str">
        <f t="shared" si="21"/>
        <v>0 00 28.91</v>
      </c>
      <c r="H157" s="9">
        <f t="shared" si="22"/>
        <v>1.0000054080688761</v>
      </c>
      <c r="I157" s="5" t="str">
        <f t="shared" si="23"/>
        <v>-20 51 32.07996</v>
      </c>
      <c r="J157" s="5" t="str">
        <f t="shared" si="24"/>
        <v>117 47 21.20417</v>
      </c>
      <c r="K157" s="10">
        <f t="shared" si="25"/>
        <v>1.0000054080688763</v>
      </c>
      <c r="L157" s="11" t="str">
        <f t="shared" si="26"/>
        <v>0 00 28.91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 t="shared" si="18"/>
        <v>55797.216939323254</v>
      </c>
      <c r="E158" s="4">
        <f t="shared" si="19"/>
        <v>297195.58799018571</v>
      </c>
      <c r="F158" s="8">
        <f t="shared" si="20"/>
        <v>1</v>
      </c>
      <c r="G158" s="8" t="str">
        <f t="shared" si="21"/>
        <v>0 01 11.25</v>
      </c>
      <c r="H158" s="9">
        <f t="shared" si="22"/>
        <v>1.0000049751469986</v>
      </c>
      <c r="I158" s="5" t="str">
        <f t="shared" si="23"/>
        <v>-20 49 00.45343</v>
      </c>
      <c r="J158" s="5" t="str">
        <f t="shared" si="24"/>
        <v>117 59 20.48546</v>
      </c>
      <c r="K158" s="10">
        <f t="shared" si="25"/>
        <v>1.0000049751469986</v>
      </c>
      <c r="L158" s="11" t="str">
        <f t="shared" si="26"/>
        <v>0 01 11.25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 t="shared" si="18"/>
        <v>51909.369053990864</v>
      </c>
      <c r="E159" s="4">
        <f t="shared" si="19"/>
        <v>391287.00787844928</v>
      </c>
      <c r="F159" s="8">
        <f t="shared" si="20"/>
        <v>1</v>
      </c>
      <c r="G159" s="8" t="str">
        <f t="shared" si="21"/>
        <v>0 00 23.53</v>
      </c>
      <c r="H159" s="9">
        <f t="shared" si="22"/>
        <v>1.0000016150339683</v>
      </c>
      <c r="I159" s="5" t="str">
        <f t="shared" si="23"/>
        <v>-20 52 12.82894</v>
      </c>
      <c r="J159" s="5" t="str">
        <f t="shared" si="24"/>
        <v>117 35 06.05533</v>
      </c>
      <c r="K159" s="10">
        <f t="shared" si="25"/>
        <v>1.0000016150339683</v>
      </c>
      <c r="L159" s="11" t="str">
        <f t="shared" si="26"/>
        <v>0 00 23.53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 t="shared" si="18"/>
        <v>54822.305858593238</v>
      </c>
      <c r="E160" s="4">
        <f t="shared" si="19"/>
        <v>310363.44713130686</v>
      </c>
      <c r="F160" s="8">
        <f t="shared" si="20"/>
        <v>1</v>
      </c>
      <c r="G160" s="8" t="str">
        <f t="shared" si="21"/>
        <v>0 01 22.73</v>
      </c>
      <c r="H160" s="9">
        <f t="shared" si="22"/>
        <v>1.0000673468800569</v>
      </c>
      <c r="I160" s="5" t="str">
        <f t="shared" si="23"/>
        <v>-27 57 49.61437</v>
      </c>
      <c r="J160" s="5" t="str">
        <f t="shared" si="24"/>
        <v>123 24 07.42342</v>
      </c>
      <c r="K160" s="10">
        <f t="shared" si="25"/>
        <v>1.0000673468800567</v>
      </c>
      <c r="L160" s="11" t="str">
        <f t="shared" si="26"/>
        <v>0 01 22.73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 t="shared" si="18"/>
        <v>56751.050516868134</v>
      </c>
      <c r="E161" s="4">
        <f t="shared" si="19"/>
        <v>238449.76101243496</v>
      </c>
      <c r="F161" s="8">
        <f t="shared" si="20"/>
        <v>1</v>
      </c>
      <c r="G161" s="8" t="str">
        <f t="shared" si="21"/>
        <v>0 01 49.42</v>
      </c>
      <c r="H161" s="9">
        <f t="shared" si="22"/>
        <v>1.0000771423923707</v>
      </c>
      <c r="I161" s="5" t="str">
        <f t="shared" si="23"/>
        <v>-26 38 10.37623</v>
      </c>
      <c r="J161" s="5" t="str">
        <f t="shared" si="24"/>
        <v>120 16 04.06308</v>
      </c>
      <c r="K161" s="10">
        <f t="shared" si="25"/>
        <v>1.0000771423923704</v>
      </c>
      <c r="L161" s="11" t="str">
        <f t="shared" si="26"/>
        <v>0 01 49.42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 t="shared" si="18"/>
        <v>48610.719478372142</v>
      </c>
      <c r="E162" s="4">
        <f t="shared" si="19"/>
        <v>338539.64013561094</v>
      </c>
      <c r="F162" s="8">
        <f t="shared" si="20"/>
        <v>1</v>
      </c>
      <c r="G162" s="8" t="str">
        <f t="shared" si="21"/>
        <v>0 00 18.37</v>
      </c>
      <c r="H162" s="9">
        <f t="shared" si="22"/>
        <v>1.0000822038347006</v>
      </c>
      <c r="I162" s="5" t="str">
        <f t="shared" si="23"/>
        <v>-22 14 52.67094</v>
      </c>
      <c r="J162" s="5" t="str">
        <f t="shared" si="24"/>
        <v>118 03 11.48508</v>
      </c>
      <c r="K162" s="10">
        <f t="shared" si="25"/>
        <v>1.0000822038347004</v>
      </c>
      <c r="L162" s="11" t="str">
        <f t="shared" si="26"/>
        <v>0 00 18.37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 t="shared" si="18"/>
        <v>50761.656005611454</v>
      </c>
      <c r="E163" s="4">
        <f t="shared" si="19"/>
        <v>327142.66493422724</v>
      </c>
      <c r="F163" s="8">
        <f t="shared" si="20"/>
        <v>1</v>
      </c>
      <c r="G163" s="8" t="str">
        <f t="shared" si="21"/>
        <v>0 00 09.61</v>
      </c>
      <c r="H163" s="9">
        <f t="shared" si="22"/>
        <v>1.0000360171652674</v>
      </c>
      <c r="I163" s="5" t="str">
        <f t="shared" si="23"/>
        <v>-21 19 20.62898</v>
      </c>
      <c r="J163" s="5" t="str">
        <f t="shared" si="24"/>
        <v>118 48 56.42874</v>
      </c>
      <c r="K163" s="10">
        <f t="shared" si="25"/>
        <v>1.0000360171652674</v>
      </c>
      <c r="L163" s="11" t="str">
        <f t="shared" si="26"/>
        <v>0 00 09.61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 t="shared" si="18"/>
        <v>52813.009000522608</v>
      </c>
      <c r="E164" s="4">
        <f t="shared" si="19"/>
        <v>316610.34560335195</v>
      </c>
      <c r="F164" s="8">
        <f t="shared" si="20"/>
        <v>1</v>
      </c>
      <c r="G164" s="8" t="str">
        <f t="shared" si="21"/>
        <v>0 00 57.62</v>
      </c>
      <c r="H164" s="9">
        <f t="shared" si="22"/>
        <v>1.0000169075361718</v>
      </c>
      <c r="I164" s="5" t="str">
        <f t="shared" si="23"/>
        <v>-32 22 26.52006</v>
      </c>
      <c r="J164" s="5" t="str">
        <f t="shared" si="24"/>
        <v>124 40 47.60735</v>
      </c>
      <c r="K164" s="10">
        <f t="shared" si="25"/>
        <v>1.0000169075361718</v>
      </c>
      <c r="L164" s="11" t="str">
        <f t="shared" si="26"/>
        <v>0 00 57.62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 t="shared" si="18"/>
        <v>54532.728656459687</v>
      </c>
      <c r="E165" s="4">
        <f t="shared" si="19"/>
        <v>381184.28845295683</v>
      </c>
      <c r="F165" s="8">
        <f t="shared" si="20"/>
        <v>1</v>
      </c>
      <c r="G165" s="8" t="str">
        <f t="shared" si="21"/>
        <v>0 01 24.51</v>
      </c>
      <c r="H165" s="9">
        <f t="shared" si="22"/>
        <v>1.000045973364228</v>
      </c>
      <c r="I165" s="5" t="str">
        <f t="shared" si="23"/>
        <v>-29 59 12.89915</v>
      </c>
      <c r="J165" s="5" t="str">
        <f t="shared" si="24"/>
        <v>116 44 49.09074</v>
      </c>
      <c r="K165" s="10">
        <f t="shared" si="25"/>
        <v>1.000045973364228</v>
      </c>
      <c r="L165" s="11" t="str">
        <f t="shared" si="26"/>
        <v>0 01 24.51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 t="shared" si="18"/>
        <v>55305.787575491653</v>
      </c>
      <c r="E166" s="4">
        <f t="shared" si="19"/>
        <v>387186.76485262718</v>
      </c>
      <c r="F166" s="8">
        <f t="shared" si="20"/>
        <v>1</v>
      </c>
      <c r="G166" s="8" t="str">
        <f t="shared" si="21"/>
        <v>0 01 11.78</v>
      </c>
      <c r="H166" s="9">
        <f t="shared" si="22"/>
        <v>1.0000383676284943</v>
      </c>
      <c r="I166" s="5" t="str">
        <f t="shared" si="23"/>
        <v>-22 42 45.56977</v>
      </c>
      <c r="J166" s="5" t="str">
        <f t="shared" si="24"/>
        <v>116 33 05.91037</v>
      </c>
      <c r="K166" s="10">
        <f t="shared" si="25"/>
        <v>1.0000383676284943</v>
      </c>
      <c r="L166" s="11" t="str">
        <f t="shared" si="26"/>
        <v>0 01 11.78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 t="shared" si="18"/>
        <v>48586.824012207959</v>
      </c>
      <c r="E167" s="4">
        <f t="shared" si="19"/>
        <v>312086.95640581101</v>
      </c>
      <c r="F167" s="8">
        <f t="shared" si="20"/>
        <v>1</v>
      </c>
      <c r="G167" s="8" t="str">
        <f t="shared" si="21"/>
        <v>0 00 13.01</v>
      </c>
      <c r="H167" s="9">
        <f t="shared" si="22"/>
        <v>1.0000235946857035</v>
      </c>
      <c r="I167" s="5" t="str">
        <f t="shared" si="23"/>
        <v>-15 53 37.03675</v>
      </c>
      <c r="J167" s="5" t="str">
        <f t="shared" si="24"/>
        <v>128 11 12.49534</v>
      </c>
      <c r="K167" s="10">
        <f t="shared" si="25"/>
        <v>1.0000235946857032</v>
      </c>
      <c r="L167" s="11" t="str">
        <f t="shared" si="26"/>
        <v>0 00 13.01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 t="shared" si="18"/>
        <v>54458.117984088007</v>
      </c>
      <c r="E168" s="4">
        <f t="shared" si="19"/>
        <v>324005.30767163355</v>
      </c>
      <c r="F168" s="8">
        <f t="shared" si="20"/>
        <v>1</v>
      </c>
      <c r="G168" s="8" t="str">
        <f t="shared" si="21"/>
        <v>0 01 17.98</v>
      </c>
      <c r="H168" s="9">
        <f t="shared" si="22"/>
        <v>1.0000476351676908</v>
      </c>
      <c r="I168" s="5" t="str">
        <f t="shared" si="23"/>
        <v>-28 25 39.85194</v>
      </c>
      <c r="J168" s="5" t="str">
        <f t="shared" si="24"/>
        <v>116 54 14.94875</v>
      </c>
      <c r="K168" s="10">
        <f t="shared" si="25"/>
        <v>1.0000476351676908</v>
      </c>
      <c r="L168" s="11" t="str">
        <f t="shared" si="26"/>
        <v>0 01 17.98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 t="shared" si="18"/>
        <v>53436.537666390963</v>
      </c>
      <c r="E169" s="4">
        <f t="shared" si="19"/>
        <v>354762.15674899938</v>
      </c>
      <c r="F169" s="8">
        <f t="shared" si="20"/>
        <v>1</v>
      </c>
      <c r="G169" s="8" t="str">
        <f t="shared" si="21"/>
        <v>0 00 46.59</v>
      </c>
      <c r="H169" s="9">
        <f t="shared" si="22"/>
        <v>1.000014145836204</v>
      </c>
      <c r="I169" s="5" t="str">
        <f t="shared" si="23"/>
        <v>-22 45 11.38453</v>
      </c>
      <c r="J169" s="5" t="str">
        <f t="shared" si="24"/>
        <v>115 07 00.45178</v>
      </c>
      <c r="K169" s="10">
        <f t="shared" si="25"/>
        <v>1.0000141458362037</v>
      </c>
      <c r="L169" s="11" t="str">
        <f t="shared" si="26"/>
        <v>0 00 46.59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 t="shared" si="18"/>
        <v>57020.262741687788</v>
      </c>
      <c r="E170" s="4">
        <f t="shared" si="19"/>
        <v>312486.55963583197</v>
      </c>
      <c r="F170" s="8">
        <f t="shared" si="20"/>
        <v>1</v>
      </c>
      <c r="G170" s="8" t="str">
        <f t="shared" si="21"/>
        <v>0 01 51.13</v>
      </c>
      <c r="H170" s="9">
        <f t="shared" si="22"/>
        <v>1.0000065782439174</v>
      </c>
      <c r="I170" s="5" t="str">
        <f t="shared" si="23"/>
        <v>-26 05 46.38052</v>
      </c>
      <c r="J170" s="5" t="str">
        <f t="shared" si="24"/>
        <v>114 26 12.63692</v>
      </c>
      <c r="K170" s="10">
        <f t="shared" si="25"/>
        <v>1.0000065782439174</v>
      </c>
      <c r="L170" s="11" t="str">
        <f t="shared" si="26"/>
        <v>0 01 51.13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 t="shared" si="18"/>
        <v>51173.591180252261</v>
      </c>
      <c r="E171" s="4">
        <f t="shared" si="19"/>
        <v>355138.4214171418</v>
      </c>
      <c r="F171" s="8">
        <f t="shared" si="20"/>
        <v>1</v>
      </c>
      <c r="G171" s="8" t="str">
        <f t="shared" si="21"/>
        <v>0 00 14.75</v>
      </c>
      <c r="H171" s="9">
        <f t="shared" si="22"/>
        <v>1.0000395470118586</v>
      </c>
      <c r="I171" s="5" t="str">
        <f t="shared" si="23"/>
        <v>-21 15 00.39269</v>
      </c>
      <c r="J171" s="5" t="str">
        <f t="shared" si="24"/>
        <v>120 47 10.70246</v>
      </c>
      <c r="K171" s="10">
        <f t="shared" si="25"/>
        <v>1.0000395470118586</v>
      </c>
      <c r="L171" s="11" t="str">
        <f t="shared" si="26"/>
        <v>0 00 14.75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 t="shared" si="18"/>
        <v>52062.509390557323</v>
      </c>
      <c r="E172" s="4">
        <f t="shared" si="19"/>
        <v>349694.77848679945</v>
      </c>
      <c r="F172" s="8">
        <f t="shared" si="20"/>
        <v>1</v>
      </c>
      <c r="G172" s="8" t="str">
        <f t="shared" si="21"/>
        <v>0 00 26.71</v>
      </c>
      <c r="H172" s="9">
        <f t="shared" si="22"/>
        <v>1.0000463125371697</v>
      </c>
      <c r="I172" s="5" t="str">
        <f t="shared" si="23"/>
        <v>-21 49 55.04977</v>
      </c>
      <c r="J172" s="5" t="str">
        <f t="shared" si="24"/>
        <v>118 51 11.81707</v>
      </c>
      <c r="K172" s="10">
        <f t="shared" si="25"/>
        <v>1.0000463125371697</v>
      </c>
      <c r="L172" s="11" t="str">
        <f t="shared" si="26"/>
        <v>0 00 26.71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 t="shared" si="18"/>
        <v>52194.040695162694</v>
      </c>
      <c r="E173" s="4">
        <f t="shared" si="19"/>
        <v>320514.33698533569</v>
      </c>
      <c r="F173" s="8">
        <f t="shared" si="20"/>
        <v>1</v>
      </c>
      <c r="G173" s="8" t="str">
        <f t="shared" si="21"/>
        <v>0 00 38.16</v>
      </c>
      <c r="H173" s="9">
        <f t="shared" si="22"/>
        <v>1.0000345893836526</v>
      </c>
      <c r="I173" s="5" t="str">
        <f t="shared" si="23"/>
        <v>-28 17 17.41553</v>
      </c>
      <c r="J173" s="5" t="str">
        <f t="shared" si="24"/>
        <v>114 56 20.51333</v>
      </c>
      <c r="K173" s="10">
        <f t="shared" si="25"/>
        <v>1.0000345893836526</v>
      </c>
      <c r="L173" s="11" t="str">
        <f t="shared" si="26"/>
        <v>0 00 38.16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 t="shared" si="18"/>
        <v>51871.489035470942</v>
      </c>
      <c r="E174" s="4">
        <f t="shared" si="19"/>
        <v>250933.63725601695</v>
      </c>
      <c r="F174" s="8">
        <f t="shared" si="20"/>
        <v>1</v>
      </c>
      <c r="G174" s="8" t="str">
        <f t="shared" si="21"/>
        <v>0 00 37.22</v>
      </c>
      <c r="H174" s="9">
        <f t="shared" si="22"/>
        <v>1.0000317831778562</v>
      </c>
      <c r="I174" s="5" t="str">
        <f t="shared" si="23"/>
        <v>-31 36 47.27372</v>
      </c>
      <c r="J174" s="5" t="str">
        <f t="shared" si="24"/>
        <v>116 26 11.00123</v>
      </c>
      <c r="K174" s="10">
        <f t="shared" si="25"/>
        <v>1.0000317831778562</v>
      </c>
      <c r="L174" s="11" t="str">
        <f t="shared" si="26"/>
        <v>0 00 37.22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 t="shared" si="18"/>
        <v>50638.163919944331</v>
      </c>
      <c r="E175" s="4">
        <f t="shared" si="19"/>
        <v>204728.19888539193</v>
      </c>
      <c r="F175" s="8">
        <f t="shared" si="20"/>
        <v>1</v>
      </c>
      <c r="G175" s="8" t="str">
        <f t="shared" si="21"/>
        <v>0 00 10.88</v>
      </c>
      <c r="H175" s="9">
        <f t="shared" si="22"/>
        <v>1.0000276350243975</v>
      </c>
      <c r="I175" s="5" t="str">
        <f t="shared" si="23"/>
        <v>-27 49 34.48686</v>
      </c>
      <c r="J175" s="5" t="str">
        <f t="shared" si="24"/>
        <v>114 40 53.31857</v>
      </c>
      <c r="K175" s="10">
        <f t="shared" si="25"/>
        <v>1.0000276350243977</v>
      </c>
      <c r="L175" s="11" t="str">
        <f t="shared" si="26"/>
        <v>0 00 10.88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 t="shared" si="18"/>
        <v>50231.771879903543</v>
      </c>
      <c r="E176" s="4">
        <f t="shared" si="19"/>
        <v>277867.99427329842</v>
      </c>
      <c r="F176" s="8">
        <f t="shared" si="20"/>
        <v>1</v>
      </c>
      <c r="G176" s="8" t="str">
        <f t="shared" si="21"/>
        <v>0 00 04.09</v>
      </c>
      <c r="H176" s="9">
        <f t="shared" si="22"/>
        <v>1.0000308006626262</v>
      </c>
      <c r="I176" s="5" t="str">
        <f t="shared" si="23"/>
        <v>-28 39 50.55815</v>
      </c>
      <c r="J176" s="5" t="str">
        <f t="shared" si="24"/>
        <v>115 15 08.53538</v>
      </c>
      <c r="K176" s="10">
        <f t="shared" si="25"/>
        <v>1.0000308006626262</v>
      </c>
      <c r="L176" s="11" t="str">
        <f t="shared" si="26"/>
        <v>0 00 04.09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 t="shared" si="18"/>
        <v>44962.547628922628</v>
      </c>
      <c r="E177" s="4">
        <f t="shared" si="19"/>
        <v>212205.03856796818</v>
      </c>
      <c r="F177" s="8">
        <f t="shared" si="20"/>
        <v>1</v>
      </c>
      <c r="G177" s="8" t="str">
        <f t="shared" si="21"/>
        <v>0 01 50.66</v>
      </c>
      <c r="H177" s="9">
        <f t="shared" si="22"/>
        <v>1.0000399126537234</v>
      </c>
      <c r="I177" s="5" t="str">
        <f t="shared" si="23"/>
        <v>-34 12 58.33087</v>
      </c>
      <c r="J177" s="5" t="str">
        <f t="shared" si="24"/>
        <v>118 15 43.21112</v>
      </c>
      <c r="K177" s="10">
        <f t="shared" si="25"/>
        <v>1.0000399126537234</v>
      </c>
      <c r="L177" s="11" t="str">
        <f t="shared" si="26"/>
        <v>0 01 50.66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 t="shared" si="18"/>
        <v>52747.343864337789</v>
      </c>
      <c r="E178" s="4">
        <f t="shared" si="19"/>
        <v>223918.04016627232</v>
      </c>
      <c r="F178" s="8">
        <f t="shared" si="20"/>
        <v>1</v>
      </c>
      <c r="G178" s="8" t="str">
        <f t="shared" si="21"/>
        <v>0 00 47.46</v>
      </c>
      <c r="H178" s="9">
        <f t="shared" si="22"/>
        <v>1.0000816231100569</v>
      </c>
      <c r="I178" s="5" t="str">
        <f t="shared" si="23"/>
        <v>-28 07 47.33220</v>
      </c>
      <c r="J178" s="5" t="str">
        <f t="shared" si="24"/>
        <v>119 04 44.66424</v>
      </c>
      <c r="K178" s="10">
        <f t="shared" si="25"/>
        <v>1.0000816231100569</v>
      </c>
      <c r="L178" s="11" t="str">
        <f t="shared" si="26"/>
        <v>0 00 47.46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 t="shared" si="18"/>
        <v>50149.260856964174</v>
      </c>
      <c r="E179" s="4">
        <f t="shared" si="19"/>
        <v>235502.5186770712</v>
      </c>
      <c r="F179" s="8">
        <f t="shared" si="20"/>
        <v>1</v>
      </c>
      <c r="G179" s="8" t="str">
        <f t="shared" si="21"/>
        <v>0 00 03.00</v>
      </c>
      <c r="H179" s="9">
        <f t="shared" si="22"/>
        <v>1.0000279902746361</v>
      </c>
      <c r="I179" s="5" t="str">
        <f t="shared" si="23"/>
        <v>-31 51 38.28316</v>
      </c>
      <c r="J179" s="5" t="str">
        <f t="shared" si="24"/>
        <v>116 48 45.67781</v>
      </c>
      <c r="K179" s="10">
        <f t="shared" si="25"/>
        <v>1.0000279902746361</v>
      </c>
      <c r="L179" s="11" t="str">
        <f t="shared" si="26"/>
        <v>0 00 03.00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 t="shared" si="18"/>
        <v>50768.63930250048</v>
      </c>
      <c r="E180" s="4">
        <f t="shared" si="19"/>
        <v>186551.17362652766</v>
      </c>
      <c r="F180" s="8">
        <f t="shared" si="20"/>
        <v>1</v>
      </c>
      <c r="G180" s="8" t="str">
        <f t="shared" si="21"/>
        <v>0 00 12.51</v>
      </c>
      <c r="H180" s="9">
        <f t="shared" si="22"/>
        <v>1.0000607672902326</v>
      </c>
      <c r="I180" s="5" t="str">
        <f t="shared" si="23"/>
        <v>-26 43 33.54802</v>
      </c>
      <c r="J180" s="5" t="str">
        <f t="shared" si="24"/>
        <v>126 08 10.80996</v>
      </c>
      <c r="K180" s="10">
        <f t="shared" si="25"/>
        <v>1.0000607672902326</v>
      </c>
      <c r="L180" s="11" t="str">
        <f t="shared" si="26"/>
        <v>0 00 12.51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 t="shared" si="18"/>
        <v>55244.445729758365</v>
      </c>
      <c r="E181" s="4">
        <f t="shared" si="19"/>
        <v>315605.12694891216</v>
      </c>
      <c r="F181" s="8">
        <f t="shared" si="20"/>
        <v>1</v>
      </c>
      <c r="G181" s="8" t="str">
        <f t="shared" si="21"/>
        <v>0 01 47.46</v>
      </c>
      <c r="H181" s="9">
        <f t="shared" si="22"/>
        <v>1.0000193490165417</v>
      </c>
      <c r="I181" s="5" t="str">
        <f t="shared" si="23"/>
        <v>-32 22 58.86494</v>
      </c>
      <c r="J181" s="5" t="str">
        <f t="shared" si="24"/>
        <v>123 56 20.63764</v>
      </c>
      <c r="K181" s="10">
        <f t="shared" si="25"/>
        <v>1.0000193490165417</v>
      </c>
      <c r="L181" s="11" t="str">
        <f t="shared" si="26"/>
        <v>0 01 47.46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 t="shared" si="18"/>
        <v>54764.638713061664</v>
      </c>
      <c r="E182" s="4">
        <f t="shared" si="19"/>
        <v>170908.71763599105</v>
      </c>
      <c r="F182" s="8">
        <f t="shared" si="20"/>
        <v>1</v>
      </c>
      <c r="G182" s="8" t="str">
        <f t="shared" si="21"/>
        <v>0 01 42.61</v>
      </c>
      <c r="H182" s="9">
        <f t="shared" si="22"/>
        <v>0.99999619975016074</v>
      </c>
      <c r="I182" s="5" t="str">
        <f t="shared" si="23"/>
        <v>-33 41 18.44804</v>
      </c>
      <c r="J182" s="5" t="str">
        <f t="shared" si="24"/>
        <v>115 29 04.99398</v>
      </c>
      <c r="K182" s="10">
        <f t="shared" si="25"/>
        <v>0.99999619975016074</v>
      </c>
      <c r="L182" s="11" t="str">
        <f t="shared" si="26"/>
        <v>0 01 42.61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 t="shared" si="18"/>
        <v>59551.654832107888</v>
      </c>
      <c r="E183" s="4">
        <f t="shared" si="19"/>
        <v>255694.97261208342</v>
      </c>
      <c r="F183" s="8">
        <f t="shared" si="20"/>
        <v>1</v>
      </c>
      <c r="G183" s="8" t="str">
        <f t="shared" si="21"/>
        <v>0 02 11.01</v>
      </c>
      <c r="H183" s="9">
        <f t="shared" si="22"/>
        <v>1.0001025664835019</v>
      </c>
      <c r="I183" s="5" t="str">
        <f t="shared" si="23"/>
        <v>-22 59 43.95264</v>
      </c>
      <c r="J183" s="5" t="str">
        <f t="shared" si="24"/>
        <v>117 59 47.35388</v>
      </c>
      <c r="K183" s="10">
        <f t="shared" si="25"/>
        <v>1.0001025664835019</v>
      </c>
      <c r="L183" s="11" t="str">
        <f t="shared" si="26"/>
        <v>0 02 11.01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 t="shared" si="18"/>
        <v>55446.903115270288</v>
      </c>
      <c r="E184" s="4">
        <f t="shared" si="19"/>
        <v>222337.82040950214</v>
      </c>
      <c r="F184" s="8">
        <f t="shared" si="20"/>
        <v>1</v>
      </c>
      <c r="G184" s="8" t="str">
        <f t="shared" si="21"/>
        <v>0 00 59.48</v>
      </c>
      <c r="H184" s="9">
        <f t="shared" si="22"/>
        <v>1.0000073266063156</v>
      </c>
      <c r="I184" s="5" t="str">
        <f t="shared" si="23"/>
        <v>-18 39 55.95408</v>
      </c>
      <c r="J184" s="5" t="str">
        <f t="shared" si="24"/>
        <v>121 58 53.86354</v>
      </c>
      <c r="K184" s="10">
        <f t="shared" si="25"/>
        <v>1.0000073266063156</v>
      </c>
      <c r="L184" s="11" t="str">
        <f t="shared" si="26"/>
        <v>0 00 59.48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 t="shared" si="18"/>
        <v>50865.494777921427</v>
      </c>
      <c r="E185" s="4">
        <f t="shared" si="19"/>
        <v>215942.86910022027</v>
      </c>
      <c r="F185" s="8">
        <f t="shared" si="20"/>
        <v>1</v>
      </c>
      <c r="G185" s="8" t="str">
        <f t="shared" si="21"/>
        <v>0 00 09.58</v>
      </c>
      <c r="H185" s="9">
        <f t="shared" si="22"/>
        <v>1.0000385992555367</v>
      </c>
      <c r="I185" s="5" t="str">
        <f t="shared" si="23"/>
        <v>-18 53 39.75400</v>
      </c>
      <c r="J185" s="5" t="str">
        <f t="shared" si="24"/>
        <v>126 07 46.57206</v>
      </c>
      <c r="K185" s="10">
        <f t="shared" si="25"/>
        <v>1.0000385992555367</v>
      </c>
      <c r="L185" s="11" t="str">
        <f t="shared" si="26"/>
        <v>0 00 09.58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 t="shared" si="18"/>
        <v>100887.03793129273</v>
      </c>
      <c r="E186" s="4">
        <f t="shared" si="19"/>
        <v>190424.6561872391</v>
      </c>
      <c r="F186" s="8">
        <f t="shared" si="20"/>
        <v>1</v>
      </c>
      <c r="G186" s="8" t="str">
        <f t="shared" si="21"/>
        <v>0 00 14.46</v>
      </c>
      <c r="H186" s="9">
        <f t="shared" si="22"/>
        <v>1.0000546597091107</v>
      </c>
      <c r="I186" s="5" t="str">
        <f t="shared" si="23"/>
        <v>-26 46 20.69188</v>
      </c>
      <c r="J186" s="5" t="str">
        <f t="shared" si="24"/>
        <v>116 35 32.10695</v>
      </c>
      <c r="K186" s="10">
        <f t="shared" si="25"/>
        <v>1.0000546597091107</v>
      </c>
      <c r="L186" s="11" t="str">
        <f t="shared" si="26"/>
        <v>0 00 14.46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 t="shared" si="18"/>
        <v>52567.902581744376</v>
      </c>
      <c r="E187" s="4">
        <f t="shared" si="19"/>
        <v>242747.49486852903</v>
      </c>
      <c r="F187" s="8">
        <f t="shared" si="20"/>
        <v>1</v>
      </c>
      <c r="G187" s="8" t="str">
        <f t="shared" si="21"/>
        <v>0 00 50.14</v>
      </c>
      <c r="H187" s="9">
        <f t="shared" si="22"/>
        <v>1.0000639512965224</v>
      </c>
      <c r="I187" s="5" t="str">
        <f t="shared" si="23"/>
        <v>-31 08 41.39783</v>
      </c>
      <c r="J187" s="5" t="str">
        <f t="shared" si="24"/>
        <v>120 18 36.93683</v>
      </c>
      <c r="K187" s="10">
        <f t="shared" si="25"/>
        <v>1.0000639512965224</v>
      </c>
      <c r="L187" s="11" t="str">
        <f t="shared" si="26"/>
        <v>0 00 50.14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 t="shared" si="18"/>
        <v>50098.70670978252</v>
      </c>
      <c r="E188" s="4">
        <f t="shared" si="19"/>
        <v>248152.15351569885</v>
      </c>
      <c r="F188" s="8">
        <f t="shared" si="20"/>
        <v>1</v>
      </c>
      <c r="G188" s="8" t="str">
        <f t="shared" si="21"/>
        <v>0 00 01.79</v>
      </c>
      <c r="H188" s="9">
        <f t="shared" si="22"/>
        <v>1.0000421501201657</v>
      </c>
      <c r="I188" s="5" t="str">
        <f t="shared" si="23"/>
        <v>-29 18 38.66062</v>
      </c>
      <c r="J188" s="5" t="str">
        <f t="shared" si="24"/>
        <v>116 08 54.21768</v>
      </c>
      <c r="K188" s="10">
        <f t="shared" si="25"/>
        <v>1.0000421501201657</v>
      </c>
      <c r="L188" s="11" t="str">
        <f t="shared" si="26"/>
        <v>0 00 01.79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 t="shared" si="18"/>
        <v>55635.083088370862</v>
      </c>
      <c r="E189" s="4">
        <f t="shared" si="19"/>
        <v>197325.31038761046</v>
      </c>
      <c r="F189" s="8">
        <f t="shared" si="20"/>
        <v>1</v>
      </c>
      <c r="G189" s="8" t="str">
        <f t="shared" si="21"/>
        <v>0 02 04.42</v>
      </c>
      <c r="H189" s="9">
        <f t="shared" si="22"/>
        <v>1.000011391238858</v>
      </c>
      <c r="I189" s="5" t="str">
        <f t="shared" si="23"/>
        <v>-34 21 04.73090</v>
      </c>
      <c r="J189" s="5" t="str">
        <f t="shared" si="24"/>
        <v>118 48 40.49428</v>
      </c>
      <c r="K189" s="10">
        <f t="shared" si="25"/>
        <v>1.000011391238858</v>
      </c>
      <c r="L189" s="11" t="str">
        <f t="shared" si="26"/>
        <v>0 02 04.42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 t="shared" si="18"/>
        <v>50834.57852652506</v>
      </c>
      <c r="E190" s="4">
        <f t="shared" si="19"/>
        <v>271572.97804511245</v>
      </c>
      <c r="F190" s="8">
        <f t="shared" si="20"/>
        <v>1</v>
      </c>
      <c r="G190" s="8" t="str">
        <f t="shared" si="21"/>
        <v>0 00 17.97</v>
      </c>
      <c r="H190" s="9">
        <f t="shared" si="22"/>
        <v>1.0000342585827966</v>
      </c>
      <c r="I190" s="5" t="str">
        <f t="shared" si="23"/>
        <v>-33 40 52.28720</v>
      </c>
      <c r="J190" s="5" t="str">
        <f t="shared" si="24"/>
        <v>116 09 32.39975</v>
      </c>
      <c r="K190" s="10">
        <f t="shared" si="25"/>
        <v>1.0000342585827966</v>
      </c>
      <c r="L190" s="11" t="str">
        <f t="shared" si="26"/>
        <v>0 00 17.97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 t="shared" si="18"/>
        <v>52514.313786597391</v>
      </c>
      <c r="E191" s="4">
        <f t="shared" si="19"/>
        <v>224089.40969087183</v>
      </c>
      <c r="F191" s="8">
        <f t="shared" si="20"/>
        <v>1</v>
      </c>
      <c r="G191" s="8" t="str">
        <f t="shared" si="21"/>
        <v>0 00 51.36</v>
      </c>
      <c r="H191" s="9">
        <f t="shared" si="22"/>
        <v>1.0000413979216323</v>
      </c>
      <c r="I191" s="5" t="str">
        <f t="shared" si="23"/>
        <v>-32 18 20.88281</v>
      </c>
      <c r="J191" s="5" t="str">
        <f t="shared" si="24"/>
        <v>117 01 36.10672</v>
      </c>
      <c r="K191" s="10">
        <f t="shared" si="25"/>
        <v>1.0000413979216325</v>
      </c>
      <c r="L191" s="11" t="str">
        <f t="shared" si="26"/>
        <v>0 00 51.36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 t="shared" si="18"/>
        <v>52587.965230547888</v>
      </c>
      <c r="E192" s="4">
        <f t="shared" si="19"/>
        <v>213527.15789899859</v>
      </c>
      <c r="F192" s="8">
        <f t="shared" si="20"/>
        <v>1</v>
      </c>
      <c r="G192" s="8" t="str">
        <f t="shared" si="21"/>
        <v>0 00 27.12</v>
      </c>
      <c r="H192" s="9">
        <f t="shared" si="22"/>
        <v>1.0000030627679153</v>
      </c>
      <c r="I192" s="5" t="str">
        <f t="shared" si="23"/>
        <v>-17 57 33.13847</v>
      </c>
      <c r="J192" s="5" t="str">
        <f t="shared" si="24"/>
        <v>122 21 27.95155</v>
      </c>
      <c r="K192" s="10">
        <f t="shared" si="25"/>
        <v>1.0000030627679151</v>
      </c>
      <c r="L192" s="11" t="str">
        <f t="shared" si="26"/>
        <v>0 00 27.12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 t="shared" si="18"/>
        <v>53449.938209438347</v>
      </c>
      <c r="E193" s="4">
        <f t="shared" si="19"/>
        <v>232289.11155201355</v>
      </c>
      <c r="F193" s="8">
        <f t="shared" si="20"/>
        <v>1</v>
      </c>
      <c r="G193" s="8" t="str">
        <f t="shared" si="21"/>
        <v>0 01 09.79</v>
      </c>
      <c r="H193" s="9">
        <f t="shared" si="22"/>
        <v>1.0000431967115446</v>
      </c>
      <c r="I193" s="5" t="str">
        <f t="shared" si="23"/>
        <v>-32 03 05.21996</v>
      </c>
      <c r="J193" s="5" t="str">
        <f t="shared" si="24"/>
        <v>122 09 11.50358</v>
      </c>
      <c r="K193" s="10">
        <f t="shared" si="25"/>
        <v>1.0000431967115446</v>
      </c>
      <c r="L193" s="11" t="str">
        <f t="shared" si="26"/>
        <v>0 01 09.79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 t="shared" si="18"/>
        <v>51488.163115452138</v>
      </c>
      <c r="E194" s="4">
        <f t="shared" si="19"/>
        <v>229889.65792225348</v>
      </c>
      <c r="F194" s="8">
        <f t="shared" si="20"/>
        <v>1</v>
      </c>
      <c r="G194" s="8" t="str">
        <f t="shared" si="21"/>
        <v>0 00 28.98</v>
      </c>
      <c r="H194" s="9">
        <f t="shared" si="22"/>
        <v>1.0000623773037562</v>
      </c>
      <c r="I194" s="5" t="str">
        <f t="shared" si="23"/>
        <v>-31 04 49.68275</v>
      </c>
      <c r="J194" s="5" t="str">
        <f t="shared" si="24"/>
        <v>120 52 56.13949</v>
      </c>
      <c r="K194" s="10">
        <f t="shared" si="25"/>
        <v>1.0000623773037565</v>
      </c>
      <c r="L194" s="11" t="str">
        <f t="shared" si="26"/>
        <v>0 00 28.98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 t="shared" si="18"/>
        <v>52917.448291377572</v>
      </c>
      <c r="E195" s="4">
        <f t="shared" si="19"/>
        <v>229250.91321544349</v>
      </c>
      <c r="F195" s="8">
        <f t="shared" si="20"/>
        <v>1</v>
      </c>
      <c r="G195" s="8" t="str">
        <f t="shared" si="21"/>
        <v>0 00 29.41</v>
      </c>
      <c r="H195" s="9">
        <f t="shared" si="22"/>
        <v>1.0000265151910528</v>
      </c>
      <c r="I195" s="5" t="str">
        <f t="shared" si="23"/>
        <v>-17 19 11.23252</v>
      </c>
      <c r="J195" s="5" t="str">
        <f t="shared" si="24"/>
        <v>122 30 08.79757</v>
      </c>
      <c r="K195" s="10">
        <f t="shared" si="25"/>
        <v>1.000026515191053</v>
      </c>
      <c r="L195" s="11" t="str">
        <f t="shared" si="26"/>
        <v>0 00 29.41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 t="shared" ref="D196:D259" si="27">grideasting(B196,C196,A196)</f>
        <v>51331.417881870177</v>
      </c>
      <c r="E196" s="4">
        <f t="shared" ref="E196:E259" si="28">gridnorthing(B196,C196,A196)</f>
        <v>248025.67842293251</v>
      </c>
      <c r="F196" s="8">
        <f t="shared" ref="F196:F259" si="29">gridzone(B196,C196,A196)</f>
        <v>1</v>
      </c>
      <c r="G196" s="8" t="str">
        <f t="shared" ref="G196:G259" si="30">GridGridCon(B196,C196,A196)</f>
        <v>0 00 22.94</v>
      </c>
      <c r="H196" s="9">
        <f t="shared" ref="H196:H259" si="31">GridPntScleFact(B196,C196,A196)</f>
        <v>1.0000704318680236</v>
      </c>
      <c r="I196" s="5" t="str">
        <f t="shared" ref="I196:I259" si="32">datumlat(D196,E196,F196,A196)</f>
        <v>-28 03 57.59042</v>
      </c>
      <c r="J196" s="5" t="str">
        <f t="shared" ref="J196:J259" si="33">datumlong(D196,E196,F196,A196)</f>
        <v>118 24 04.75560</v>
      </c>
      <c r="K196" s="10">
        <f t="shared" ref="K196:K259" si="34">DatumPntScle(D196,E196,F196,A196)</f>
        <v>1.0000704318680236</v>
      </c>
      <c r="L196" s="11" t="str">
        <f t="shared" ref="L196:L259" si="35">DatumGridConv(D196,E196,F196,A196)</f>
        <v>0 00 22.94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 t="shared" si="27"/>
        <v>56082.149765462571</v>
      </c>
      <c r="E197" s="4">
        <f t="shared" si="28"/>
        <v>260132.57773026312</v>
      </c>
      <c r="F197" s="8">
        <f t="shared" si="29"/>
        <v>1</v>
      </c>
      <c r="G197" s="8" t="str">
        <f t="shared" si="30"/>
        <v>0 01 23.28</v>
      </c>
      <c r="H197" s="9">
        <f t="shared" si="31"/>
        <v>1.0000510467794468</v>
      </c>
      <c r="I197" s="5" t="str">
        <f t="shared" si="32"/>
        <v>-22 57 30.59950</v>
      </c>
      <c r="J197" s="5" t="str">
        <f t="shared" si="33"/>
        <v>117 03 33.49397</v>
      </c>
      <c r="K197" s="10">
        <f t="shared" si="34"/>
        <v>1.0000510467794468</v>
      </c>
      <c r="L197" s="11" t="str">
        <f t="shared" si="35"/>
        <v>0 01 23.28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 t="shared" si="27"/>
        <v>56905.412428651245</v>
      </c>
      <c r="E198" s="4">
        <f t="shared" si="28"/>
        <v>241630.24069188861</v>
      </c>
      <c r="F198" s="8">
        <f t="shared" si="29"/>
        <v>1</v>
      </c>
      <c r="G198" s="8" t="str">
        <f t="shared" si="30"/>
        <v>0 01 31.18</v>
      </c>
      <c r="H198" s="9">
        <f t="shared" si="31"/>
        <v>1.0000672188677988</v>
      </c>
      <c r="I198" s="5" t="str">
        <f t="shared" si="32"/>
        <v>-22 13 13.39723</v>
      </c>
      <c r="J198" s="5" t="str">
        <f t="shared" si="33"/>
        <v>118 55 31.09973</v>
      </c>
      <c r="K198" s="10">
        <f t="shared" si="34"/>
        <v>1.0000672188677986</v>
      </c>
      <c r="L198" s="11" t="str">
        <f t="shared" si="35"/>
        <v>0 01 31.18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 t="shared" si="27"/>
        <v>44242.685182993446</v>
      </c>
      <c r="E199" s="4">
        <f t="shared" si="28"/>
        <v>238193.11794160493</v>
      </c>
      <c r="F199" s="8">
        <f t="shared" si="29"/>
        <v>1</v>
      </c>
      <c r="G199" s="8" t="str">
        <f t="shared" si="30"/>
        <v>0 01 13.42</v>
      </c>
      <c r="H199" s="9">
        <f t="shared" si="31"/>
        <v>1.0000464493888215</v>
      </c>
      <c r="I199" s="5" t="str">
        <f t="shared" si="32"/>
        <v>-21 31 45.96704</v>
      </c>
      <c r="J199" s="5" t="str">
        <f t="shared" si="33"/>
        <v>117 16 39.94684</v>
      </c>
      <c r="K199" s="10">
        <f t="shared" si="34"/>
        <v>1.0000464493888215</v>
      </c>
      <c r="L199" s="11" t="str">
        <f t="shared" si="35"/>
        <v>0 01 13.42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 t="shared" si="27"/>
        <v>51290.357488094858</v>
      </c>
      <c r="E200" s="4">
        <f t="shared" si="28"/>
        <v>277712.49536639638</v>
      </c>
      <c r="F200" s="8">
        <f t="shared" si="29"/>
        <v>1</v>
      </c>
      <c r="G200" s="8" t="str">
        <f t="shared" si="30"/>
        <v>0 00 24.09</v>
      </c>
      <c r="H200" s="9">
        <f t="shared" si="31"/>
        <v>1.0000350605327812</v>
      </c>
      <c r="I200" s="5" t="str">
        <f t="shared" si="32"/>
        <v>-30 01 06.82244</v>
      </c>
      <c r="J200" s="5" t="str">
        <f t="shared" si="33"/>
        <v>115 55 48.15181</v>
      </c>
      <c r="K200" s="10">
        <f t="shared" si="34"/>
        <v>1.0000350605327812</v>
      </c>
      <c r="L200" s="11" t="str">
        <f t="shared" si="35"/>
        <v>0 00 24.09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 t="shared" si="27"/>
        <v>50003.688139190897</v>
      </c>
      <c r="E201" s="4">
        <f t="shared" si="28"/>
        <v>269435.51858419739</v>
      </c>
      <c r="F201" s="8">
        <f t="shared" si="29"/>
        <v>1</v>
      </c>
      <c r="G201" s="8" t="str">
        <f t="shared" si="30"/>
        <v>0 00 00.08</v>
      </c>
      <c r="H201" s="9">
        <f t="shared" si="31"/>
        <v>1.0000407000001676</v>
      </c>
      <c r="I201" s="5" t="str">
        <f t="shared" si="32"/>
        <v>-32 20 52.04206</v>
      </c>
      <c r="J201" s="5" t="str">
        <f t="shared" si="33"/>
        <v>117 35 00.14104</v>
      </c>
      <c r="K201" s="10">
        <f t="shared" si="34"/>
        <v>1.0000407000001676</v>
      </c>
      <c r="L201" s="11" t="str">
        <f t="shared" si="35"/>
        <v>0 00 00.08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 t="shared" si="27"/>
        <v>52847.445214632018</v>
      </c>
      <c r="E202" s="4">
        <f t="shared" si="28"/>
        <v>216239.13543837192</v>
      </c>
      <c r="F202" s="8">
        <f t="shared" si="29"/>
        <v>1</v>
      </c>
      <c r="G202" s="8" t="str">
        <f t="shared" si="30"/>
        <v>0 00 49.39</v>
      </c>
      <c r="H202" s="9">
        <f t="shared" si="31"/>
        <v>1.0000770200173039</v>
      </c>
      <c r="I202" s="5" t="str">
        <f t="shared" si="32"/>
        <v>-28 13 34.66895</v>
      </c>
      <c r="J202" s="5" t="str">
        <f t="shared" si="33"/>
        <v>122 42 44.42616</v>
      </c>
      <c r="K202" s="10">
        <f t="shared" si="34"/>
        <v>1.0000770200173039</v>
      </c>
      <c r="L202" s="11" t="str">
        <f t="shared" si="35"/>
        <v>0 00 49.39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 t="shared" si="27"/>
        <v>55334.045513608893</v>
      </c>
      <c r="E203" s="4">
        <f t="shared" si="28"/>
        <v>371580.50618550833</v>
      </c>
      <c r="F203" s="8">
        <f t="shared" si="29"/>
        <v>1</v>
      </c>
      <c r="G203" s="8" t="str">
        <f t="shared" si="30"/>
        <v>0 01 54.84</v>
      </c>
      <c r="H203" s="9">
        <f t="shared" si="31"/>
        <v>1.0000361705961964</v>
      </c>
      <c r="I203" s="5" t="str">
        <f t="shared" si="32"/>
        <v>-33 40 51.80588</v>
      </c>
      <c r="J203" s="5" t="str">
        <f t="shared" si="33"/>
        <v>117 34 27.07601</v>
      </c>
      <c r="K203" s="10">
        <f t="shared" si="34"/>
        <v>1.0000361705961964</v>
      </c>
      <c r="L203" s="11" t="str">
        <f t="shared" si="35"/>
        <v>0 01 54.84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 t="shared" si="27"/>
        <v>54912.277086999275</v>
      </c>
      <c r="E204" s="4">
        <f t="shared" si="28"/>
        <v>219893.5786199565</v>
      </c>
      <c r="F204" s="8">
        <f t="shared" si="29"/>
        <v>1</v>
      </c>
      <c r="G204" s="8" t="str">
        <f t="shared" si="30"/>
        <v>0 01 23.17</v>
      </c>
      <c r="H204" s="9">
        <f t="shared" si="31"/>
        <v>1.0000623277041392</v>
      </c>
      <c r="I204" s="5" t="str">
        <f t="shared" si="32"/>
        <v>-27 39 08.43685</v>
      </c>
      <c r="J204" s="5" t="str">
        <f t="shared" si="33"/>
        <v>117 57 51.77412</v>
      </c>
      <c r="K204" s="10">
        <f t="shared" si="34"/>
        <v>1.0000623277041392</v>
      </c>
      <c r="L204" s="11" t="str">
        <f t="shared" si="35"/>
        <v>0 01 23.17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 t="shared" si="27"/>
        <v>53062.622775859971</v>
      </c>
      <c r="E205" s="4">
        <f t="shared" si="28"/>
        <v>241449.89141084859</v>
      </c>
      <c r="F205" s="8">
        <f t="shared" si="29"/>
        <v>1</v>
      </c>
      <c r="G205" s="8" t="str">
        <f t="shared" si="30"/>
        <v>0 01 01.65</v>
      </c>
      <c r="H205" s="9">
        <f t="shared" si="31"/>
        <v>1.0000445956217983</v>
      </c>
      <c r="I205" s="5" t="str">
        <f t="shared" si="32"/>
        <v>-31 55 25.34156</v>
      </c>
      <c r="J205" s="5" t="str">
        <f t="shared" si="33"/>
        <v>123 09 40.57819</v>
      </c>
      <c r="K205" s="10">
        <f t="shared" si="34"/>
        <v>1.0000445956217985</v>
      </c>
      <c r="L205" s="11" t="str">
        <f t="shared" si="35"/>
        <v>0 01 01.65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 t="shared" si="27"/>
        <v>57700.114135634743</v>
      </c>
      <c r="E206" s="4">
        <f t="shared" si="28"/>
        <v>217493.11963888537</v>
      </c>
      <c r="F206" s="8">
        <f t="shared" si="29"/>
        <v>1</v>
      </c>
      <c r="G206" s="8" t="str">
        <f t="shared" si="30"/>
        <v>0 02 28.26</v>
      </c>
      <c r="H206" s="9">
        <f t="shared" si="31"/>
        <v>1.0000327810628675</v>
      </c>
      <c r="I206" s="5" t="str">
        <f t="shared" si="32"/>
        <v>-30 47 31.13646</v>
      </c>
      <c r="J206" s="5" t="str">
        <f t="shared" si="33"/>
        <v>115 42 19.61701</v>
      </c>
      <c r="K206" s="10">
        <f t="shared" si="34"/>
        <v>1.0000327810628673</v>
      </c>
      <c r="L206" s="11" t="str">
        <f t="shared" si="35"/>
        <v>0 02 28.26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 t="shared" si="27"/>
        <v>50313.668738744142</v>
      </c>
      <c r="E207" s="4">
        <f t="shared" si="28"/>
        <v>346913.23015975207</v>
      </c>
      <c r="F207" s="8">
        <f t="shared" si="29"/>
        <v>1</v>
      </c>
      <c r="G207" s="8" t="str">
        <f t="shared" si="30"/>
        <v>0 00 05.37</v>
      </c>
      <c r="H207" s="9">
        <f t="shared" si="31"/>
        <v>1.0000661512137734</v>
      </c>
      <c r="I207" s="5" t="str">
        <f t="shared" si="32"/>
        <v>-27 55 05.70299</v>
      </c>
      <c r="J207" s="5" t="str">
        <f t="shared" si="33"/>
        <v>120 03 53.47073</v>
      </c>
      <c r="K207" s="10">
        <f t="shared" si="34"/>
        <v>1.0000661512137734</v>
      </c>
      <c r="L207" s="11" t="str">
        <f t="shared" si="35"/>
        <v>0 00 05.37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 t="shared" si="27"/>
        <v>50975.64369123162</v>
      </c>
      <c r="E208" s="4">
        <f t="shared" si="28"/>
        <v>258494.38367737434</v>
      </c>
      <c r="F208" s="8">
        <f t="shared" si="29"/>
        <v>1</v>
      </c>
      <c r="G208" s="8" t="str">
        <f t="shared" si="30"/>
        <v>0 00 09.98</v>
      </c>
      <c r="H208" s="9">
        <f t="shared" si="31"/>
        <v>1.0000039417638957</v>
      </c>
      <c r="I208" s="5" t="str">
        <f t="shared" si="32"/>
        <v>-17 33 10.44317</v>
      </c>
      <c r="J208" s="5" t="str">
        <f t="shared" si="33"/>
        <v>123 41 33.08230</v>
      </c>
      <c r="K208" s="10">
        <f t="shared" si="34"/>
        <v>1.000003941763896</v>
      </c>
      <c r="L208" s="11" t="str">
        <f t="shared" si="35"/>
        <v>0 00 09.98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 t="shared" si="27"/>
        <v>56932.823529320507</v>
      </c>
      <c r="E209" s="4">
        <f t="shared" si="28"/>
        <v>253776.2468969035</v>
      </c>
      <c r="F209" s="8">
        <f t="shared" si="29"/>
        <v>1</v>
      </c>
      <c r="G209" s="8" t="str">
        <f t="shared" si="30"/>
        <v>0 01 43.85</v>
      </c>
      <c r="H209" s="9">
        <f t="shared" si="31"/>
        <v>1.0001004532632949</v>
      </c>
      <c r="I209" s="5" t="str">
        <f t="shared" si="32"/>
        <v>-24 52 05.28654</v>
      </c>
      <c r="J209" s="5" t="str">
        <f t="shared" si="33"/>
        <v>129 10 54.94508</v>
      </c>
      <c r="K209" s="10">
        <f t="shared" si="34"/>
        <v>1.0001004532632949</v>
      </c>
      <c r="L209" s="11" t="str">
        <f t="shared" si="35"/>
        <v>0 01 43.85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 t="shared" si="27"/>
        <v>56643.606103460683</v>
      </c>
      <c r="E210" s="4">
        <f t="shared" si="28"/>
        <v>595940.7191859805</v>
      </c>
      <c r="F210" s="8">
        <f t="shared" si="29"/>
        <v>1</v>
      </c>
      <c r="G210" s="8" t="str">
        <f t="shared" si="30"/>
        <v>0 01 45.84</v>
      </c>
      <c r="H210" s="9">
        <f t="shared" si="31"/>
        <v>1.0000846546694346</v>
      </c>
      <c r="I210" s="5" t="str">
        <f t="shared" si="32"/>
        <v>-26 14 36.64655</v>
      </c>
      <c r="J210" s="5" t="str">
        <f t="shared" si="33"/>
        <v>119 33 59.36414</v>
      </c>
      <c r="K210" s="10">
        <f t="shared" si="34"/>
        <v>1.0000846546694344</v>
      </c>
      <c r="L210" s="11" t="str">
        <f t="shared" si="35"/>
        <v>0 01 45.84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 t="shared" si="27"/>
        <v>53852.503811934235</v>
      </c>
      <c r="E211" s="4">
        <f t="shared" si="28"/>
        <v>596575.12014607387</v>
      </c>
      <c r="F211" s="8">
        <f t="shared" si="29"/>
        <v>1</v>
      </c>
      <c r="G211" s="8" t="str">
        <f t="shared" si="30"/>
        <v>0 01 14.05</v>
      </c>
      <c r="H211" s="9">
        <f t="shared" si="31"/>
        <v>1.0000412729979906</v>
      </c>
      <c r="I211" s="5" t="str">
        <f t="shared" si="32"/>
        <v>-30 45 00.87199</v>
      </c>
      <c r="J211" s="5" t="str">
        <f t="shared" si="33"/>
        <v>116 53 24.83671</v>
      </c>
      <c r="K211" s="10">
        <f t="shared" si="34"/>
        <v>1.0000412729979906</v>
      </c>
      <c r="L211" s="11" t="str">
        <f t="shared" si="35"/>
        <v>0 01 14.05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 t="shared" si="27"/>
        <v>52043.539955309927</v>
      </c>
      <c r="E212" s="4">
        <f t="shared" si="28"/>
        <v>267872.974062389</v>
      </c>
      <c r="F212" s="8">
        <f t="shared" si="29"/>
        <v>1</v>
      </c>
      <c r="G212" s="8" t="str">
        <f t="shared" si="30"/>
        <v>0 00 18.52</v>
      </c>
      <c r="H212" s="9">
        <f t="shared" si="31"/>
        <v>1.0000249216215567</v>
      </c>
      <c r="I212" s="5" t="str">
        <f t="shared" si="32"/>
        <v>-15 39 38.08174</v>
      </c>
      <c r="J212" s="5" t="str">
        <f t="shared" si="33"/>
        <v>127 49 08.61618</v>
      </c>
      <c r="K212" s="10">
        <f t="shared" si="34"/>
        <v>1.0000249216215569</v>
      </c>
      <c r="L212" s="11" t="str">
        <f t="shared" si="35"/>
        <v>0 00 18.52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 t="shared" si="27"/>
        <v>58552.495402655295</v>
      </c>
      <c r="E213" s="4">
        <f t="shared" si="28"/>
        <v>150721.60576686542</v>
      </c>
      <c r="F213" s="8">
        <f t="shared" si="29"/>
        <v>1</v>
      </c>
      <c r="G213" s="8" t="str">
        <f t="shared" si="30"/>
        <v>0 03 11.81</v>
      </c>
      <c r="H213" s="9">
        <f t="shared" si="31"/>
        <v>1.0000136111278524</v>
      </c>
      <c r="I213" s="5" t="str">
        <f t="shared" si="32"/>
        <v>-34 46 16.81705</v>
      </c>
      <c r="J213" s="5" t="str">
        <f t="shared" si="33"/>
        <v>118 25 36.33514</v>
      </c>
      <c r="K213" s="10">
        <f t="shared" si="34"/>
        <v>1.0000136111278521</v>
      </c>
      <c r="L213" s="11" t="str">
        <f t="shared" si="35"/>
        <v>0 03 11.81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 t="shared" si="27"/>
        <v>51888.12470918335</v>
      </c>
      <c r="E214" s="4">
        <f t="shared" si="28"/>
        <v>256929.9149560174</v>
      </c>
      <c r="F214" s="8">
        <f t="shared" si="29"/>
        <v>1</v>
      </c>
      <c r="G214" s="8" t="str">
        <f t="shared" si="30"/>
        <v>0 00 23.65</v>
      </c>
      <c r="H214" s="9">
        <f t="shared" si="31"/>
        <v>1.0000414940335236</v>
      </c>
      <c r="I214" s="5" t="str">
        <f t="shared" si="32"/>
        <v>-21 10 46.91777</v>
      </c>
      <c r="J214" s="5" t="str">
        <f t="shared" si="33"/>
        <v>120 14 45.45272</v>
      </c>
      <c r="K214" s="10">
        <f t="shared" si="34"/>
        <v>1.0000414940335236</v>
      </c>
      <c r="L214" s="11" t="str">
        <f t="shared" si="35"/>
        <v>0 00 23.65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 t="shared" si="27"/>
        <v>57369.152888639524</v>
      </c>
      <c r="E215" s="4">
        <f t="shared" si="28"/>
        <v>229045.44013768667</v>
      </c>
      <c r="F215" s="8">
        <f t="shared" si="29"/>
        <v>1</v>
      </c>
      <c r="G215" s="8" t="str">
        <f t="shared" si="30"/>
        <v>0 01 08.36</v>
      </c>
      <c r="H215" s="9">
        <f t="shared" si="31"/>
        <v>1.0000632112201377</v>
      </c>
      <c r="I215" s="5" t="str">
        <f t="shared" si="32"/>
        <v>-16 00 39.01802</v>
      </c>
      <c r="J215" s="5" t="str">
        <f t="shared" si="33"/>
        <v>126 57 38.85228</v>
      </c>
      <c r="K215" s="10">
        <f t="shared" si="34"/>
        <v>1.0000632112201377</v>
      </c>
      <c r="L215" s="11" t="str">
        <f t="shared" si="35"/>
        <v>0 01 08.36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 t="shared" si="27"/>
        <v>55197.781561805881</v>
      </c>
      <c r="E216" s="4">
        <f t="shared" si="28"/>
        <v>251883.78858038131</v>
      </c>
      <c r="F216" s="8">
        <f t="shared" si="29"/>
        <v>1</v>
      </c>
      <c r="G216" s="8" t="str">
        <f t="shared" si="30"/>
        <v>0 01 43.34</v>
      </c>
      <c r="H216" s="9">
        <f t="shared" si="31"/>
        <v>1.0000061630692407</v>
      </c>
      <c r="I216" s="5" t="str">
        <f t="shared" si="32"/>
        <v>-31 36 19.33146</v>
      </c>
      <c r="J216" s="5" t="str">
        <f t="shared" si="33"/>
        <v>128 48 17.18406</v>
      </c>
      <c r="K216" s="10">
        <f t="shared" si="34"/>
        <v>1.0000061630692407</v>
      </c>
      <c r="L216" s="11" t="str">
        <f t="shared" si="35"/>
        <v>0 01 43.34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 t="shared" si="27"/>
        <v>54180.450712794431</v>
      </c>
      <c r="E217" s="4">
        <f t="shared" si="28"/>
        <v>427925.22136799339</v>
      </c>
      <c r="F217" s="8">
        <f t="shared" si="29"/>
        <v>1</v>
      </c>
      <c r="G217" s="8" t="str">
        <f t="shared" si="30"/>
        <v>0 00 58.05</v>
      </c>
      <c r="H217" s="9">
        <f t="shared" si="31"/>
        <v>1.0000059057927075</v>
      </c>
      <c r="I217" s="5" t="str">
        <f t="shared" si="32"/>
        <v>-23 14 54.65389</v>
      </c>
      <c r="J217" s="5" t="str">
        <f t="shared" si="33"/>
        <v>114 03 27.06307</v>
      </c>
      <c r="K217" s="10">
        <f t="shared" si="34"/>
        <v>1.0000059057927075</v>
      </c>
      <c r="L217" s="11" t="str">
        <f t="shared" si="35"/>
        <v>0 00 58.05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 t="shared" si="27"/>
        <v>49897.730636380671</v>
      </c>
      <c r="E218" s="4">
        <f t="shared" si="28"/>
        <v>252059.03649287811</v>
      </c>
      <c r="F218" s="8">
        <f t="shared" si="29"/>
        <v>1</v>
      </c>
      <c r="G218" s="8" t="str">
        <f t="shared" si="30"/>
        <v>0 00 02.21</v>
      </c>
      <c r="H218" s="9">
        <f t="shared" si="31"/>
        <v>1.0000356101288785</v>
      </c>
      <c r="I218" s="5" t="str">
        <f t="shared" si="32"/>
        <v>-33 43 51.08164</v>
      </c>
      <c r="J218" s="5" t="str">
        <f t="shared" si="33"/>
        <v>119 30 56.02745</v>
      </c>
      <c r="K218" s="10">
        <f t="shared" si="34"/>
        <v>1.0000356101288785</v>
      </c>
      <c r="L218" s="11" t="str">
        <f t="shared" si="35"/>
        <v>0 00 02.21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 t="shared" si="27"/>
        <v>58149.612682673236</v>
      </c>
      <c r="E219" s="4">
        <f t="shared" si="28"/>
        <v>277554.68447202863</v>
      </c>
      <c r="F219" s="8">
        <f t="shared" si="29"/>
        <v>1</v>
      </c>
      <c r="G219" s="8" t="str">
        <f t="shared" si="30"/>
        <v>0 01 27.05</v>
      </c>
      <c r="H219" s="9">
        <f t="shared" si="31"/>
        <v>1.0000232907127451</v>
      </c>
      <c r="I219" s="5" t="str">
        <f t="shared" si="32"/>
        <v>-18 17 01.83163</v>
      </c>
      <c r="J219" s="5" t="str">
        <f t="shared" si="33"/>
        <v>125 38 37.46864</v>
      </c>
      <c r="K219" s="10">
        <f t="shared" si="34"/>
        <v>1.0000232907127451</v>
      </c>
      <c r="L219" s="11" t="str">
        <f t="shared" si="35"/>
        <v>0 01 27.05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 t="shared" si="27"/>
        <v>52059.145227217123</v>
      </c>
      <c r="E220" s="4">
        <f t="shared" si="28"/>
        <v>255410.73880493641</v>
      </c>
      <c r="F220" s="8">
        <f t="shared" si="29"/>
        <v>1</v>
      </c>
      <c r="G220" s="8" t="str">
        <f t="shared" si="30"/>
        <v>0 00 26.15</v>
      </c>
      <c r="H220" s="9">
        <f t="shared" si="31"/>
        <v>1.0000173323706767</v>
      </c>
      <c r="I220" s="5" t="str">
        <f t="shared" si="32"/>
        <v>-21 26 47.49133</v>
      </c>
      <c r="J220" s="5" t="str">
        <f t="shared" si="33"/>
        <v>115 57 11.51201</v>
      </c>
      <c r="K220" s="10">
        <f t="shared" si="34"/>
        <v>1.0000173323706767</v>
      </c>
      <c r="L220" s="11" t="str">
        <f t="shared" si="35"/>
        <v>0 00 26.15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 t="shared" si="27"/>
        <v>55602.95911841427</v>
      </c>
      <c r="E221" s="4">
        <f t="shared" si="28"/>
        <v>231960.66253999854</v>
      </c>
      <c r="F221" s="8">
        <f t="shared" si="29"/>
        <v>1</v>
      </c>
      <c r="G221" s="8" t="str">
        <f t="shared" si="30"/>
        <v>0 02 05.06</v>
      </c>
      <c r="H221" s="9">
        <f t="shared" si="31"/>
        <v>1.0000164167642942</v>
      </c>
      <c r="I221" s="5" t="str">
        <f t="shared" si="32"/>
        <v>-34 38 34.40677</v>
      </c>
      <c r="J221" s="5" t="str">
        <f t="shared" si="33"/>
        <v>116 30 53.00075</v>
      </c>
      <c r="K221" s="10">
        <f t="shared" si="34"/>
        <v>1.0000164167642942</v>
      </c>
      <c r="L221" s="11" t="str">
        <f t="shared" si="35"/>
        <v>0 02 05.06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 t="shared" si="27"/>
        <v>0</v>
      </c>
      <c r="E222" s="4">
        <f t="shared" si="28"/>
        <v>0</v>
      </c>
      <c r="F222" s="8">
        <f t="shared" si="29"/>
        <v>2</v>
      </c>
      <c r="G222" s="8" t="str">
        <f t="shared" si="30"/>
        <v>-39 25 56.17</v>
      </c>
      <c r="H222" s="9">
        <f t="shared" si="31"/>
        <v>0</v>
      </c>
      <c r="I222" s="5" t="str">
        <f t="shared" si="32"/>
        <v>Division by zero</v>
      </c>
      <c r="J222" s="5" t="str">
        <f t="shared" si="33"/>
        <v>Division by zero</v>
      </c>
      <c r="K222" s="10" t="str">
        <f t="shared" si="34"/>
        <v>Division by zero</v>
      </c>
      <c r="L222" s="11" t="str">
        <f t="shared" si="35"/>
        <v>Division by zero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 t="shared" si="27"/>
        <v>59441.737039908301</v>
      </c>
      <c r="E223" s="4">
        <f t="shared" si="28"/>
        <v>220803.23369441461</v>
      </c>
      <c r="F223" s="8">
        <f t="shared" si="29"/>
        <v>1</v>
      </c>
      <c r="G223" s="8" t="str">
        <f t="shared" si="30"/>
        <v>0 02 45.35</v>
      </c>
      <c r="H223" s="9">
        <f t="shared" si="31"/>
        <v>1.0000484696678662</v>
      </c>
      <c r="I223" s="5" t="str">
        <f t="shared" si="32"/>
        <v>-28 27 23.76702</v>
      </c>
      <c r="J223" s="5" t="str">
        <f t="shared" si="33"/>
        <v>116 26 50.94060</v>
      </c>
      <c r="K223" s="10">
        <f t="shared" si="34"/>
        <v>1.0000484696678662</v>
      </c>
      <c r="L223" s="11" t="str">
        <f t="shared" si="35"/>
        <v>0 02 45.35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 t="shared" si="27"/>
        <v>49750.398978892154</v>
      </c>
      <c r="E224" s="4">
        <f t="shared" si="28"/>
        <v>204460.01164036733</v>
      </c>
      <c r="F224" s="8">
        <f t="shared" si="29"/>
        <v>1</v>
      </c>
      <c r="G224" s="8" t="str">
        <f t="shared" si="30"/>
        <v>0 00 02.43</v>
      </c>
      <c r="H224" s="9">
        <f t="shared" si="31"/>
        <v>1.0000699207699761</v>
      </c>
      <c r="I224" s="5" t="str">
        <f t="shared" si="32"/>
        <v>-16 46 30.11084</v>
      </c>
      <c r="J224" s="5" t="str">
        <f t="shared" si="33"/>
        <v>125 49 51.57224</v>
      </c>
      <c r="K224" s="10">
        <f t="shared" si="34"/>
        <v>1.0000699207699761</v>
      </c>
      <c r="L224" s="11" t="str">
        <f t="shared" si="35"/>
        <v>0 00 02.43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 t="shared" si="27"/>
        <v>50379.449186856778</v>
      </c>
      <c r="E225" s="4">
        <f t="shared" si="28"/>
        <v>248624.01373617817</v>
      </c>
      <c r="F225" s="8">
        <f t="shared" si="29"/>
        <v>1</v>
      </c>
      <c r="G225" s="8" t="str">
        <f t="shared" si="30"/>
        <v>0 00 05.74</v>
      </c>
      <c r="H225" s="9">
        <f t="shared" si="31"/>
        <v>1.0000202717772708</v>
      </c>
      <c r="I225" s="5" t="str">
        <f t="shared" si="32"/>
        <v>-25 03 56.12306</v>
      </c>
      <c r="J225" s="5" t="str">
        <f t="shared" si="33"/>
        <v>115 17 43.53853</v>
      </c>
      <c r="K225" s="10">
        <f t="shared" si="34"/>
        <v>1.0000202717772708</v>
      </c>
      <c r="L225" s="11" t="str">
        <f t="shared" si="35"/>
        <v>0 00 05.74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 t="shared" si="27"/>
        <v>0</v>
      </c>
      <c r="E226" s="4">
        <f t="shared" si="28"/>
        <v>0</v>
      </c>
      <c r="F226" s="8">
        <f t="shared" si="29"/>
        <v>2</v>
      </c>
      <c r="G226" s="8" t="str">
        <f t="shared" si="30"/>
        <v>-22 16 30.08</v>
      </c>
      <c r="H226" s="9">
        <f t="shared" si="31"/>
        <v>0</v>
      </c>
      <c r="I226" s="5" t="str">
        <f t="shared" si="32"/>
        <v>Division by zero</v>
      </c>
      <c r="J226" s="5" t="str">
        <f t="shared" si="33"/>
        <v>Division by zero</v>
      </c>
      <c r="K226" s="10" t="str">
        <f t="shared" si="34"/>
        <v>Division by zero</v>
      </c>
      <c r="L226" s="11" t="str">
        <f t="shared" si="35"/>
        <v>Division by zero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 t="shared" si="27"/>
        <v>104487.11565473193</v>
      </c>
      <c r="E227" s="4">
        <f t="shared" si="28"/>
        <v>193947.27401412372</v>
      </c>
      <c r="F227" s="8">
        <f t="shared" si="29"/>
        <v>1</v>
      </c>
      <c r="G227" s="8" t="str">
        <f t="shared" si="30"/>
        <v>0 00 42.12</v>
      </c>
      <c r="H227" s="9">
        <f t="shared" si="31"/>
        <v>1.0000783888557909</v>
      </c>
      <c r="I227" s="5" t="str">
        <f t="shared" si="32"/>
        <v>-16 11 31.92983</v>
      </c>
      <c r="J227" s="5" t="str">
        <f t="shared" si="33"/>
        <v>126 23 52.05332</v>
      </c>
      <c r="K227" s="10">
        <f t="shared" si="34"/>
        <v>1.0000783888557909</v>
      </c>
      <c r="L227" s="11" t="str">
        <f t="shared" si="35"/>
        <v>0 00 42.12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 t="shared" si="27"/>
        <v>51086.492373885929</v>
      </c>
      <c r="E228" s="4">
        <f t="shared" si="28"/>
        <v>234607.67913197214</v>
      </c>
      <c r="F228" s="8">
        <f t="shared" si="29"/>
        <v>1</v>
      </c>
      <c r="G228" s="8" t="str">
        <f t="shared" si="30"/>
        <v>0 00 16.58</v>
      </c>
      <c r="H228" s="9">
        <f t="shared" si="31"/>
        <v>1.000084944569841</v>
      </c>
      <c r="I228" s="5" t="str">
        <f t="shared" si="32"/>
        <v>-25 16 50.71526</v>
      </c>
      <c r="J228" s="5" t="str">
        <f t="shared" si="33"/>
        <v>127 53 55.83102</v>
      </c>
      <c r="K228" s="10">
        <f t="shared" si="34"/>
        <v>1.0000849445698408</v>
      </c>
      <c r="L228" s="11" t="str">
        <f t="shared" si="35"/>
        <v>0 00 16.58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 t="shared" si="27"/>
        <v>54095.10278633063</v>
      </c>
      <c r="E229" s="4">
        <f t="shared" si="28"/>
        <v>217418.55127300788</v>
      </c>
      <c r="F229" s="8">
        <f t="shared" si="29"/>
        <v>1</v>
      </c>
      <c r="G229" s="8" t="str">
        <f t="shared" si="30"/>
        <v>0 00 54.67</v>
      </c>
      <c r="H229" s="9">
        <f t="shared" si="31"/>
        <v>1.0000044470997294</v>
      </c>
      <c r="I229" s="5" t="str">
        <f t="shared" si="32"/>
        <v>-22 26 25.53670</v>
      </c>
      <c r="J229" s="5" t="str">
        <f t="shared" si="33"/>
        <v>114 45 23.21226</v>
      </c>
      <c r="K229" s="10">
        <f t="shared" si="34"/>
        <v>1.0000044470997294</v>
      </c>
      <c r="L229" s="11" t="str">
        <f t="shared" si="35"/>
        <v>0 00 54.67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 t="shared" si="27"/>
        <v>53078.273621025321</v>
      </c>
      <c r="E230" s="4">
        <f t="shared" si="28"/>
        <v>264849.38925466966</v>
      </c>
      <c r="F230" s="8">
        <f t="shared" si="29"/>
        <v>1</v>
      </c>
      <c r="G230" s="8" t="str">
        <f t="shared" si="30"/>
        <v>0 01 04.19</v>
      </c>
      <c r="H230" s="9">
        <f t="shared" si="31"/>
        <v>1.0000445867838774</v>
      </c>
      <c r="I230" s="5" t="str">
        <f t="shared" si="32"/>
        <v>-32 50 23.51069</v>
      </c>
      <c r="J230" s="5" t="str">
        <f t="shared" si="33"/>
        <v>116 41 58.36247</v>
      </c>
      <c r="K230" s="10">
        <f t="shared" si="34"/>
        <v>1.0000445867838772</v>
      </c>
      <c r="L230" s="11" t="str">
        <f t="shared" si="35"/>
        <v>0 01 04.19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 t="shared" si="27"/>
        <v>50291.545008395784</v>
      </c>
      <c r="E231" s="4">
        <f t="shared" si="28"/>
        <v>280021.58120979182</v>
      </c>
      <c r="F231" s="8">
        <f t="shared" si="29"/>
        <v>1</v>
      </c>
      <c r="G231" s="8" t="str">
        <f t="shared" si="30"/>
        <v>0 00 02.86</v>
      </c>
      <c r="H231" s="9">
        <f t="shared" si="31"/>
        <v>1.000047611050505</v>
      </c>
      <c r="I231" s="5" t="str">
        <f t="shared" si="32"/>
        <v>-16 54 21.11515</v>
      </c>
      <c r="J231" s="5" t="str">
        <f t="shared" si="33"/>
        <v>128 10 09.85098</v>
      </c>
      <c r="K231" s="10">
        <f t="shared" si="34"/>
        <v>1.000047611050505</v>
      </c>
      <c r="L231" s="11" t="str">
        <f t="shared" si="35"/>
        <v>0 00 02.86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 t="shared" si="27"/>
        <v>53230.695476731889</v>
      </c>
      <c r="E232" s="4">
        <f t="shared" si="28"/>
        <v>182063.25362693472</v>
      </c>
      <c r="F232" s="8">
        <f t="shared" si="29"/>
        <v>1</v>
      </c>
      <c r="G232" s="8" t="str">
        <f t="shared" si="30"/>
        <v>0 00 35.34</v>
      </c>
      <c r="H232" s="9">
        <f t="shared" si="31"/>
        <v>1.0000565389642777</v>
      </c>
      <c r="I232" s="5" t="str">
        <f t="shared" si="32"/>
        <v>-18 41 39.14549</v>
      </c>
      <c r="J232" s="5" t="str">
        <f t="shared" si="33"/>
        <v>127 48 50.25344</v>
      </c>
      <c r="K232" s="10">
        <f t="shared" si="34"/>
        <v>1.0000565389642777</v>
      </c>
      <c r="L232" s="11" t="str">
        <f t="shared" si="35"/>
        <v>0 00 35.34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 t="shared" si="27"/>
        <v>54501.176938053293</v>
      </c>
      <c r="E233" s="4">
        <f t="shared" si="28"/>
        <v>287340.05170444679</v>
      </c>
      <c r="F233" s="8">
        <f t="shared" si="29"/>
        <v>1</v>
      </c>
      <c r="G233" s="8" t="str">
        <f t="shared" si="30"/>
        <v>0 01 40.73</v>
      </c>
      <c r="H233" s="9">
        <f t="shared" si="31"/>
        <v>1.0000101496087068</v>
      </c>
      <c r="I233" s="5" t="str">
        <f t="shared" si="32"/>
        <v>-34 42 42.48713</v>
      </c>
      <c r="J233" s="5" t="str">
        <f t="shared" si="33"/>
        <v>117 01 56.88671</v>
      </c>
      <c r="K233" s="10">
        <f t="shared" si="34"/>
        <v>1.000010149608707</v>
      </c>
      <c r="L233" s="11" t="str">
        <f t="shared" si="35"/>
        <v>0 01 40.73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 t="shared" si="27"/>
        <v>51490.258068300565</v>
      </c>
      <c r="E234" s="4">
        <f t="shared" si="28"/>
        <v>232312.48283878202</v>
      </c>
      <c r="F234" s="8">
        <f t="shared" si="29"/>
        <v>1</v>
      </c>
      <c r="G234" s="8" t="str">
        <f t="shared" si="30"/>
        <v>0 00 31.42</v>
      </c>
      <c r="H234" s="9">
        <f t="shared" si="31"/>
        <v>1.0000462273692827</v>
      </c>
      <c r="I234" s="5" t="str">
        <f t="shared" si="32"/>
        <v>-33 07 59.43202</v>
      </c>
      <c r="J234" s="5" t="str">
        <f t="shared" si="33"/>
        <v>120 20 57.49152</v>
      </c>
      <c r="K234" s="10">
        <f t="shared" si="34"/>
        <v>1.0000462273692827</v>
      </c>
      <c r="L234" s="11" t="str">
        <f t="shared" si="35"/>
        <v>0 00 31.42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 t="shared" si="27"/>
        <v>54878.826570544814</v>
      </c>
      <c r="E235" s="4">
        <f t="shared" si="28"/>
        <v>248639.06135024223</v>
      </c>
      <c r="F235" s="8">
        <f t="shared" si="29"/>
        <v>1</v>
      </c>
      <c r="G235" s="8" t="str">
        <f t="shared" si="30"/>
        <v>0 01 03.64</v>
      </c>
      <c r="H235" s="9">
        <f t="shared" si="31"/>
        <v>1.0000714739575391</v>
      </c>
      <c r="I235" s="5" t="str">
        <f t="shared" si="32"/>
        <v>-21 58 35.03633</v>
      </c>
      <c r="J235" s="5" t="str">
        <f t="shared" si="33"/>
        <v>117 44 50.04895</v>
      </c>
      <c r="K235" s="10">
        <f t="shared" si="34"/>
        <v>1.0000714739575391</v>
      </c>
      <c r="L235" s="11" t="str">
        <f t="shared" si="35"/>
        <v>0 01 03.64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 t="shared" si="27"/>
        <v>100176.75894024767</v>
      </c>
      <c r="E236" s="4">
        <f t="shared" si="28"/>
        <v>226053.59606698016</v>
      </c>
      <c r="F236" s="8">
        <f t="shared" si="29"/>
        <v>1</v>
      </c>
      <c r="G236" s="8" t="str">
        <f t="shared" si="30"/>
        <v>0 00 03.53</v>
      </c>
      <c r="H236" s="9">
        <f t="shared" si="31"/>
        <v>1.0000124603851652</v>
      </c>
      <c r="I236" s="5" t="str">
        <f t="shared" si="32"/>
        <v>-31 43 47.64324</v>
      </c>
      <c r="J236" s="5" t="str">
        <f t="shared" si="33"/>
        <v>128 09 56.71447</v>
      </c>
      <c r="K236" s="10">
        <f t="shared" si="34"/>
        <v>1.0000124603851652</v>
      </c>
      <c r="L236" s="11" t="str">
        <f t="shared" si="35"/>
        <v>0 00 03.53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 t="shared" si="27"/>
        <v>67136.5987000163</v>
      </c>
      <c r="E237" s="4">
        <f t="shared" si="28"/>
        <v>237195.58862595633</v>
      </c>
      <c r="F237" s="8">
        <f t="shared" si="29"/>
        <v>1</v>
      </c>
      <c r="G237" s="8" t="str">
        <f t="shared" si="30"/>
        <v>0 05 48.49</v>
      </c>
      <c r="H237" s="9">
        <f t="shared" si="31"/>
        <v>1.0000314298058377</v>
      </c>
      <c r="I237" s="5" t="str">
        <f t="shared" si="32"/>
        <v>-32 11 16.52057</v>
      </c>
      <c r="J237" s="5" t="str">
        <f t="shared" si="33"/>
        <v>123 24 54.18936</v>
      </c>
      <c r="K237" s="10">
        <f t="shared" si="34"/>
        <v>1.0000314298058377</v>
      </c>
      <c r="L237" s="11" t="str">
        <f t="shared" si="35"/>
        <v>0 05 48.49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 t="shared" si="27"/>
        <v>55217.198463826877</v>
      </c>
      <c r="E238" s="4">
        <f t="shared" si="28"/>
        <v>220920.16029600636</v>
      </c>
      <c r="F238" s="8">
        <f t="shared" si="29"/>
        <v>1</v>
      </c>
      <c r="G238" s="8" t="str">
        <f t="shared" si="30"/>
        <v>0 00 48.26</v>
      </c>
      <c r="H238" s="9">
        <f t="shared" si="31"/>
        <v>1.0000525464429095</v>
      </c>
      <c r="I238" s="5" t="str">
        <f t="shared" si="32"/>
        <v>-15 58 01.05442</v>
      </c>
      <c r="J238" s="5" t="str">
        <f t="shared" si="33"/>
        <v>127 27 04.43754</v>
      </c>
      <c r="K238" s="10">
        <f t="shared" si="34"/>
        <v>1.0000525464429095</v>
      </c>
      <c r="L238" s="11" t="str">
        <f t="shared" si="35"/>
        <v>0 00 48.26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 t="shared" si="27"/>
        <v>50616.336892130523</v>
      </c>
      <c r="E239" s="4">
        <f t="shared" si="28"/>
        <v>265368.33489332767</v>
      </c>
      <c r="F239" s="8">
        <f t="shared" si="29"/>
        <v>1</v>
      </c>
      <c r="G239" s="8" t="str">
        <f t="shared" si="30"/>
        <v>0 00 13.30</v>
      </c>
      <c r="H239" s="9">
        <f t="shared" si="31"/>
        <v>1.0000086646809772</v>
      </c>
      <c r="I239" s="5" t="str">
        <f t="shared" si="32"/>
        <v>-33 44 16.76454</v>
      </c>
      <c r="J239" s="5" t="str">
        <f t="shared" si="33"/>
        <v>120 07 23.94361</v>
      </c>
      <c r="K239" s="10">
        <f t="shared" si="34"/>
        <v>1.0000086646809772</v>
      </c>
      <c r="L239" s="11" t="str">
        <f t="shared" si="35"/>
        <v>0 00 13.30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 t="shared" si="27"/>
        <v>58187.713424968402</v>
      </c>
      <c r="E240" s="4">
        <f t="shared" si="28"/>
        <v>446004.65873512812</v>
      </c>
      <c r="F240" s="8">
        <f t="shared" si="29"/>
        <v>1</v>
      </c>
      <c r="G240" s="8" t="str">
        <f t="shared" si="30"/>
        <v>0 02 45.99</v>
      </c>
      <c r="H240" s="9">
        <f t="shared" si="31"/>
        <v>1.0000355463525685</v>
      </c>
      <c r="I240" s="5" t="str">
        <f t="shared" si="32"/>
        <v>-32 06 30.10979</v>
      </c>
      <c r="J240" s="5" t="str">
        <f t="shared" si="33"/>
        <v>116 19 12.29250</v>
      </c>
      <c r="K240" s="10">
        <f t="shared" si="34"/>
        <v>1.0000355463525683</v>
      </c>
      <c r="L240" s="11" t="str">
        <f t="shared" si="35"/>
        <v>0 02 45.99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 t="shared" si="27"/>
        <v>52565.573652715662</v>
      </c>
      <c r="E241" s="4">
        <f t="shared" si="28"/>
        <v>305458.26911653019</v>
      </c>
      <c r="F241" s="8">
        <f t="shared" si="29"/>
        <v>1</v>
      </c>
      <c r="G241" s="8" t="str">
        <f t="shared" si="30"/>
        <v>0 00 52.75</v>
      </c>
      <c r="H241" s="9">
        <f t="shared" si="31"/>
        <v>1.0000454211280196</v>
      </c>
      <c r="I241" s="5" t="str">
        <f t="shared" si="32"/>
        <v>-32 28 25.22096</v>
      </c>
      <c r="J241" s="5" t="str">
        <f t="shared" si="33"/>
        <v>119 01 38.24724</v>
      </c>
      <c r="K241" s="10">
        <f t="shared" si="34"/>
        <v>1.0000454211280196</v>
      </c>
      <c r="L241" s="11" t="str">
        <f t="shared" si="35"/>
        <v>0 00 52.75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 t="shared" si="27"/>
        <v>54523.077351983236</v>
      </c>
      <c r="E242" s="4">
        <f t="shared" si="28"/>
        <v>222266.14971648226</v>
      </c>
      <c r="F242" s="8">
        <f t="shared" si="29"/>
        <v>1</v>
      </c>
      <c r="G242" s="8" t="str">
        <f t="shared" si="30"/>
        <v>0 00 44.89</v>
      </c>
      <c r="H242" s="9">
        <f t="shared" si="31"/>
        <v>1.0000643128358839</v>
      </c>
      <c r="I242" s="5" t="str">
        <f t="shared" si="32"/>
        <v>-17 03 57.63528</v>
      </c>
      <c r="J242" s="5" t="str">
        <f t="shared" si="33"/>
        <v>125 28 01.95694</v>
      </c>
      <c r="K242" s="10">
        <f t="shared" si="34"/>
        <v>1.0000643128358839</v>
      </c>
      <c r="L242" s="11" t="str">
        <f t="shared" si="35"/>
        <v>0 00 44.89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 t="shared" si="27"/>
        <v>50030.129363816442</v>
      </c>
      <c r="E243" s="4">
        <f t="shared" si="28"/>
        <v>260038.98683331674</v>
      </c>
      <c r="F243" s="8">
        <f t="shared" si="29"/>
        <v>1</v>
      </c>
      <c r="G243" s="8" t="str">
        <f t="shared" si="30"/>
        <v>0 00 00.66</v>
      </c>
      <c r="H243" s="9">
        <f t="shared" si="31"/>
        <v>1.000034720011185</v>
      </c>
      <c r="I243" s="5" t="str">
        <f t="shared" si="32"/>
        <v>-34 03 20.20446</v>
      </c>
      <c r="J243" s="5" t="str">
        <f t="shared" si="33"/>
        <v>118 54 01.17479</v>
      </c>
      <c r="K243" s="10">
        <f t="shared" si="34"/>
        <v>1.000034720011185</v>
      </c>
      <c r="L243" s="11" t="str">
        <f t="shared" si="35"/>
        <v>0 00 00.66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 t="shared" si="27"/>
        <v>50150.89975192702</v>
      </c>
      <c r="E244" s="4">
        <f t="shared" si="28"/>
        <v>255516.25607798668</v>
      </c>
      <c r="F244" s="8">
        <f t="shared" si="29"/>
        <v>1</v>
      </c>
      <c r="G244" s="8" t="str">
        <f t="shared" si="30"/>
        <v>0 00 03.05</v>
      </c>
      <c r="H244" s="9">
        <f t="shared" si="31"/>
        <v>1.0000130002806946</v>
      </c>
      <c r="I244" s="5" t="str">
        <f t="shared" si="32"/>
        <v>-32 01 23.93076</v>
      </c>
      <c r="J244" s="5" t="str">
        <f t="shared" si="33"/>
        <v>125 43 05.75036</v>
      </c>
      <c r="K244" s="10">
        <f t="shared" si="34"/>
        <v>1.0000130002806946</v>
      </c>
      <c r="L244" s="11" t="str">
        <f t="shared" si="35"/>
        <v>0 00 03.05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 t="shared" si="27"/>
        <v>58095.362498269817</v>
      </c>
      <c r="E245" s="4">
        <f t="shared" si="28"/>
        <v>215358.06954900641</v>
      </c>
      <c r="F245" s="8">
        <f t="shared" si="29"/>
        <v>1</v>
      </c>
      <c r="G245" s="8" t="str">
        <f t="shared" si="30"/>
        <v>0 01 50.57</v>
      </c>
      <c r="H245" s="9">
        <f t="shared" si="31"/>
        <v>1.0000718292071251</v>
      </c>
      <c r="I245" s="5" t="str">
        <f t="shared" si="32"/>
        <v>-22 54 32.39453</v>
      </c>
      <c r="J245" s="5" t="str">
        <f t="shared" si="33"/>
        <v>117 33 44.05212</v>
      </c>
      <c r="K245" s="10">
        <f t="shared" si="34"/>
        <v>1.0000718292071253</v>
      </c>
      <c r="L245" s="11" t="str">
        <f t="shared" si="35"/>
        <v>0 01 50.57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 t="shared" si="27"/>
        <v>53506.220031633384</v>
      </c>
      <c r="E246" s="4">
        <f t="shared" si="28"/>
        <v>266669.52593046194</v>
      </c>
      <c r="F246" s="8">
        <f t="shared" si="29"/>
        <v>1</v>
      </c>
      <c r="G246" s="8" t="str">
        <f t="shared" si="30"/>
        <v>0 00 58.76</v>
      </c>
      <c r="H246" s="9">
        <f t="shared" si="31"/>
        <v>1.0000201016826098</v>
      </c>
      <c r="I246" s="5" t="str">
        <f t="shared" si="32"/>
        <v>-27 24 42.77038</v>
      </c>
      <c r="J246" s="5" t="str">
        <f t="shared" si="33"/>
        <v>114 21 07.63726</v>
      </c>
      <c r="K246" s="10">
        <f t="shared" si="34"/>
        <v>1.0000201016826098</v>
      </c>
      <c r="L246" s="11" t="str">
        <f t="shared" si="35"/>
        <v>0 00 58.76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 t="shared" si="27"/>
        <v>58708.914687270648</v>
      </c>
      <c r="E247" s="4">
        <f t="shared" si="28"/>
        <v>237061.20071817841</v>
      </c>
      <c r="F247" s="8">
        <f t="shared" si="29"/>
        <v>1</v>
      </c>
      <c r="G247" s="8" t="str">
        <f t="shared" si="30"/>
        <v>0 02 29.64</v>
      </c>
      <c r="H247" s="9">
        <f t="shared" si="31"/>
        <v>1.0000851556389501</v>
      </c>
      <c r="I247" s="5" t="str">
        <f t="shared" si="32"/>
        <v>-28 00 07.56655</v>
      </c>
      <c r="J247" s="5" t="str">
        <f t="shared" si="33"/>
        <v>119 40 44.72162</v>
      </c>
      <c r="K247" s="10">
        <f t="shared" si="34"/>
        <v>1.0000851556389503</v>
      </c>
      <c r="L247" s="11" t="str">
        <f t="shared" si="35"/>
        <v>0 02 29.64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 t="shared" si="27"/>
        <v>51338.226225617735</v>
      </c>
      <c r="E248" s="4">
        <f t="shared" si="28"/>
        <v>180582.90811515925</v>
      </c>
      <c r="F248" s="8">
        <f t="shared" si="29"/>
        <v>1</v>
      </c>
      <c r="G248" s="8" t="str">
        <f t="shared" si="30"/>
        <v>0 00 18.03</v>
      </c>
      <c r="H248" s="9">
        <f t="shared" si="31"/>
        <v>1.0001130421130033</v>
      </c>
      <c r="I248" s="5" t="str">
        <f t="shared" si="32"/>
        <v>-22 38 06.55505</v>
      </c>
      <c r="J248" s="5" t="str">
        <f t="shared" si="33"/>
        <v>118 21 46.86048</v>
      </c>
      <c r="K248" s="10">
        <f t="shared" si="34"/>
        <v>1.0001130421130031</v>
      </c>
      <c r="L248" s="11" t="str">
        <f t="shared" si="35"/>
        <v>0 00 18.03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 t="shared" si="27"/>
        <v>54471.32065838838</v>
      </c>
      <c r="E249" s="4">
        <f t="shared" si="28"/>
        <v>233128.7520818105</v>
      </c>
      <c r="F249" s="8">
        <f t="shared" si="29"/>
        <v>1</v>
      </c>
      <c r="G249" s="8" t="str">
        <f t="shared" si="30"/>
        <v>0 01 28.22</v>
      </c>
      <c r="H249" s="9">
        <f t="shared" si="31"/>
        <v>1.0000417264745507</v>
      </c>
      <c r="I249" s="5" t="str">
        <f t="shared" si="32"/>
        <v>-31 24 45.54007</v>
      </c>
      <c r="J249" s="5" t="str">
        <f t="shared" si="33"/>
        <v>117 41 49.27117</v>
      </c>
      <c r="K249" s="10">
        <f t="shared" si="34"/>
        <v>1.0000417264745507</v>
      </c>
      <c r="L249" s="11" t="str">
        <f t="shared" si="35"/>
        <v>0 01 28.22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 t="shared" si="27"/>
        <v>52989.401448562581</v>
      </c>
      <c r="E250" s="4">
        <f t="shared" si="28"/>
        <v>167738.58137250319</v>
      </c>
      <c r="F250" s="8">
        <f t="shared" si="29"/>
        <v>1</v>
      </c>
      <c r="G250" s="8" t="str">
        <f t="shared" si="30"/>
        <v>0 00 48.35</v>
      </c>
      <c r="H250" s="9">
        <f t="shared" si="31"/>
        <v>1.0000915902713265</v>
      </c>
      <c r="I250" s="5" t="str">
        <f t="shared" si="32"/>
        <v>-26 35 17.16911</v>
      </c>
      <c r="J250" s="5" t="str">
        <f t="shared" si="33"/>
        <v>119 01 59.81563</v>
      </c>
      <c r="K250" s="10">
        <f t="shared" si="34"/>
        <v>1.0000915902713265</v>
      </c>
      <c r="L250" s="11" t="str">
        <f t="shared" si="35"/>
        <v>0 00 48.35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 t="shared" si="27"/>
        <v>50914.880693502164</v>
      </c>
      <c r="E251" s="4">
        <f t="shared" si="28"/>
        <v>255366.18305544322</v>
      </c>
      <c r="F251" s="8">
        <f t="shared" si="29"/>
        <v>1</v>
      </c>
      <c r="G251" s="8" t="str">
        <f t="shared" si="30"/>
        <v>0 00 19.81</v>
      </c>
      <c r="H251" s="9">
        <f t="shared" si="31"/>
        <v>1.0000381903135436</v>
      </c>
      <c r="I251" s="5" t="str">
        <f t="shared" si="32"/>
        <v>-33 49 37.80592</v>
      </c>
      <c r="J251" s="5" t="str">
        <f t="shared" si="33"/>
        <v>117 03 35.57732</v>
      </c>
      <c r="K251" s="10">
        <f t="shared" si="34"/>
        <v>1.0000381903135436</v>
      </c>
      <c r="L251" s="11" t="str">
        <f t="shared" si="35"/>
        <v>0 00 19.81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 t="shared" si="27"/>
        <v>51364.569003356228</v>
      </c>
      <c r="E252" s="4">
        <f t="shared" si="28"/>
        <v>259504.74936471414</v>
      </c>
      <c r="F252" s="8">
        <f t="shared" si="29"/>
        <v>1</v>
      </c>
      <c r="G252" s="8" t="str">
        <f t="shared" si="30"/>
        <v>0 00 27.92</v>
      </c>
      <c r="H252" s="9">
        <f t="shared" si="31"/>
        <v>1.0000430729512078</v>
      </c>
      <c r="I252" s="5" t="str">
        <f t="shared" si="32"/>
        <v>-32 20 49.51853</v>
      </c>
      <c r="J252" s="5" t="str">
        <f t="shared" si="33"/>
        <v>118 12 52.18265</v>
      </c>
      <c r="K252" s="10">
        <f t="shared" si="34"/>
        <v>1.0000430729512075</v>
      </c>
      <c r="L252" s="11" t="str">
        <f t="shared" si="35"/>
        <v>0 00 27.92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 t="shared" si="27"/>
        <v>52951.145064419819</v>
      </c>
      <c r="E253" s="4">
        <f t="shared" si="28"/>
        <v>704127.68279228499</v>
      </c>
      <c r="F253" s="8">
        <f t="shared" si="29"/>
        <v>1</v>
      </c>
      <c r="G253" s="8" t="str">
        <f t="shared" si="30"/>
        <v>0 00 54.57</v>
      </c>
      <c r="H253" s="9">
        <f t="shared" si="31"/>
        <v>1.0000501974046914</v>
      </c>
      <c r="I253" s="5" t="str">
        <f t="shared" si="32"/>
        <v>-29 46 47.36921</v>
      </c>
      <c r="J253" s="5" t="str">
        <f t="shared" si="33"/>
        <v>117 25 49.86296</v>
      </c>
      <c r="K253" s="10">
        <f t="shared" si="34"/>
        <v>1.0000501974046914</v>
      </c>
      <c r="L253" s="11" t="str">
        <f t="shared" si="35"/>
        <v>0 00 54.57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 t="shared" si="27"/>
        <v>102857.52198564423</v>
      </c>
      <c r="E254" s="4">
        <f t="shared" si="28"/>
        <v>217737.1561479778</v>
      </c>
      <c r="F254" s="8">
        <f t="shared" si="29"/>
        <v>1</v>
      </c>
      <c r="G254" s="8" t="str">
        <f t="shared" si="30"/>
        <v>0 00 42.76</v>
      </c>
      <c r="H254" s="9">
        <f t="shared" si="31"/>
        <v>1.0000882807889881</v>
      </c>
      <c r="I254" s="5" t="str">
        <f t="shared" si="32"/>
        <v>-24 50 46.40658</v>
      </c>
      <c r="J254" s="5" t="str">
        <f t="shared" si="33"/>
        <v>119 30 31.76734</v>
      </c>
      <c r="K254" s="10">
        <f t="shared" si="34"/>
        <v>1.0000882807889881</v>
      </c>
      <c r="L254" s="11" t="str">
        <f t="shared" si="35"/>
        <v>0 00 42.76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 t="shared" si="27"/>
        <v>0</v>
      </c>
      <c r="E255" s="4">
        <f t="shared" si="28"/>
        <v>0</v>
      </c>
      <c r="F255" s="8">
        <f t="shared" si="29"/>
        <v>2</v>
      </c>
      <c r="G255" s="8" t="str">
        <f t="shared" si="30"/>
        <v>-45 11 54.38</v>
      </c>
      <c r="H255" s="9">
        <f t="shared" si="31"/>
        <v>0</v>
      </c>
      <c r="I255" s="5" t="str">
        <f t="shared" si="32"/>
        <v>Division by zero</v>
      </c>
      <c r="J255" s="5" t="str">
        <f t="shared" si="33"/>
        <v>Division by zero</v>
      </c>
      <c r="K255" s="10" t="str">
        <f t="shared" si="34"/>
        <v>Division by zero</v>
      </c>
      <c r="L255" s="11" t="str">
        <f t="shared" si="35"/>
        <v>Division by zero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 t="shared" si="27"/>
        <v>51673.88784333285</v>
      </c>
      <c r="E256" s="4">
        <f t="shared" si="28"/>
        <v>229223.38897290407</v>
      </c>
      <c r="F256" s="8">
        <f t="shared" si="29"/>
        <v>1</v>
      </c>
      <c r="G256" s="8" t="str">
        <f t="shared" si="30"/>
        <v>0 00 35.09</v>
      </c>
      <c r="H256" s="9">
        <f t="shared" si="31"/>
        <v>1.0000460445308619</v>
      </c>
      <c r="I256" s="5" t="str">
        <f t="shared" si="32"/>
        <v>-32 58 50.54966</v>
      </c>
      <c r="J256" s="5" t="str">
        <f t="shared" si="33"/>
        <v>119 42 28.26443</v>
      </c>
      <c r="K256" s="10">
        <f t="shared" si="34"/>
        <v>1.0000460445308619</v>
      </c>
      <c r="L256" s="11" t="str">
        <f t="shared" si="35"/>
        <v>0 00 35.09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 t="shared" si="27"/>
        <v>51425.069146815906</v>
      </c>
      <c r="E257" s="4">
        <f t="shared" si="28"/>
        <v>229480.99207955622</v>
      </c>
      <c r="F257" s="8">
        <f t="shared" si="29"/>
        <v>1</v>
      </c>
      <c r="G257" s="8" t="str">
        <f t="shared" si="30"/>
        <v>0 00 15.49</v>
      </c>
      <c r="H257" s="9">
        <f t="shared" si="31"/>
        <v>1.0000583350931582</v>
      </c>
      <c r="I257" s="5" t="str">
        <f t="shared" si="32"/>
        <v>-18 34 55.17505</v>
      </c>
      <c r="J257" s="5" t="str">
        <f t="shared" si="33"/>
        <v>127 16 00.60110</v>
      </c>
      <c r="K257" s="10">
        <f t="shared" si="34"/>
        <v>1.0000583350931582</v>
      </c>
      <c r="L257" s="11" t="str">
        <f t="shared" si="35"/>
        <v>0 00 15.49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 t="shared" si="27"/>
        <v>53702.765812236001</v>
      </c>
      <c r="E258" s="4">
        <f t="shared" si="28"/>
        <v>126872.63436875446</v>
      </c>
      <c r="F258" s="8">
        <f t="shared" si="29"/>
        <v>1</v>
      </c>
      <c r="G258" s="8" t="str">
        <f t="shared" si="30"/>
        <v>0 01 05.92</v>
      </c>
      <c r="H258" s="9">
        <f t="shared" si="31"/>
        <v>1.0000650491097662</v>
      </c>
      <c r="I258" s="5" t="str">
        <f t="shared" si="32"/>
        <v>-28 51 08.94769</v>
      </c>
      <c r="J258" s="5" t="str">
        <f t="shared" si="33"/>
        <v>122 08 16.60085</v>
      </c>
      <c r="K258" s="10">
        <f t="shared" si="34"/>
        <v>1.0000650491097662</v>
      </c>
      <c r="L258" s="11" t="str">
        <f t="shared" si="35"/>
        <v>0 01 05.92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 t="shared" si="27"/>
        <v>52854.746611518589</v>
      </c>
      <c r="E259" s="4">
        <f t="shared" si="28"/>
        <v>218839.43327519996</v>
      </c>
      <c r="F259" s="8">
        <f t="shared" si="29"/>
        <v>1</v>
      </c>
      <c r="G259" s="8" t="str">
        <f t="shared" si="30"/>
        <v>0 00 48.72</v>
      </c>
      <c r="H259" s="9">
        <f t="shared" si="31"/>
        <v>1.0000778805383062</v>
      </c>
      <c r="I259" s="5" t="str">
        <f t="shared" si="32"/>
        <v>-27 50 30.81408</v>
      </c>
      <c r="J259" s="5" t="str">
        <f t="shared" si="33"/>
        <v>120 40 18.60244</v>
      </c>
      <c r="K259" s="10">
        <f t="shared" si="34"/>
        <v>1.0000778805383062</v>
      </c>
      <c r="L259" s="11" t="str">
        <f t="shared" si="35"/>
        <v>0 00 48.72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 t="shared" ref="D260:D323" si="36">grideasting(B260,C260,A260)</f>
        <v>51643.01688974072</v>
      </c>
      <c r="E260" s="4">
        <f t="shared" ref="E260:E323" si="37">gridnorthing(B260,C260,A260)</f>
        <v>313925.07034040801</v>
      </c>
      <c r="F260" s="8">
        <f t="shared" ref="F260:F323" si="38">gridzone(B260,C260,A260)</f>
        <v>1</v>
      </c>
      <c r="G260" s="8" t="str">
        <f t="shared" ref="G260:G323" si="39">GridGridCon(B260,C260,A260)</f>
        <v>0 00 19.08</v>
      </c>
      <c r="H260" s="9">
        <f t="shared" ref="H260:H323" si="40">GridPntScleFact(B260,C260,A260)</f>
        <v>1.0000666533495217</v>
      </c>
      <c r="I260" s="5" t="str">
        <f t="shared" ref="I260:I323" si="41">datumlat(D260,E260,F260,A260)</f>
        <v>-19 45 40.28105</v>
      </c>
      <c r="J260" s="5" t="str">
        <f t="shared" ref="J260:J323" si="42">datumlong(D260,E260,F260,A260)</f>
        <v>128 48 56.43360</v>
      </c>
      <c r="K260" s="10">
        <f t="shared" ref="K260:K323" si="43">DatumPntScle(D260,E260,F260,A260)</f>
        <v>1.0000666533495217</v>
      </c>
      <c r="L260" s="11" t="str">
        <f t="shared" ref="L260:L323" si="44">DatumGridConv(D260,E260,F260,A260)</f>
        <v>0 00 19.08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 t="shared" si="36"/>
        <v>54562.674778882116</v>
      </c>
      <c r="E261" s="4">
        <f t="shared" si="37"/>
        <v>245200.00404518587</v>
      </c>
      <c r="F261" s="8">
        <f t="shared" si="38"/>
        <v>1</v>
      </c>
      <c r="G261" s="8" t="str">
        <f t="shared" si="39"/>
        <v>0 00 47.00</v>
      </c>
      <c r="H261" s="9">
        <f t="shared" si="40"/>
        <v>1.0000082572757993</v>
      </c>
      <c r="I261" s="5" t="str">
        <f t="shared" si="41"/>
        <v>-17 40 22.59779</v>
      </c>
      <c r="J261" s="5" t="str">
        <f t="shared" si="42"/>
        <v>123 03 34.81366</v>
      </c>
      <c r="K261" s="10">
        <f t="shared" si="43"/>
        <v>1.0000082572757993</v>
      </c>
      <c r="L261" s="11" t="str">
        <f t="shared" si="44"/>
        <v>0 00 47.00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 t="shared" si="36"/>
        <v>50224.209355276384</v>
      </c>
      <c r="E262" s="4">
        <f t="shared" si="37"/>
        <v>225564.05234540743</v>
      </c>
      <c r="F262" s="8">
        <f t="shared" si="38"/>
        <v>1</v>
      </c>
      <c r="G262" s="8" t="str">
        <f t="shared" si="39"/>
        <v>0 00 02.47</v>
      </c>
      <c r="H262" s="9">
        <f t="shared" si="40"/>
        <v>1.0000453306211288</v>
      </c>
      <c r="I262" s="5" t="str">
        <f t="shared" si="41"/>
        <v>-18 49 31.44288</v>
      </c>
      <c r="J262" s="5" t="str">
        <f t="shared" si="42"/>
        <v>126 41 40.65756</v>
      </c>
      <c r="K262" s="10">
        <f t="shared" si="43"/>
        <v>1.0000453306211288</v>
      </c>
      <c r="L262" s="11" t="str">
        <f t="shared" si="44"/>
        <v>0 00 02.47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 t="shared" si="36"/>
        <v>55135.474117574755</v>
      </c>
      <c r="E263" s="4">
        <f t="shared" si="37"/>
        <v>269800.65902859019</v>
      </c>
      <c r="F263" s="8">
        <f t="shared" si="38"/>
        <v>1</v>
      </c>
      <c r="G263" s="8" t="str">
        <f t="shared" si="39"/>
        <v>0 01 43.26</v>
      </c>
      <c r="H263" s="9">
        <f t="shared" si="40"/>
        <v>1.0000012951137494</v>
      </c>
      <c r="I263" s="5" t="str">
        <f t="shared" si="41"/>
        <v>-31 53 41.52001</v>
      </c>
      <c r="J263" s="5" t="str">
        <f t="shared" si="42"/>
        <v>127 05 15.42844</v>
      </c>
      <c r="K263" s="10">
        <f t="shared" si="43"/>
        <v>1.0000012951137494</v>
      </c>
      <c r="L263" s="11" t="str">
        <f t="shared" si="44"/>
        <v>0 01 43.26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 t="shared" si="36"/>
        <v>49710.703587967422</v>
      </c>
      <c r="E264" s="4">
        <f t="shared" si="37"/>
        <v>236033.47134265676</v>
      </c>
      <c r="F264" s="8">
        <f t="shared" si="38"/>
        <v>1</v>
      </c>
      <c r="G264" s="8" t="str">
        <f t="shared" si="39"/>
        <v>0 00 05.84</v>
      </c>
      <c r="H264" s="9">
        <f t="shared" si="40"/>
        <v>1.0000496510316397</v>
      </c>
      <c r="I264" s="5" t="str">
        <f t="shared" si="41"/>
        <v>-32 01 02.92271</v>
      </c>
      <c r="J264" s="5" t="str">
        <f t="shared" si="42"/>
        <v>122 47 48.97684</v>
      </c>
      <c r="K264" s="10">
        <f t="shared" si="43"/>
        <v>1.0000496510316397</v>
      </c>
      <c r="L264" s="11" t="str">
        <f t="shared" si="44"/>
        <v>0 00 05.84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 t="shared" si="36"/>
        <v>50135.658971762095</v>
      </c>
      <c r="E265" s="4">
        <f t="shared" si="37"/>
        <v>293689.87728780415</v>
      </c>
      <c r="F265" s="8">
        <f t="shared" si="38"/>
        <v>1</v>
      </c>
      <c r="G265" s="8" t="str">
        <f t="shared" si="39"/>
        <v>0 00 01.67</v>
      </c>
      <c r="H265" s="9">
        <f t="shared" si="40"/>
        <v>1.000023880227326</v>
      </c>
      <c r="I265" s="5" t="str">
        <f t="shared" si="41"/>
        <v>-20 50 53.02820</v>
      </c>
      <c r="J265" s="5" t="str">
        <f t="shared" si="42"/>
        <v>119 51 04.69238</v>
      </c>
      <c r="K265" s="10">
        <f t="shared" si="43"/>
        <v>1.000023880227326</v>
      </c>
      <c r="L265" s="11" t="str">
        <f t="shared" si="44"/>
        <v>0 00 01.67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 t="shared" si="36"/>
        <v>0</v>
      </c>
      <c r="E266" s="4">
        <f t="shared" si="37"/>
        <v>0</v>
      </c>
      <c r="F266" s="8">
        <f t="shared" si="38"/>
        <v>2</v>
      </c>
      <c r="G266" s="8" t="str">
        <f t="shared" si="39"/>
        <v>-41 45 43.28</v>
      </c>
      <c r="H266" s="9">
        <f t="shared" si="40"/>
        <v>0</v>
      </c>
      <c r="I266" s="5" t="str">
        <f t="shared" si="41"/>
        <v>Division by zero</v>
      </c>
      <c r="J266" s="5" t="str">
        <f t="shared" si="42"/>
        <v>Division by zero</v>
      </c>
      <c r="K266" s="10" t="str">
        <f t="shared" si="43"/>
        <v>Division by zero</v>
      </c>
      <c r="L266" s="11" t="str">
        <f t="shared" si="44"/>
        <v>Division by zero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 t="shared" si="36"/>
        <v>52213.872897051719</v>
      </c>
      <c r="E267" s="4">
        <f t="shared" si="37"/>
        <v>240641.57031306485</v>
      </c>
      <c r="F267" s="8">
        <f t="shared" si="38"/>
        <v>1</v>
      </c>
      <c r="G267" s="8" t="str">
        <f t="shared" si="39"/>
        <v>0 00 22.61</v>
      </c>
      <c r="H267" s="9">
        <f t="shared" si="40"/>
        <v>1.0000200205714886</v>
      </c>
      <c r="I267" s="5" t="str">
        <f t="shared" si="41"/>
        <v>-17 31 59.58624</v>
      </c>
      <c r="J267" s="5" t="str">
        <f t="shared" si="42"/>
        <v>124 06 15.05909</v>
      </c>
      <c r="K267" s="10">
        <f t="shared" si="43"/>
        <v>1.0000200205714886</v>
      </c>
      <c r="L267" s="11" t="str">
        <f t="shared" si="44"/>
        <v>0 00 22.61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 t="shared" si="36"/>
        <v>50690.1547272803</v>
      </c>
      <c r="E268" s="4">
        <f t="shared" si="37"/>
        <v>65056.709930624347</v>
      </c>
      <c r="F268" s="8">
        <f t="shared" si="38"/>
        <v>1</v>
      </c>
      <c r="G268" s="8" t="str">
        <f t="shared" si="39"/>
        <v>0 00 11.13</v>
      </c>
      <c r="H268" s="9">
        <f t="shared" si="40"/>
        <v>1.0000764458775848</v>
      </c>
      <c r="I268" s="5" t="str">
        <f t="shared" si="41"/>
        <v>-26 31 20.85514</v>
      </c>
      <c r="J268" s="5" t="str">
        <f t="shared" si="42"/>
        <v>118 18 24.92575</v>
      </c>
      <c r="K268" s="10">
        <f t="shared" si="43"/>
        <v>1.0000764458775848</v>
      </c>
      <c r="L268" s="11" t="str">
        <f t="shared" si="44"/>
        <v>0 00 11.13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 t="shared" si="36"/>
        <v>53537.090560704768</v>
      </c>
      <c r="E269" s="4">
        <f t="shared" si="37"/>
        <v>221328.84063128708</v>
      </c>
      <c r="F269" s="8">
        <f t="shared" si="38"/>
        <v>1</v>
      </c>
      <c r="G269" s="8" t="str">
        <f t="shared" si="39"/>
        <v>0 01 04.99</v>
      </c>
      <c r="H269" s="9">
        <f t="shared" si="40"/>
        <v>1.0000650442913879</v>
      </c>
      <c r="I269" s="5" t="str">
        <f t="shared" si="41"/>
        <v>-29 37 27.17281</v>
      </c>
      <c r="J269" s="5" t="str">
        <f t="shared" si="42"/>
        <v>121 06 11.47133</v>
      </c>
      <c r="K269" s="10">
        <f t="shared" si="43"/>
        <v>1.0000650442913879</v>
      </c>
      <c r="L269" s="11" t="str">
        <f t="shared" si="44"/>
        <v>0 01 04.99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 t="shared" si="36"/>
        <v>61829.494607802262</v>
      </c>
      <c r="E270" s="4">
        <f t="shared" si="37"/>
        <v>216482.32634971663</v>
      </c>
      <c r="F270" s="8">
        <f t="shared" si="38"/>
        <v>1</v>
      </c>
      <c r="G270" s="8" t="str">
        <f t="shared" si="39"/>
        <v>0 03 53.95</v>
      </c>
      <c r="H270" s="9">
        <f t="shared" si="40"/>
        <v>1.0000512151388734</v>
      </c>
      <c r="I270" s="5" t="str">
        <f t="shared" si="41"/>
        <v>-31 28 20.23716</v>
      </c>
      <c r="J270" s="5" t="str">
        <f t="shared" si="42"/>
        <v>118 24 28.11017</v>
      </c>
      <c r="K270" s="10">
        <f t="shared" si="43"/>
        <v>1.0000512151388734</v>
      </c>
      <c r="L270" s="11" t="str">
        <f t="shared" si="44"/>
        <v>0 03 53.95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 t="shared" si="36"/>
        <v>55488.156631137928</v>
      </c>
      <c r="E271" s="4">
        <f t="shared" si="37"/>
        <v>223372.46289041312</v>
      </c>
      <c r="F271" s="8">
        <f t="shared" si="38"/>
        <v>1</v>
      </c>
      <c r="G271" s="8" t="str">
        <f t="shared" si="39"/>
        <v>0 01 08.85</v>
      </c>
      <c r="H271" s="9">
        <f t="shared" si="40"/>
        <v>1.0000289720304327</v>
      </c>
      <c r="I271" s="5" t="str">
        <f t="shared" si="41"/>
        <v>-21 12 43.53613</v>
      </c>
      <c r="J271" s="5" t="str">
        <f t="shared" si="42"/>
        <v>117 05 10.29340</v>
      </c>
      <c r="K271" s="10">
        <f t="shared" si="43"/>
        <v>1.0000289720304327</v>
      </c>
      <c r="L271" s="11" t="str">
        <f t="shared" si="44"/>
        <v>0 01 08.85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 t="shared" si="36"/>
        <v>51130.346937624403</v>
      </c>
      <c r="E272" s="4">
        <f t="shared" si="37"/>
        <v>259636.56897333777</v>
      </c>
      <c r="F272" s="8">
        <f t="shared" si="38"/>
        <v>1</v>
      </c>
      <c r="G272" s="8" t="str">
        <f t="shared" si="39"/>
        <v>0 00 20.42</v>
      </c>
      <c r="H272" s="9">
        <f t="shared" si="40"/>
        <v>1.0000249857589185</v>
      </c>
      <c r="I272" s="5" t="str">
        <f t="shared" si="41"/>
        <v>-29 12 27.47304</v>
      </c>
      <c r="J272" s="5" t="str">
        <f t="shared" si="42"/>
        <v>115 20 41.84491</v>
      </c>
      <c r="K272" s="10">
        <f t="shared" si="43"/>
        <v>1.0000249857589183</v>
      </c>
      <c r="L272" s="11" t="str">
        <f t="shared" si="44"/>
        <v>0 00 20.42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 t="shared" si="36"/>
        <v>50048.628302069214</v>
      </c>
      <c r="E273" s="4">
        <f t="shared" si="37"/>
        <v>243456.05269760406</v>
      </c>
      <c r="F273" s="8">
        <f t="shared" si="38"/>
        <v>1</v>
      </c>
      <c r="G273" s="8" t="str">
        <f t="shared" si="39"/>
        <v>0 00 00.98</v>
      </c>
      <c r="H273" s="9">
        <f t="shared" si="40"/>
        <v>1.0000112800291503</v>
      </c>
      <c r="I273" s="5" t="str">
        <f t="shared" si="41"/>
        <v>-31 56 01.43041</v>
      </c>
      <c r="J273" s="5" t="str">
        <f t="shared" si="42"/>
        <v>126 26 28.85129</v>
      </c>
      <c r="K273" s="10">
        <f t="shared" si="43"/>
        <v>1.0000112800291503</v>
      </c>
      <c r="L273" s="11" t="str">
        <f t="shared" si="44"/>
        <v>0 00 00.98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 t="shared" si="36"/>
        <v>55341.009236442464</v>
      </c>
      <c r="E274" s="4">
        <f t="shared" si="37"/>
        <v>243442.52622451913</v>
      </c>
      <c r="F274" s="8">
        <f t="shared" si="38"/>
        <v>1</v>
      </c>
      <c r="G274" s="8" t="str">
        <f t="shared" si="39"/>
        <v>0 02 00.08</v>
      </c>
      <c r="H274" s="9">
        <f t="shared" si="40"/>
        <v>1.000001611435809</v>
      </c>
      <c r="I274" s="5" t="str">
        <f t="shared" si="41"/>
        <v>-34 50 14.53790</v>
      </c>
      <c r="J274" s="5" t="str">
        <f t="shared" si="42"/>
        <v>117 31 30.21035</v>
      </c>
      <c r="K274" s="10">
        <f t="shared" si="43"/>
        <v>1.0000016114358088</v>
      </c>
      <c r="L274" s="11" t="str">
        <f t="shared" si="44"/>
        <v>0 02 00.08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 t="shared" si="36"/>
        <v>56383.232272312904</v>
      </c>
      <c r="E275" s="4">
        <f t="shared" si="37"/>
        <v>247440.11248878157</v>
      </c>
      <c r="F275" s="8">
        <f t="shared" si="38"/>
        <v>1</v>
      </c>
      <c r="G275" s="8" t="str">
        <f t="shared" si="39"/>
        <v>0 01 03.03</v>
      </c>
      <c r="H275" s="9">
        <f t="shared" si="40"/>
        <v>1.000050213573568</v>
      </c>
      <c r="I275" s="5" t="str">
        <f t="shared" si="41"/>
        <v>-16 59 00.09308</v>
      </c>
      <c r="J275" s="5" t="str">
        <f t="shared" si="42"/>
        <v>125 12 00.77015</v>
      </c>
      <c r="K275" s="10">
        <f t="shared" si="43"/>
        <v>1.000050213573568</v>
      </c>
      <c r="L275" s="11" t="str">
        <f t="shared" si="44"/>
        <v>0 01 03.03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 t="shared" si="36"/>
        <v>50989.184868059128</v>
      </c>
      <c r="E276" s="4">
        <f t="shared" si="37"/>
        <v>220654.06413983274</v>
      </c>
      <c r="F276" s="8">
        <f t="shared" si="38"/>
        <v>1</v>
      </c>
      <c r="G276" s="8" t="str">
        <f t="shared" si="39"/>
        <v>0 00 17.52</v>
      </c>
      <c r="H276" s="9">
        <f t="shared" si="40"/>
        <v>1.0000627020693178</v>
      </c>
      <c r="I276" s="5" t="str">
        <f t="shared" si="41"/>
        <v>-28 43 41.57918</v>
      </c>
      <c r="J276" s="5" t="str">
        <f t="shared" si="42"/>
        <v>117 48 36.44942</v>
      </c>
      <c r="K276" s="10">
        <f t="shared" si="43"/>
        <v>1.0000627020693178</v>
      </c>
      <c r="L276" s="11" t="str">
        <f t="shared" si="44"/>
        <v>0 00 17.52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 t="shared" si="36"/>
        <v>50992.699430332206</v>
      </c>
      <c r="E277" s="4">
        <f t="shared" si="37"/>
        <v>549773.28649776662</v>
      </c>
      <c r="F277" s="8">
        <f t="shared" si="38"/>
        <v>1</v>
      </c>
      <c r="G277" s="8" t="str">
        <f t="shared" si="39"/>
        <v>0 00 19.40</v>
      </c>
      <c r="H277" s="9">
        <f t="shared" si="40"/>
        <v>1.0000181421497611</v>
      </c>
      <c r="I277" s="5" t="str">
        <f t="shared" si="41"/>
        <v>-31 10 23.09603</v>
      </c>
      <c r="J277" s="5" t="str">
        <f t="shared" si="42"/>
        <v>115 57 37.48666</v>
      </c>
      <c r="K277" s="10">
        <f t="shared" si="43"/>
        <v>1.0000181421497611</v>
      </c>
      <c r="L277" s="11" t="str">
        <f t="shared" si="44"/>
        <v>0 00 19.40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 t="shared" si="36"/>
        <v>54043.216544563111</v>
      </c>
      <c r="E278" s="4">
        <f t="shared" si="37"/>
        <v>212894.9903183016</v>
      </c>
      <c r="F278" s="8">
        <f t="shared" si="38"/>
        <v>1</v>
      </c>
      <c r="G278" s="8" t="str">
        <f t="shared" si="39"/>
        <v>0 00 46.98</v>
      </c>
      <c r="H278" s="9">
        <f t="shared" si="40"/>
        <v>1.000061161958167</v>
      </c>
      <c r="I278" s="5" t="str">
        <f t="shared" si="41"/>
        <v>-19 46 14.16695</v>
      </c>
      <c r="J278" s="5" t="str">
        <f t="shared" si="42"/>
        <v>128 20 18.88350</v>
      </c>
      <c r="K278" s="10">
        <f t="shared" si="43"/>
        <v>1.000061161958167</v>
      </c>
      <c r="L278" s="11" t="str">
        <f t="shared" si="44"/>
        <v>0 00 46.98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 t="shared" si="36"/>
        <v>52902.554882832133</v>
      </c>
      <c r="E279" s="4">
        <f t="shared" si="37"/>
        <v>205611.15442031296</v>
      </c>
      <c r="F279" s="8">
        <f t="shared" si="38"/>
        <v>1</v>
      </c>
      <c r="G279" s="8" t="str">
        <f t="shared" si="39"/>
        <v>0 00 48.14</v>
      </c>
      <c r="H279" s="9">
        <f t="shared" si="40"/>
        <v>1.0000678039484081</v>
      </c>
      <c r="I279" s="5" t="str">
        <f t="shared" si="41"/>
        <v>-27 10 02.83375</v>
      </c>
      <c r="J279" s="5" t="str">
        <f t="shared" si="42"/>
        <v>125 27 27.42588</v>
      </c>
      <c r="K279" s="10">
        <f t="shared" si="43"/>
        <v>1.0000678039484079</v>
      </c>
      <c r="L279" s="11" t="str">
        <f t="shared" si="44"/>
        <v>0 00 48.14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 t="shared" si="36"/>
        <v>0</v>
      </c>
      <c r="E280" s="4">
        <f t="shared" si="37"/>
        <v>0</v>
      </c>
      <c r="F280" s="8">
        <f t="shared" si="38"/>
        <v>2</v>
      </c>
      <c r="G280" s="8" t="str">
        <f t="shared" si="39"/>
        <v>-42 52 53.92</v>
      </c>
      <c r="H280" s="9">
        <f t="shared" si="40"/>
        <v>0</v>
      </c>
      <c r="I280" s="5" t="str">
        <f t="shared" si="41"/>
        <v>Division by zero</v>
      </c>
      <c r="J280" s="5" t="str">
        <f t="shared" si="42"/>
        <v>Division by zero</v>
      </c>
      <c r="K280" s="10" t="str">
        <f t="shared" si="43"/>
        <v>Division by zero</v>
      </c>
      <c r="L280" s="11" t="str">
        <f t="shared" si="44"/>
        <v>Division by zero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 t="shared" si="36"/>
        <v>51552.681005261293</v>
      </c>
      <c r="E281" s="4">
        <f t="shared" si="37"/>
        <v>237018.34838959388</v>
      </c>
      <c r="F281" s="8">
        <f t="shared" si="38"/>
        <v>1</v>
      </c>
      <c r="G281" s="8" t="str">
        <f t="shared" si="39"/>
        <v>0 00 20.57</v>
      </c>
      <c r="H281" s="9">
        <f t="shared" si="40"/>
        <v>1.0000657097713495</v>
      </c>
      <c r="I281" s="5" t="str">
        <f t="shared" si="41"/>
        <v>-22 17 20.96981</v>
      </c>
      <c r="J281" s="5" t="str">
        <f t="shared" si="42"/>
        <v>118 32 42.23778</v>
      </c>
      <c r="K281" s="10">
        <f t="shared" si="43"/>
        <v>1.0000657097713495</v>
      </c>
      <c r="L281" s="11" t="str">
        <f t="shared" si="44"/>
        <v>0 00 20.57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 t="shared" si="36"/>
        <v>51886.03156089929</v>
      </c>
      <c r="E282" s="4">
        <f t="shared" si="37"/>
        <v>245481.99980813917</v>
      </c>
      <c r="F282" s="8">
        <f t="shared" si="38"/>
        <v>1</v>
      </c>
      <c r="G282" s="8" t="str">
        <f t="shared" si="39"/>
        <v>0 00 37.95</v>
      </c>
      <c r="H282" s="9">
        <f t="shared" si="40"/>
        <v>0.9999990338501501</v>
      </c>
      <c r="I282" s="5" t="str">
        <f t="shared" si="41"/>
        <v>-31 54 57.06076</v>
      </c>
      <c r="J282" s="5" t="str">
        <f t="shared" si="42"/>
        <v>127 36 41.78862</v>
      </c>
      <c r="K282" s="10">
        <f t="shared" si="43"/>
        <v>0.9999990338501501</v>
      </c>
      <c r="L282" s="11" t="str">
        <f t="shared" si="44"/>
        <v>0 00 37.95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 t="shared" si="36"/>
        <v>48990.574216623732</v>
      </c>
      <c r="E283" s="4">
        <f t="shared" si="37"/>
        <v>233342.7914566109</v>
      </c>
      <c r="F283" s="8">
        <f t="shared" si="38"/>
        <v>1</v>
      </c>
      <c r="G283" s="8" t="str">
        <f t="shared" si="39"/>
        <v>0 00 21.72</v>
      </c>
      <c r="H283" s="9">
        <f t="shared" si="40"/>
        <v>1.0000158825560377</v>
      </c>
      <c r="I283" s="5" t="str">
        <f t="shared" si="41"/>
        <v>-33 39 57.06911</v>
      </c>
      <c r="J283" s="5" t="str">
        <f t="shared" si="42"/>
        <v>120 36 20.81862</v>
      </c>
      <c r="K283" s="10">
        <f t="shared" si="43"/>
        <v>1.0000158825560377</v>
      </c>
      <c r="L283" s="11" t="str">
        <f t="shared" si="44"/>
        <v>0 00 21.72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 t="shared" si="36"/>
        <v>60517.280007884088</v>
      </c>
      <c r="E284" s="4">
        <f t="shared" si="37"/>
        <v>200869.11074180994</v>
      </c>
      <c r="F284" s="8">
        <f t="shared" si="38"/>
        <v>1</v>
      </c>
      <c r="G284" s="8" t="str">
        <f t="shared" si="39"/>
        <v>0 02 54.21</v>
      </c>
      <c r="H284" s="9">
        <f t="shared" si="40"/>
        <v>1.0000389948324702</v>
      </c>
      <c r="I284" s="5" t="str">
        <f t="shared" si="41"/>
        <v>-27 08 19.79272</v>
      </c>
      <c r="J284" s="5" t="str">
        <f t="shared" si="42"/>
        <v>116 03 51.92006</v>
      </c>
      <c r="K284" s="10">
        <f t="shared" si="43"/>
        <v>1.0000389948324702</v>
      </c>
      <c r="L284" s="11" t="str">
        <f t="shared" si="44"/>
        <v>0 02 54.21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 t="shared" si="36"/>
        <v>100051.9008956677</v>
      </c>
      <c r="E285" s="4">
        <f t="shared" si="37"/>
        <v>524131.13851486193</v>
      </c>
      <c r="F285" s="8">
        <f t="shared" si="38"/>
        <v>1</v>
      </c>
      <c r="G285" s="8" t="str">
        <f t="shared" si="39"/>
        <v>0 00 00.85</v>
      </c>
      <c r="H285" s="9">
        <f t="shared" si="40"/>
        <v>1.0000670900332376</v>
      </c>
      <c r="I285" s="5" t="str">
        <f t="shared" si="41"/>
        <v>-26 53 31.38252</v>
      </c>
      <c r="J285" s="5" t="str">
        <f t="shared" si="42"/>
        <v>118 15 06.88054</v>
      </c>
      <c r="K285" s="10">
        <f t="shared" si="43"/>
        <v>1.0000670900332376</v>
      </c>
      <c r="L285" s="11" t="str">
        <f t="shared" si="44"/>
        <v>0 00 00.85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 t="shared" si="36"/>
        <v>53700.313618433232</v>
      </c>
      <c r="E286" s="4">
        <f t="shared" si="37"/>
        <v>249702.17823798815</v>
      </c>
      <c r="F286" s="8">
        <f t="shared" si="38"/>
        <v>1</v>
      </c>
      <c r="G286" s="8" t="str">
        <f t="shared" si="39"/>
        <v>0 00 48.69</v>
      </c>
      <c r="H286" s="9">
        <f t="shared" si="40"/>
        <v>1.0000080291010121</v>
      </c>
      <c r="I286" s="5" t="str">
        <f t="shared" si="41"/>
        <v>-22 08 55.70711</v>
      </c>
      <c r="J286" s="5" t="str">
        <f t="shared" si="42"/>
        <v>115 27 09.13716</v>
      </c>
      <c r="K286" s="10">
        <f t="shared" si="43"/>
        <v>1.0000080291010121</v>
      </c>
      <c r="L286" s="11" t="str">
        <f t="shared" si="44"/>
        <v>0 00 48.69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 t="shared" si="36"/>
        <v>52284.077820895291</v>
      </c>
      <c r="E287" s="4">
        <f t="shared" si="37"/>
        <v>250791.29614193388</v>
      </c>
      <c r="F287" s="8">
        <f t="shared" si="38"/>
        <v>1</v>
      </c>
      <c r="G287" s="8" t="str">
        <f t="shared" si="39"/>
        <v>0 00 22.70</v>
      </c>
      <c r="H287" s="9">
        <f t="shared" si="40"/>
        <v>1.0000264744773975</v>
      </c>
      <c r="I287" s="5" t="str">
        <f t="shared" si="41"/>
        <v>-17 05 20.46160</v>
      </c>
      <c r="J287" s="5" t="str">
        <f t="shared" si="42"/>
        <v>124 58 55.25306</v>
      </c>
      <c r="K287" s="10">
        <f t="shared" si="43"/>
        <v>1.0000264744773977</v>
      </c>
      <c r="L287" s="11" t="str">
        <f t="shared" si="44"/>
        <v>0 00 22.70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 t="shared" si="36"/>
        <v>52246.394750926571</v>
      </c>
      <c r="E288" s="4">
        <f t="shared" si="37"/>
        <v>260396.49596917396</v>
      </c>
      <c r="F288" s="8">
        <f t="shared" si="38"/>
        <v>1</v>
      </c>
      <c r="G288" s="8" t="str">
        <f t="shared" si="39"/>
        <v>0 00 46.91</v>
      </c>
      <c r="H288" s="9">
        <f t="shared" si="40"/>
        <v>1.0000454721922787</v>
      </c>
      <c r="I288" s="5" t="str">
        <f t="shared" si="41"/>
        <v>-32 52 47.94629</v>
      </c>
      <c r="J288" s="5" t="str">
        <f t="shared" si="42"/>
        <v>117 11 26.41477</v>
      </c>
      <c r="K288" s="10">
        <f t="shared" si="43"/>
        <v>1.0000454721922787</v>
      </c>
      <c r="L288" s="11" t="str">
        <f t="shared" si="44"/>
        <v>0 00 46.91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 t="shared" si="36"/>
        <v>57181.761436674045</v>
      </c>
      <c r="E289" s="4">
        <f t="shared" si="37"/>
        <v>237670.79596133623</v>
      </c>
      <c r="F289" s="8">
        <f t="shared" si="38"/>
        <v>1</v>
      </c>
      <c r="G289" s="8" t="str">
        <f t="shared" si="39"/>
        <v>0 02 31.16</v>
      </c>
      <c r="H289" s="9">
        <f t="shared" si="40"/>
        <v>1.0000451056348285</v>
      </c>
      <c r="I289" s="5" t="str">
        <f t="shared" si="41"/>
        <v>-33 05 05.63417</v>
      </c>
      <c r="J289" s="5" t="str">
        <f t="shared" si="42"/>
        <v>119 07 36.90862</v>
      </c>
      <c r="K289" s="10">
        <f t="shared" si="43"/>
        <v>1.0000451056348285</v>
      </c>
      <c r="L289" s="11" t="str">
        <f t="shared" si="44"/>
        <v>0 02 31.16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 t="shared" si="36"/>
        <v>50455.756271438986</v>
      </c>
      <c r="E290" s="4">
        <f t="shared" si="37"/>
        <v>223811.33065308398</v>
      </c>
      <c r="F290" s="8">
        <f t="shared" si="38"/>
        <v>1</v>
      </c>
      <c r="G290" s="8" t="str">
        <f t="shared" si="39"/>
        <v>0 00 06.48</v>
      </c>
      <c r="H290" s="9">
        <f t="shared" si="40"/>
        <v>1.0000886225643877</v>
      </c>
      <c r="I290" s="5" t="str">
        <f t="shared" si="41"/>
        <v>-23 44 06.57593</v>
      </c>
      <c r="J290" s="5" t="str">
        <f t="shared" si="42"/>
        <v>119 43 16.09057</v>
      </c>
      <c r="K290" s="10">
        <f t="shared" si="43"/>
        <v>1.0000886225643877</v>
      </c>
      <c r="L290" s="11" t="str">
        <f t="shared" si="44"/>
        <v>0 00 06.48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 t="shared" si="36"/>
        <v>52744.120150152346</v>
      </c>
      <c r="E291" s="4">
        <f t="shared" si="37"/>
        <v>245367.10358669562</v>
      </c>
      <c r="F291" s="8">
        <f t="shared" si="38"/>
        <v>1</v>
      </c>
      <c r="G291" s="8" t="str">
        <f t="shared" si="39"/>
        <v>0 00 35.87</v>
      </c>
      <c r="H291" s="9">
        <f t="shared" si="40"/>
        <v>1.0000613729953436</v>
      </c>
      <c r="I291" s="5" t="str">
        <f t="shared" si="41"/>
        <v>-22 01 16.69087</v>
      </c>
      <c r="J291" s="5" t="str">
        <f t="shared" si="42"/>
        <v>120 07 35.67594</v>
      </c>
      <c r="K291" s="10">
        <f t="shared" si="43"/>
        <v>1.0000613729953438</v>
      </c>
      <c r="L291" s="11" t="str">
        <f t="shared" si="44"/>
        <v>0 00 35.87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 t="shared" si="36"/>
        <v>51565.905318938821</v>
      </c>
      <c r="E292" s="4">
        <f t="shared" si="37"/>
        <v>237328.53514047898</v>
      </c>
      <c r="F292" s="8">
        <f t="shared" si="38"/>
        <v>1</v>
      </c>
      <c r="G292" s="8" t="str">
        <f t="shared" si="39"/>
        <v>0 00 19.82</v>
      </c>
      <c r="H292" s="9">
        <f t="shared" si="40"/>
        <v>1.0000372502859283</v>
      </c>
      <c r="I292" s="5" t="str">
        <f t="shared" si="41"/>
        <v>-21 23 02.08046</v>
      </c>
      <c r="J292" s="5" t="str">
        <f t="shared" si="42"/>
        <v>121 05 40.35804</v>
      </c>
      <c r="K292" s="10">
        <f t="shared" si="43"/>
        <v>1.0000372502859283</v>
      </c>
      <c r="L292" s="11" t="str">
        <f t="shared" si="44"/>
        <v>0 00 19.82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 t="shared" si="36"/>
        <v>51415.061040035449</v>
      </c>
      <c r="E293" s="4">
        <f t="shared" si="37"/>
        <v>247498.73121932242</v>
      </c>
      <c r="F293" s="8">
        <f t="shared" si="38"/>
        <v>1</v>
      </c>
      <c r="G293" s="8" t="str">
        <f t="shared" si="39"/>
        <v>0 00 30.83</v>
      </c>
      <c r="H293" s="9">
        <f t="shared" si="40"/>
        <v>1.0000380946725118</v>
      </c>
      <c r="I293" s="5" t="str">
        <f t="shared" si="41"/>
        <v>-33 59 50.14824</v>
      </c>
      <c r="J293" s="5" t="str">
        <f t="shared" si="42"/>
        <v>118 29 25.13746</v>
      </c>
      <c r="K293" s="10">
        <f t="shared" si="43"/>
        <v>1.0000380946725118</v>
      </c>
      <c r="L293" s="11" t="str">
        <f t="shared" si="44"/>
        <v>0 00 30.83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 t="shared" si="36"/>
        <v>50992.259022887854</v>
      </c>
      <c r="E294" s="4">
        <f t="shared" si="37"/>
        <v>253488.89562778221</v>
      </c>
      <c r="F294" s="8">
        <f t="shared" si="38"/>
        <v>1</v>
      </c>
      <c r="G294" s="8" t="str">
        <f t="shared" si="39"/>
        <v>0 00 13.74</v>
      </c>
      <c r="H294" s="9">
        <f t="shared" si="40"/>
        <v>1.0001095321562632</v>
      </c>
      <c r="I294" s="5" t="str">
        <f t="shared" si="41"/>
        <v>-23 11 12.65305</v>
      </c>
      <c r="J294" s="5" t="str">
        <f t="shared" si="42"/>
        <v>119 26 07.88680</v>
      </c>
      <c r="K294" s="10">
        <f t="shared" si="43"/>
        <v>1.0001095321562632</v>
      </c>
      <c r="L294" s="11" t="str">
        <f t="shared" si="44"/>
        <v>0 00 13.74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 t="shared" si="36"/>
        <v>50098.644591508739</v>
      </c>
      <c r="E295" s="4">
        <f t="shared" si="37"/>
        <v>244064.25489199534</v>
      </c>
      <c r="F295" s="8">
        <f t="shared" si="38"/>
        <v>1</v>
      </c>
      <c r="G295" s="8" t="str">
        <f t="shared" si="39"/>
        <v>0 00 01.16</v>
      </c>
      <c r="H295" s="9">
        <f t="shared" si="40"/>
        <v>1.0000083101202148</v>
      </c>
      <c r="I295" s="5" t="str">
        <f t="shared" si="41"/>
        <v>-20 02 27.99614</v>
      </c>
      <c r="J295" s="5" t="str">
        <f t="shared" si="42"/>
        <v>119 55 45.39436</v>
      </c>
      <c r="K295" s="10">
        <f t="shared" si="43"/>
        <v>1.0000083101202148</v>
      </c>
      <c r="L295" s="11" t="str">
        <f t="shared" si="44"/>
        <v>0 00 01.16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 t="shared" si="36"/>
        <v>54167.849011265527</v>
      </c>
      <c r="E296" s="4">
        <f t="shared" si="37"/>
        <v>219672.58792349836</v>
      </c>
      <c r="F296" s="8">
        <f t="shared" si="38"/>
        <v>1</v>
      </c>
      <c r="G296" s="8" t="str">
        <f t="shared" si="39"/>
        <v>0 00 40.43</v>
      </c>
      <c r="H296" s="9">
        <f t="shared" si="40"/>
        <v>1.0000071947039202</v>
      </c>
      <c r="I296" s="5" t="str">
        <f t="shared" si="41"/>
        <v>-16 42 06.74165</v>
      </c>
      <c r="J296" s="5" t="str">
        <f t="shared" si="42"/>
        <v>122 56 18.68226</v>
      </c>
      <c r="K296" s="10">
        <f t="shared" si="43"/>
        <v>1.0000071947039202</v>
      </c>
      <c r="L296" s="11" t="str">
        <f t="shared" si="44"/>
        <v>0 00 40.43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 t="shared" si="36"/>
        <v>58630.221356563001</v>
      </c>
      <c r="E297" s="4">
        <f t="shared" si="37"/>
        <v>226237.05218718713</v>
      </c>
      <c r="F297" s="8">
        <f t="shared" si="38"/>
        <v>1</v>
      </c>
      <c r="G297" s="8" t="str">
        <f t="shared" si="39"/>
        <v>0 03 09.13</v>
      </c>
      <c r="H297" s="9">
        <f t="shared" si="40"/>
        <v>1.0000343576863293</v>
      </c>
      <c r="I297" s="5" t="str">
        <f t="shared" si="41"/>
        <v>-34 09 10.79312</v>
      </c>
      <c r="J297" s="5" t="str">
        <f t="shared" si="42"/>
        <v>116 37 36.89166</v>
      </c>
      <c r="K297" s="10">
        <f t="shared" si="43"/>
        <v>1.0000343576863293</v>
      </c>
      <c r="L297" s="11" t="str">
        <f t="shared" si="44"/>
        <v>0 03 09.13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 t="shared" si="36"/>
        <v>50143.340415318591</v>
      </c>
      <c r="E298" s="4">
        <f t="shared" si="37"/>
        <v>230619.00060981605</v>
      </c>
      <c r="F298" s="8">
        <f t="shared" si="38"/>
        <v>1</v>
      </c>
      <c r="G298" s="8" t="str">
        <f t="shared" si="39"/>
        <v>0 00 02.53</v>
      </c>
      <c r="H298" s="9">
        <f t="shared" si="40"/>
        <v>1.0000432102534436</v>
      </c>
      <c r="I298" s="5" t="str">
        <f t="shared" si="41"/>
        <v>-28 38 19.92480</v>
      </c>
      <c r="J298" s="5" t="str">
        <f t="shared" si="42"/>
        <v>115 48 05.27742</v>
      </c>
      <c r="K298" s="10">
        <f t="shared" si="43"/>
        <v>1.0000432102534436</v>
      </c>
      <c r="L298" s="11" t="str">
        <f t="shared" si="44"/>
        <v>0 00 02.53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 t="shared" si="36"/>
        <v>51066.372428292481</v>
      </c>
      <c r="E299" s="4">
        <f t="shared" si="37"/>
        <v>235568.53245707881</v>
      </c>
      <c r="F299" s="8">
        <f t="shared" si="38"/>
        <v>1</v>
      </c>
      <c r="G299" s="8" t="str">
        <f t="shared" si="39"/>
        <v>0 00 23.48</v>
      </c>
      <c r="H299" s="9">
        <f t="shared" si="40"/>
        <v>1.0000046740109922</v>
      </c>
      <c r="I299" s="5" t="str">
        <f t="shared" si="41"/>
        <v>-34 16 38.04665</v>
      </c>
      <c r="J299" s="5" t="str">
        <f t="shared" si="42"/>
        <v>119 27 41.68955</v>
      </c>
      <c r="K299" s="10">
        <f t="shared" si="43"/>
        <v>1.0000046740109922</v>
      </c>
      <c r="L299" s="11" t="str">
        <f t="shared" si="44"/>
        <v>0 00 23.48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 t="shared" si="36"/>
        <v>53067.307636425801</v>
      </c>
      <c r="E300" s="4">
        <f t="shared" si="37"/>
        <v>257223.07790189423</v>
      </c>
      <c r="F300" s="8">
        <f t="shared" si="38"/>
        <v>1</v>
      </c>
      <c r="G300" s="8" t="str">
        <f t="shared" si="39"/>
        <v>0 00 32.02</v>
      </c>
      <c r="H300" s="9">
        <f t="shared" si="40"/>
        <v>1.0000288862658686</v>
      </c>
      <c r="I300" s="5" t="str">
        <f t="shared" si="41"/>
        <v>-17 53 53.68254</v>
      </c>
      <c r="J300" s="5" t="str">
        <f t="shared" si="42"/>
        <v>125 06 44.20357</v>
      </c>
      <c r="K300" s="10">
        <f t="shared" si="43"/>
        <v>1.0000288862658684</v>
      </c>
      <c r="L300" s="11" t="str">
        <f t="shared" si="44"/>
        <v>0 00 32.02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 t="shared" si="36"/>
        <v>53431.147427778917</v>
      </c>
      <c r="E301" s="4">
        <f t="shared" si="37"/>
        <v>299814.55837961473</v>
      </c>
      <c r="F301" s="8">
        <f t="shared" si="38"/>
        <v>1</v>
      </c>
      <c r="G301" s="8" t="str">
        <f t="shared" si="39"/>
        <v>0 01 13.16</v>
      </c>
      <c r="H301" s="9">
        <f t="shared" si="40"/>
        <v>1.0000320450768261</v>
      </c>
      <c r="I301" s="5" t="str">
        <f t="shared" si="41"/>
        <v>-33 25 35.93183</v>
      </c>
      <c r="J301" s="5" t="str">
        <f t="shared" si="42"/>
        <v>120 04 12.81317</v>
      </c>
      <c r="K301" s="10">
        <f t="shared" si="43"/>
        <v>1.0000320450768261</v>
      </c>
      <c r="L301" s="11" t="str">
        <f t="shared" si="44"/>
        <v>0 01 13.16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 t="shared" si="36"/>
        <v>52049.763244275542</v>
      </c>
      <c r="E302" s="4">
        <f t="shared" si="37"/>
        <v>238151.89885406336</v>
      </c>
      <c r="F302" s="8">
        <f t="shared" si="38"/>
        <v>1</v>
      </c>
      <c r="G302" s="8" t="str">
        <f t="shared" si="39"/>
        <v>0 00 25.86</v>
      </c>
      <c r="H302" s="9">
        <f t="shared" si="40"/>
        <v>1.0000495318939207</v>
      </c>
      <c r="I302" s="5" t="str">
        <f t="shared" si="41"/>
        <v>-21 19 06.28716</v>
      </c>
      <c r="J302" s="5" t="str">
        <f t="shared" si="42"/>
        <v>120 31 29.12196</v>
      </c>
      <c r="K302" s="10">
        <f t="shared" si="43"/>
        <v>1.0000495318939204</v>
      </c>
      <c r="L302" s="11" t="str">
        <f t="shared" si="44"/>
        <v>0 00 25.86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 t="shared" si="36"/>
        <v>56310.967344848526</v>
      </c>
      <c r="E303" s="4">
        <f t="shared" si="37"/>
        <v>216010.61760311387</v>
      </c>
      <c r="F303" s="8">
        <f t="shared" si="38"/>
        <v>1</v>
      </c>
      <c r="G303" s="8" t="str">
        <f t="shared" si="39"/>
        <v>0 01 11.99</v>
      </c>
      <c r="H303" s="9">
        <f t="shared" si="40"/>
        <v>1.0000053520906591</v>
      </c>
      <c r="I303" s="5" t="str">
        <f t="shared" si="41"/>
        <v>-19 26 11.12287</v>
      </c>
      <c r="J303" s="5" t="str">
        <f t="shared" si="42"/>
        <v>121 21 36.34513</v>
      </c>
      <c r="K303" s="10">
        <f t="shared" si="43"/>
        <v>1.0000053520906591</v>
      </c>
      <c r="L303" s="11" t="str">
        <f t="shared" si="44"/>
        <v>0 01 11.99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 t="shared" si="36"/>
        <v>51620.704558632329</v>
      </c>
      <c r="E304" s="4">
        <f t="shared" si="37"/>
        <v>356298.22586488444</v>
      </c>
      <c r="F304" s="8">
        <f t="shared" si="38"/>
        <v>1</v>
      </c>
      <c r="G304" s="8" t="str">
        <f t="shared" si="39"/>
        <v>0 00 33.90</v>
      </c>
      <c r="H304" s="9">
        <f t="shared" si="40"/>
        <v>1.000027842372496</v>
      </c>
      <c r="I304" s="5" t="str">
        <f t="shared" si="41"/>
        <v>-32 55 03.05929</v>
      </c>
      <c r="J304" s="5" t="str">
        <f t="shared" si="42"/>
        <v>121 43 02.37299</v>
      </c>
      <c r="K304" s="10">
        <f t="shared" si="43"/>
        <v>1.000027842372496</v>
      </c>
      <c r="L304" s="11" t="str">
        <f t="shared" si="44"/>
        <v>0 00 33.90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 t="shared" si="36"/>
        <v>49256.689921817422</v>
      </c>
      <c r="E305" s="4">
        <f t="shared" si="37"/>
        <v>206069.74615695002</v>
      </c>
      <c r="F305" s="8">
        <f t="shared" si="38"/>
        <v>1</v>
      </c>
      <c r="G305" s="8" t="str">
        <f t="shared" si="39"/>
        <v>0 00 14.55</v>
      </c>
      <c r="H305" s="9">
        <f t="shared" si="40"/>
        <v>1.0000528068116805</v>
      </c>
      <c r="I305" s="5" t="str">
        <f t="shared" si="41"/>
        <v>-31 12 19.45933</v>
      </c>
      <c r="J305" s="5" t="str">
        <f t="shared" si="42"/>
        <v>119 02 31.92230</v>
      </c>
      <c r="K305" s="10">
        <f t="shared" si="43"/>
        <v>1.0000528068116805</v>
      </c>
      <c r="L305" s="11" t="str">
        <f t="shared" si="44"/>
        <v>0 00 14.55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 t="shared" si="36"/>
        <v>54820.849968086346</v>
      </c>
      <c r="E306" s="4">
        <f t="shared" si="37"/>
        <v>235368.69039649284</v>
      </c>
      <c r="F306" s="8">
        <f t="shared" si="38"/>
        <v>1</v>
      </c>
      <c r="G306" s="8" t="str">
        <f t="shared" si="39"/>
        <v>0 01 48.10</v>
      </c>
      <c r="H306" s="9">
        <f t="shared" si="40"/>
        <v>1.0000080463192775</v>
      </c>
      <c r="I306" s="5" t="str">
        <f t="shared" si="41"/>
        <v>-34 45 56.52500</v>
      </c>
      <c r="J306" s="5" t="str">
        <f t="shared" si="42"/>
        <v>116 30 09.57265</v>
      </c>
      <c r="K306" s="10">
        <f t="shared" si="43"/>
        <v>1.0000080463192775</v>
      </c>
      <c r="L306" s="11" t="str">
        <f t="shared" si="44"/>
        <v>0 01 48.10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 t="shared" si="36"/>
        <v>54503.640401202276</v>
      </c>
      <c r="E307" s="4">
        <f t="shared" si="37"/>
        <v>226504.11857510544</v>
      </c>
      <c r="F307" s="8">
        <f t="shared" si="38"/>
        <v>1</v>
      </c>
      <c r="G307" s="8" t="str">
        <f t="shared" si="39"/>
        <v>0 00 54.58</v>
      </c>
      <c r="H307" s="9">
        <f t="shared" si="40"/>
        <v>1.0000110905562551</v>
      </c>
      <c r="I307" s="5" t="str">
        <f t="shared" si="41"/>
        <v>-20 33 06.99527</v>
      </c>
      <c r="J307" s="5" t="str">
        <f t="shared" si="42"/>
        <v>119 17 35.47867</v>
      </c>
      <c r="K307" s="10">
        <f t="shared" si="43"/>
        <v>1.0000110905562554</v>
      </c>
      <c r="L307" s="11" t="str">
        <f t="shared" si="44"/>
        <v>0 00 54.58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 t="shared" si="36"/>
        <v>51582.47508445241</v>
      </c>
      <c r="E308" s="4">
        <f t="shared" si="37"/>
        <v>256032.49818281736</v>
      </c>
      <c r="F308" s="8">
        <f t="shared" si="38"/>
        <v>1</v>
      </c>
      <c r="G308" s="8" t="str">
        <f t="shared" si="39"/>
        <v>0 00 25.43</v>
      </c>
      <c r="H308" s="9">
        <f t="shared" si="40"/>
        <v>1.000083540901785</v>
      </c>
      <c r="I308" s="5" t="str">
        <f t="shared" si="41"/>
        <v>-26 26 14.84797</v>
      </c>
      <c r="J308" s="5" t="str">
        <f t="shared" si="42"/>
        <v>118 52 47.11055</v>
      </c>
      <c r="K308" s="10">
        <f t="shared" si="43"/>
        <v>1.000083540901785</v>
      </c>
      <c r="L308" s="11" t="str">
        <f t="shared" si="44"/>
        <v>0 00 25.43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 t="shared" si="36"/>
        <v>0</v>
      </c>
      <c r="E309" s="4">
        <f t="shared" si="37"/>
        <v>0</v>
      </c>
      <c r="F309" s="8">
        <f t="shared" si="38"/>
        <v>2</v>
      </c>
      <c r="G309" s="8" t="str">
        <f t="shared" si="39"/>
        <v>-42 13 02.82</v>
      </c>
      <c r="H309" s="9">
        <f t="shared" si="40"/>
        <v>0</v>
      </c>
      <c r="I309" s="5" t="str">
        <f t="shared" si="41"/>
        <v>Division by zero</v>
      </c>
      <c r="J309" s="5" t="str">
        <f t="shared" si="42"/>
        <v>Division by zero</v>
      </c>
      <c r="K309" s="10" t="str">
        <f t="shared" si="43"/>
        <v>Division by zero</v>
      </c>
      <c r="L309" s="11" t="str">
        <f t="shared" si="44"/>
        <v>Division by zero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 t="shared" si="36"/>
        <v>54180.562113975378</v>
      </c>
      <c r="E310" s="4">
        <f t="shared" si="37"/>
        <v>264247.73212957801</v>
      </c>
      <c r="F310" s="8">
        <f t="shared" si="38"/>
        <v>1</v>
      </c>
      <c r="G310" s="8" t="str">
        <f t="shared" si="39"/>
        <v>0 00 52.32</v>
      </c>
      <c r="H310" s="9">
        <f t="shared" si="40"/>
        <v>1.000014675875877</v>
      </c>
      <c r="I310" s="5" t="str">
        <f t="shared" si="41"/>
        <v>-21 09 57.78875</v>
      </c>
      <c r="J310" s="5" t="str">
        <f t="shared" si="42"/>
        <v>116 26 24.91174</v>
      </c>
      <c r="K310" s="10">
        <f t="shared" si="43"/>
        <v>1.000014675875877</v>
      </c>
      <c r="L310" s="11" t="str">
        <f t="shared" si="44"/>
        <v>0 00 52.32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 t="shared" si="36"/>
        <v>56307.337706652354</v>
      </c>
      <c r="E311" s="4">
        <f t="shared" si="37"/>
        <v>217985.98821116053</v>
      </c>
      <c r="F311" s="8">
        <f t="shared" si="38"/>
        <v>1</v>
      </c>
      <c r="G311" s="8" t="str">
        <f t="shared" si="39"/>
        <v>0 01 46.91</v>
      </c>
      <c r="H311" s="9">
        <f t="shared" si="40"/>
        <v>1.0000616508056197</v>
      </c>
      <c r="I311" s="5" t="str">
        <f t="shared" si="41"/>
        <v>-27 40 42.95507</v>
      </c>
      <c r="J311" s="5" t="str">
        <f t="shared" si="42"/>
        <v>124 05 38.15232</v>
      </c>
      <c r="K311" s="10">
        <f t="shared" si="43"/>
        <v>1.0000616508056197</v>
      </c>
      <c r="L311" s="11" t="str">
        <f t="shared" si="44"/>
        <v>0 01 46.91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 t="shared" si="36"/>
        <v>57698.880596414798</v>
      </c>
      <c r="E312" s="4">
        <f t="shared" si="37"/>
        <v>242587.7805841337</v>
      </c>
      <c r="F312" s="8">
        <f t="shared" si="38"/>
        <v>1</v>
      </c>
      <c r="G312" s="8" t="str">
        <f t="shared" si="39"/>
        <v>0 02 46.37</v>
      </c>
      <c r="H312" s="9">
        <f t="shared" si="40"/>
        <v>1.0000514803536724</v>
      </c>
      <c r="I312" s="5" t="str">
        <f t="shared" si="41"/>
        <v>-33 46 46.71458</v>
      </c>
      <c r="J312" s="5" t="str">
        <f t="shared" si="42"/>
        <v>118 26 59.22010</v>
      </c>
      <c r="K312" s="10">
        <f t="shared" si="43"/>
        <v>1.0000514803536724</v>
      </c>
      <c r="L312" s="11" t="str">
        <f t="shared" si="44"/>
        <v>0 02 46.37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 t="shared" si="36"/>
        <v>52205.936685543988</v>
      </c>
      <c r="E313" s="4">
        <f t="shared" si="37"/>
        <v>202700.57328971196</v>
      </c>
      <c r="F313" s="8">
        <f t="shared" si="38"/>
        <v>1</v>
      </c>
      <c r="G313" s="8" t="str">
        <f t="shared" si="39"/>
        <v>0 00 37.09</v>
      </c>
      <c r="H313" s="9">
        <f t="shared" si="40"/>
        <v>1.0000677600366128</v>
      </c>
      <c r="I313" s="5" t="str">
        <f t="shared" si="41"/>
        <v>-27 29 29.43722</v>
      </c>
      <c r="J313" s="5" t="str">
        <f t="shared" si="42"/>
        <v>124 42 52.35678</v>
      </c>
      <c r="K313" s="10">
        <f t="shared" si="43"/>
        <v>1.0000677600366128</v>
      </c>
      <c r="L313" s="11" t="str">
        <f t="shared" si="44"/>
        <v>0 00 37.09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 t="shared" si="36"/>
        <v>56362.732269268847</v>
      </c>
      <c r="E314" s="4">
        <f t="shared" si="37"/>
        <v>274379.60625122394</v>
      </c>
      <c r="F314" s="8">
        <f t="shared" si="38"/>
        <v>1</v>
      </c>
      <c r="G314" s="8" t="str">
        <f t="shared" si="39"/>
        <v>0 01 24.66</v>
      </c>
      <c r="H314" s="9">
        <f t="shared" si="40"/>
        <v>1.0001015299192504</v>
      </c>
      <c r="I314" s="5" t="str">
        <f t="shared" si="41"/>
        <v>-22 22 31.42128</v>
      </c>
      <c r="J314" s="5" t="str">
        <f t="shared" si="42"/>
        <v>117 47 42.38981</v>
      </c>
      <c r="K314" s="10">
        <f t="shared" si="43"/>
        <v>1.0001015299192506</v>
      </c>
      <c r="L314" s="11" t="str">
        <f t="shared" si="44"/>
        <v>0 01 24.66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 t="shared" si="36"/>
        <v>55917.532285015754</v>
      </c>
      <c r="E315" s="4">
        <f t="shared" si="37"/>
        <v>272170.25889547355</v>
      </c>
      <c r="F315" s="8">
        <f t="shared" si="38"/>
        <v>1</v>
      </c>
      <c r="G315" s="8" t="str">
        <f t="shared" si="39"/>
        <v>0 01 19.49</v>
      </c>
      <c r="H315" s="9">
        <f t="shared" si="40"/>
        <v>1.0000257324272286</v>
      </c>
      <c r="I315" s="5" t="str">
        <f t="shared" si="41"/>
        <v>-22 33 57.90726</v>
      </c>
      <c r="J315" s="5" t="str">
        <f t="shared" si="42"/>
        <v>115 59 27.12818</v>
      </c>
      <c r="K315" s="10">
        <f t="shared" si="43"/>
        <v>1.0000257324272288</v>
      </c>
      <c r="L315" s="11" t="str">
        <f t="shared" si="44"/>
        <v>0 01 19.49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 t="shared" si="36"/>
        <v>57064.568558037354</v>
      </c>
      <c r="E316" s="4">
        <f t="shared" si="37"/>
        <v>216281.67031528335</v>
      </c>
      <c r="F316" s="8">
        <f t="shared" si="38"/>
        <v>1</v>
      </c>
      <c r="G316" s="8" t="str">
        <f t="shared" si="39"/>
        <v>0 02 23.71</v>
      </c>
      <c r="H316" s="9">
        <f t="shared" si="40"/>
        <v>1.0000161651933355</v>
      </c>
      <c r="I316" s="5" t="str">
        <f t="shared" si="41"/>
        <v>-32 11 47.99810</v>
      </c>
      <c r="J316" s="5" t="str">
        <f t="shared" si="42"/>
        <v>125 15 29.71904</v>
      </c>
      <c r="K316" s="10">
        <f t="shared" si="43"/>
        <v>1.0000161651933355</v>
      </c>
      <c r="L316" s="11" t="str">
        <f t="shared" si="44"/>
        <v>0 02 23.71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 t="shared" si="36"/>
        <v>56496.595799968731</v>
      </c>
      <c r="E317" s="4">
        <f t="shared" si="37"/>
        <v>207293.05755522754</v>
      </c>
      <c r="F317" s="8">
        <f t="shared" si="38"/>
        <v>1</v>
      </c>
      <c r="G317" s="8" t="str">
        <f t="shared" si="39"/>
        <v>0 01 55.35</v>
      </c>
      <c r="H317" s="9">
        <f t="shared" si="40"/>
        <v>1.0000053106185209</v>
      </c>
      <c r="I317" s="5" t="str">
        <f t="shared" si="41"/>
        <v>-28 47 14.11555</v>
      </c>
      <c r="J317" s="5" t="str">
        <f t="shared" si="42"/>
        <v>114 52 59.53469</v>
      </c>
      <c r="K317" s="10">
        <f t="shared" si="43"/>
        <v>1.0000053106185209</v>
      </c>
      <c r="L317" s="11" t="str">
        <f t="shared" si="44"/>
        <v>0 01 55.35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 t="shared" si="36"/>
        <v>100174.16553407791</v>
      </c>
      <c r="E318" s="4">
        <f t="shared" si="37"/>
        <v>242892.99526526872</v>
      </c>
      <c r="F318" s="8">
        <f t="shared" si="38"/>
        <v>1</v>
      </c>
      <c r="G318" s="8" t="str">
        <f t="shared" si="39"/>
        <v>0 00 02.03</v>
      </c>
      <c r="H318" s="9">
        <f t="shared" si="40"/>
        <v>1.0000054703747583</v>
      </c>
      <c r="I318" s="5" t="str">
        <f t="shared" si="41"/>
        <v>-19 50 38.34992</v>
      </c>
      <c r="J318" s="5" t="str">
        <f t="shared" si="42"/>
        <v>120 34 40.98562</v>
      </c>
      <c r="K318" s="10">
        <f t="shared" si="43"/>
        <v>1.0000054703747583</v>
      </c>
      <c r="L318" s="11" t="str">
        <f t="shared" si="44"/>
        <v>0 00 02.03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 t="shared" si="36"/>
        <v>51060.287097892498</v>
      </c>
      <c r="E319" s="4">
        <f t="shared" si="37"/>
        <v>260401.5539089432</v>
      </c>
      <c r="F319" s="8">
        <f t="shared" si="38"/>
        <v>1</v>
      </c>
      <c r="G319" s="8" t="str">
        <f t="shared" si="39"/>
        <v>0 00 23.97</v>
      </c>
      <c r="H319" s="9">
        <f t="shared" si="40"/>
        <v>1.0000014438494185</v>
      </c>
      <c r="I319" s="5" t="str">
        <f t="shared" si="41"/>
        <v>-34 59 27.54834</v>
      </c>
      <c r="J319" s="5" t="str">
        <f t="shared" si="42"/>
        <v>116 41 41.80837</v>
      </c>
      <c r="K319" s="10">
        <f t="shared" si="43"/>
        <v>1.0000014438494185</v>
      </c>
      <c r="L319" s="11" t="str">
        <f t="shared" si="44"/>
        <v>0 00 23.97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 t="shared" si="36"/>
        <v>58425.098123970129</v>
      </c>
      <c r="E320" s="4">
        <f t="shared" si="37"/>
        <v>210359.98959805025</v>
      </c>
      <c r="F320" s="8">
        <f t="shared" si="38"/>
        <v>1</v>
      </c>
      <c r="G320" s="8" t="str">
        <f t="shared" si="39"/>
        <v>0 02 11.23</v>
      </c>
      <c r="H320" s="9">
        <f t="shared" si="40"/>
        <v>1.000082206026365</v>
      </c>
      <c r="I320" s="5" t="str">
        <f t="shared" si="41"/>
        <v>-25 44 03.70774</v>
      </c>
      <c r="J320" s="5" t="str">
        <f t="shared" si="42"/>
        <v>127 20 12.24571</v>
      </c>
      <c r="K320" s="10">
        <f t="shared" si="43"/>
        <v>1.000082206026365</v>
      </c>
      <c r="L320" s="11" t="str">
        <f t="shared" si="44"/>
        <v>0 02 11.23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 t="shared" si="36"/>
        <v>57003.797145084471</v>
      </c>
      <c r="E321" s="4">
        <f t="shared" si="37"/>
        <v>246756.15708570695</v>
      </c>
      <c r="F321" s="8">
        <f t="shared" si="38"/>
        <v>1</v>
      </c>
      <c r="G321" s="8" t="str">
        <f t="shared" si="39"/>
        <v>0 01 45.33</v>
      </c>
      <c r="H321" s="9">
        <f t="shared" si="40"/>
        <v>1.0000938354670339</v>
      </c>
      <c r="I321" s="5" t="str">
        <f t="shared" si="41"/>
        <v>-24 57 15.24550</v>
      </c>
      <c r="J321" s="5" t="str">
        <f t="shared" si="42"/>
        <v>128 41 56.64800</v>
      </c>
      <c r="K321" s="10">
        <f t="shared" si="43"/>
        <v>1.0000938354670339</v>
      </c>
      <c r="L321" s="11" t="str">
        <f t="shared" si="44"/>
        <v>0 01 45.33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 t="shared" si="36"/>
        <v>57485.049408351522</v>
      </c>
      <c r="E322" s="4">
        <f t="shared" si="37"/>
        <v>224859.88784391107</v>
      </c>
      <c r="F322" s="8">
        <f t="shared" si="38"/>
        <v>1</v>
      </c>
      <c r="G322" s="8" t="str">
        <f t="shared" si="39"/>
        <v>0 01 58.45</v>
      </c>
      <c r="H322" s="9">
        <f t="shared" si="40"/>
        <v>1.0000837613967601</v>
      </c>
      <c r="I322" s="5" t="str">
        <f t="shared" si="41"/>
        <v>-26 05 27.00877</v>
      </c>
      <c r="J322" s="5" t="str">
        <f t="shared" si="42"/>
        <v>126 48 06.33002</v>
      </c>
      <c r="K322" s="10">
        <f t="shared" si="43"/>
        <v>1.0000837613967599</v>
      </c>
      <c r="L322" s="11" t="str">
        <f t="shared" si="44"/>
        <v>0 01 58.45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 t="shared" si="36"/>
        <v>50022.590482143576</v>
      </c>
      <c r="E323" s="4">
        <f t="shared" si="37"/>
        <v>276229.79939045245</v>
      </c>
      <c r="F323" s="8">
        <f t="shared" si="38"/>
        <v>1</v>
      </c>
      <c r="G323" s="8" t="str">
        <f t="shared" si="39"/>
        <v>0 00 00.42</v>
      </c>
      <c r="H323" s="9">
        <f t="shared" si="40"/>
        <v>1.0000205800062933</v>
      </c>
      <c r="I323" s="5" t="str">
        <f t="shared" si="41"/>
        <v>-30 01 56.53520</v>
      </c>
      <c r="J323" s="5" t="str">
        <f t="shared" si="42"/>
        <v>115 19 00.84313</v>
      </c>
      <c r="K323" s="10">
        <f t="shared" si="43"/>
        <v>1.0000205800062933</v>
      </c>
      <c r="L323" s="11" t="str">
        <f t="shared" si="44"/>
        <v>0 00 00.42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 t="shared" ref="D324:D343" si="45">grideasting(B324,C324,A324)</f>
        <v>0</v>
      </c>
      <c r="E324" s="4">
        <f t="shared" ref="E324:E343" si="46">gridnorthing(B324,C324,A324)</f>
        <v>0</v>
      </c>
      <c r="F324" s="8">
        <f t="shared" ref="F324:F343" si="47">gridzone(B324,C324,A324)</f>
        <v>2</v>
      </c>
      <c r="G324" s="8" t="str">
        <f t="shared" ref="G324:G343" si="48">GridGridCon(B324,C324,A324)</f>
        <v>-30 11 30.38</v>
      </c>
      <c r="H324" s="9">
        <f t="shared" ref="H324:H343" si="49">GridPntScleFact(B324,C324,A324)</f>
        <v>0</v>
      </c>
      <c r="I324" s="5" t="str">
        <f t="shared" ref="I324:I343" si="50">datumlat(D324,E324,F324,A324)</f>
        <v>Division by zero</v>
      </c>
      <c r="J324" s="5" t="str">
        <f t="shared" ref="J324:J343" si="51">datumlong(D324,E324,F324,A324)</f>
        <v>Division by zero</v>
      </c>
      <c r="K324" s="10" t="str">
        <f t="shared" ref="K324:K343" si="52">DatumPntScle(D324,E324,F324,A324)</f>
        <v>Division by zero</v>
      </c>
      <c r="L324" s="11" t="str">
        <f t="shared" ref="L324:L343" si="53">DatumGridConv(D324,E324,F324,A324)</f>
        <v>Division by zero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 t="shared" si="45"/>
        <v>55134.272988516866</v>
      </c>
      <c r="E325" s="4">
        <f t="shared" si="46"/>
        <v>214807.89967548894</v>
      </c>
      <c r="F325" s="8">
        <f t="shared" si="47"/>
        <v>1</v>
      </c>
      <c r="G325" s="8" t="str">
        <f t="shared" si="48"/>
        <v>0 01 29.41</v>
      </c>
      <c r="H325" s="9">
        <f t="shared" si="49"/>
        <v>1.00006634517642</v>
      </c>
      <c r="I325" s="5" t="str">
        <f t="shared" si="50"/>
        <v>-28 19 14.57540</v>
      </c>
      <c r="J325" s="5" t="str">
        <f t="shared" si="51"/>
        <v>121 03 08.46058</v>
      </c>
      <c r="K325" s="10">
        <f t="shared" si="52"/>
        <v>1.0000663451764198</v>
      </c>
      <c r="L325" s="11" t="str">
        <f t="shared" si="53"/>
        <v>0 01 29.41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 t="shared" si="45"/>
        <v>52683.920676196576</v>
      </c>
      <c r="E326" s="4">
        <f t="shared" si="46"/>
        <v>269743.55459609628</v>
      </c>
      <c r="F326" s="8">
        <f t="shared" si="47"/>
        <v>1</v>
      </c>
      <c r="G326" s="8" t="str">
        <f t="shared" si="48"/>
        <v>0 00 36.59</v>
      </c>
      <c r="H326" s="9">
        <f t="shared" si="49"/>
        <v>1.0001037589436921</v>
      </c>
      <c r="I326" s="5" t="str">
        <f t="shared" si="50"/>
        <v>-22 52 07.21963</v>
      </c>
      <c r="J326" s="5" t="str">
        <f t="shared" si="51"/>
        <v>119 02 29.14321</v>
      </c>
      <c r="K326" s="10">
        <f t="shared" si="52"/>
        <v>1.0001037589436921</v>
      </c>
      <c r="L326" s="11" t="str">
        <f t="shared" si="53"/>
        <v>0 00 36.59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 t="shared" si="45"/>
        <v>51132.52544266999</v>
      </c>
      <c r="E327" s="4">
        <f t="shared" si="46"/>
        <v>291919.21826986084</v>
      </c>
      <c r="F327" s="8">
        <f t="shared" si="47"/>
        <v>1</v>
      </c>
      <c r="G327" s="8" t="str">
        <f t="shared" si="48"/>
        <v>0 00 13.95</v>
      </c>
      <c r="H327" s="9">
        <f t="shared" si="49"/>
        <v>1.0000053558436466</v>
      </c>
      <c r="I327" s="5" t="str">
        <f t="shared" si="50"/>
        <v>-20 51 51.99149</v>
      </c>
      <c r="J327" s="5" t="str">
        <f t="shared" si="51"/>
        <v>117 46 39.17849</v>
      </c>
      <c r="K327" s="10">
        <f t="shared" si="52"/>
        <v>1.0000053558436466</v>
      </c>
      <c r="L327" s="11" t="str">
        <f t="shared" si="53"/>
        <v>0 00 13.95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 t="shared" si="45"/>
        <v>50868.613438460867</v>
      </c>
      <c r="E328" s="4">
        <f t="shared" si="46"/>
        <v>198397.01266673533</v>
      </c>
      <c r="F328" s="8">
        <f t="shared" si="47"/>
        <v>1</v>
      </c>
      <c r="G328" s="8" t="str">
        <f t="shared" si="48"/>
        <v>0 00 10.67</v>
      </c>
      <c r="H328" s="9">
        <f t="shared" si="49"/>
        <v>1.0000045693200144</v>
      </c>
      <c r="I328" s="5" t="str">
        <f t="shared" si="50"/>
        <v>-20 48 21.41986</v>
      </c>
      <c r="J328" s="5" t="str">
        <f t="shared" si="51"/>
        <v>117 56 30.03716</v>
      </c>
      <c r="K328" s="10">
        <f t="shared" si="52"/>
        <v>1.0000045693200144</v>
      </c>
      <c r="L328" s="11" t="str">
        <f t="shared" si="53"/>
        <v>0 00 10.67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 t="shared" si="45"/>
        <v>53712.175320290044</v>
      </c>
      <c r="E329" s="4">
        <f t="shared" si="46"/>
        <v>291774.9749629451</v>
      </c>
      <c r="F329" s="8">
        <f t="shared" si="47"/>
        <v>1</v>
      </c>
      <c r="G329" s="8" t="str">
        <f t="shared" si="48"/>
        <v>0 00 45.74</v>
      </c>
      <c r="H329" s="9">
        <f t="shared" si="49"/>
        <v>1.0000017402227979</v>
      </c>
      <c r="I329" s="5" t="str">
        <f t="shared" si="50"/>
        <v>-20 51 56.95247</v>
      </c>
      <c r="J329" s="5" t="str">
        <f t="shared" si="51"/>
        <v>117 36 08.42033</v>
      </c>
      <c r="K329" s="10">
        <f t="shared" si="52"/>
        <v>1.0000017402227979</v>
      </c>
      <c r="L329" s="11" t="str">
        <f t="shared" si="53"/>
        <v>0 00 45.74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 t="shared" si="45"/>
        <v>50892.053825838084</v>
      </c>
      <c r="E330" s="4">
        <f t="shared" si="46"/>
        <v>210299.1828971128</v>
      </c>
      <c r="F330" s="8">
        <f t="shared" si="47"/>
        <v>1</v>
      </c>
      <c r="G330" s="8" t="str">
        <f t="shared" si="48"/>
        <v>0 00 15.30</v>
      </c>
      <c r="H330" s="9">
        <f t="shared" si="49"/>
        <v>1.0000670698168668</v>
      </c>
      <c r="I330" s="5" t="str">
        <f t="shared" si="50"/>
        <v>-27 57 51.73222</v>
      </c>
      <c r="J330" s="5" t="str">
        <f t="shared" si="51"/>
        <v>123 21 43.63585</v>
      </c>
      <c r="K330" s="10">
        <f t="shared" si="52"/>
        <v>1.000067069816867</v>
      </c>
      <c r="L330" s="11" t="str">
        <f t="shared" si="53"/>
        <v>0 00 15.30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 t="shared" si="45"/>
        <v>51807.877279714754</v>
      </c>
      <c r="E331" s="4">
        <f t="shared" si="46"/>
        <v>135985.29189398885</v>
      </c>
      <c r="F331" s="8">
        <f t="shared" si="47"/>
        <v>1</v>
      </c>
      <c r="G331" s="8" t="str">
        <f t="shared" si="48"/>
        <v>0 00 29.33</v>
      </c>
      <c r="H331" s="9">
        <f t="shared" si="49"/>
        <v>1.0000766203304203</v>
      </c>
      <c r="I331" s="5" t="str">
        <f t="shared" si="50"/>
        <v>-26 39 30.49855</v>
      </c>
      <c r="J331" s="5" t="str">
        <f t="shared" si="51"/>
        <v>120 13 05.37082</v>
      </c>
      <c r="K331" s="10">
        <f t="shared" si="52"/>
        <v>1.0000766203304201</v>
      </c>
      <c r="L331" s="11" t="str">
        <f t="shared" si="53"/>
        <v>0 00 29.33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 t="shared" si="45"/>
        <v>56254.590589153893</v>
      </c>
      <c r="E332" s="4">
        <f t="shared" si="46"/>
        <v>243109.14281030744</v>
      </c>
      <c r="F332" s="8">
        <f t="shared" si="47"/>
        <v>1</v>
      </c>
      <c r="G332" s="8" t="str">
        <f t="shared" si="48"/>
        <v>0 01 22.53</v>
      </c>
      <c r="H332" s="9">
        <f t="shared" si="49"/>
        <v>1.000082663092783</v>
      </c>
      <c r="I332" s="5" t="str">
        <f t="shared" si="50"/>
        <v>-22 12 24.08753</v>
      </c>
      <c r="J332" s="5" t="str">
        <f t="shared" si="51"/>
        <v>118 07 38.35196</v>
      </c>
      <c r="K332" s="10">
        <f t="shared" si="52"/>
        <v>1.000082663092783</v>
      </c>
      <c r="L332" s="11" t="str">
        <f t="shared" si="53"/>
        <v>0 01 22.53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 t="shared" si="45"/>
        <v>50519.715146727322</v>
      </c>
      <c r="E333" s="4">
        <f t="shared" si="46"/>
        <v>227017.58011763357</v>
      </c>
      <c r="F333" s="8">
        <f t="shared" si="47"/>
        <v>1</v>
      </c>
      <c r="G333" s="8" t="str">
        <f t="shared" si="48"/>
        <v>0 00 06.56</v>
      </c>
      <c r="H333" s="9">
        <f t="shared" si="49"/>
        <v>1.0000360133361481</v>
      </c>
      <c r="I333" s="5" t="str">
        <f t="shared" si="50"/>
        <v>-21 19 24.69616</v>
      </c>
      <c r="J333" s="5" t="str">
        <f t="shared" si="51"/>
        <v>118 48 48.03376</v>
      </c>
      <c r="K333" s="10">
        <f t="shared" si="52"/>
        <v>1.0000360133361481</v>
      </c>
      <c r="L333" s="11" t="str">
        <f t="shared" si="53"/>
        <v>0 00 06.56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 t="shared" si="45"/>
        <v>56708.462532115707</v>
      </c>
      <c r="E334" s="4">
        <f t="shared" si="46"/>
        <v>220901.48301117169</v>
      </c>
      <c r="F334" s="8">
        <f t="shared" si="47"/>
        <v>1</v>
      </c>
      <c r="G334" s="8" t="str">
        <f t="shared" si="48"/>
        <v>0 02 17.20</v>
      </c>
      <c r="H334" s="9">
        <f t="shared" si="49"/>
        <v>1.0000173647190123</v>
      </c>
      <c r="I334" s="5" t="str">
        <f t="shared" si="50"/>
        <v>-32 20 07.15646</v>
      </c>
      <c r="J334" s="5" t="str">
        <f t="shared" si="51"/>
        <v>124 43 16.51264</v>
      </c>
      <c r="K334" s="10">
        <f t="shared" si="52"/>
        <v>1.0000173647190123</v>
      </c>
      <c r="L334" s="11" t="str">
        <f t="shared" si="53"/>
        <v>0 02 17.20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 t="shared" si="45"/>
        <v>50382.722678872582</v>
      </c>
      <c r="E335" s="4">
        <f t="shared" si="46"/>
        <v>277594.45541720605</v>
      </c>
      <c r="F335" s="8">
        <f t="shared" si="47"/>
        <v>1</v>
      </c>
      <c r="G335" s="8" t="str">
        <f t="shared" si="48"/>
        <v>0 00 07.15</v>
      </c>
      <c r="H335" s="9">
        <f t="shared" si="49"/>
        <v>1.0000457218063061</v>
      </c>
      <c r="I335" s="5" t="str">
        <f t="shared" si="50"/>
        <v>-30 01 09.50570</v>
      </c>
      <c r="J335" s="5" t="str">
        <f t="shared" si="51"/>
        <v>116 42 14.28188</v>
      </c>
      <c r="K335" s="10">
        <f t="shared" si="52"/>
        <v>1.0000457218063061</v>
      </c>
      <c r="L335" s="11" t="str">
        <f t="shared" si="53"/>
        <v>0 00 07.15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 t="shared" si="45"/>
        <v>52923.115316218871</v>
      </c>
      <c r="E336" s="4">
        <f t="shared" si="46"/>
        <v>282707.3436329877</v>
      </c>
      <c r="F336" s="8">
        <f t="shared" si="47"/>
        <v>1</v>
      </c>
      <c r="G336" s="8" t="str">
        <f t="shared" si="48"/>
        <v>0 00 39.63</v>
      </c>
      <c r="H336" s="9">
        <f t="shared" si="49"/>
        <v>1.0000381255126671</v>
      </c>
      <c r="I336" s="5" t="str">
        <f t="shared" si="50"/>
        <v>-22 45 11.20435</v>
      </c>
      <c r="J336" s="5" t="str">
        <f t="shared" si="51"/>
        <v>116 31 42.45366</v>
      </c>
      <c r="K336" s="10">
        <f t="shared" si="52"/>
        <v>1.0000381255126671</v>
      </c>
      <c r="L336" s="11" t="str">
        <f t="shared" si="53"/>
        <v>0 00 39.63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 t="shared" si="45"/>
        <v>47265.108956535347</v>
      </c>
      <c r="E337" s="4">
        <f t="shared" si="46"/>
        <v>215175.47170929494</v>
      </c>
      <c r="F337" s="8">
        <f t="shared" si="47"/>
        <v>1</v>
      </c>
      <c r="G337" s="8" t="str">
        <f t="shared" si="48"/>
        <v>0 00 25.13</v>
      </c>
      <c r="H337" s="9">
        <f t="shared" si="49"/>
        <v>1.000023662455886</v>
      </c>
      <c r="I337" s="5" t="str">
        <f t="shared" si="50"/>
        <v>-15 51 56.55701</v>
      </c>
      <c r="J337" s="5" t="str">
        <f t="shared" si="51"/>
        <v>128 10 28.07785</v>
      </c>
      <c r="K337" s="10">
        <f t="shared" si="52"/>
        <v>1.000023662455886</v>
      </c>
      <c r="L337" s="11" t="str">
        <f t="shared" si="53"/>
        <v>0 00 25.13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 t="shared" si="45"/>
        <v>52062.273326293362</v>
      </c>
      <c r="E338" s="4">
        <f t="shared" si="46"/>
        <v>219508.42522009509</v>
      </c>
      <c r="F338" s="8">
        <f t="shared" si="47"/>
        <v>1</v>
      </c>
      <c r="G338" s="8" t="str">
        <f t="shared" si="48"/>
        <v>0 00 36.13</v>
      </c>
      <c r="H338" s="9">
        <f t="shared" si="49"/>
        <v>1.0000474424625143</v>
      </c>
      <c r="I338" s="5" t="str">
        <f t="shared" si="50"/>
        <v>-28 28 05.93940</v>
      </c>
      <c r="J338" s="5" t="str">
        <f t="shared" si="51"/>
        <v>116 52 46.94495</v>
      </c>
      <c r="K338" s="10">
        <f t="shared" si="52"/>
        <v>1.0000474424625143</v>
      </c>
      <c r="L338" s="11" t="str">
        <f t="shared" si="53"/>
        <v>0 00 36.13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 t="shared" si="45"/>
        <v>50536.181285456842</v>
      </c>
      <c r="E339" s="4">
        <f t="shared" si="46"/>
        <v>251366.51640853658</v>
      </c>
      <c r="F339" s="8">
        <f t="shared" si="47"/>
        <v>1</v>
      </c>
      <c r="G339" s="8" t="str">
        <f t="shared" si="48"/>
        <v>0 00 07.28</v>
      </c>
      <c r="H339" s="9">
        <f t="shared" si="49"/>
        <v>1.0000140035501295</v>
      </c>
      <c r="I339" s="5" t="str">
        <f t="shared" si="50"/>
        <v>-22 47 01.78195</v>
      </c>
      <c r="J339" s="5" t="str">
        <f t="shared" si="51"/>
        <v>115 05 18.79753</v>
      </c>
      <c r="K339" s="10">
        <f t="shared" si="52"/>
        <v>1.0000140035501295</v>
      </c>
      <c r="L339" s="11" t="str">
        <f t="shared" si="53"/>
        <v>0 00 07.28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 t="shared" si="45"/>
        <v>51815.392816964144</v>
      </c>
      <c r="E340" s="4">
        <f t="shared" si="46"/>
        <v>208686.44561499823</v>
      </c>
      <c r="F340" s="8">
        <f t="shared" si="47"/>
        <v>1</v>
      </c>
      <c r="G340" s="8" t="str">
        <f t="shared" si="48"/>
        <v>0 00 28.78</v>
      </c>
      <c r="H340" s="9">
        <f t="shared" si="49"/>
        <v>1.0000060106733057</v>
      </c>
      <c r="I340" s="5" t="str">
        <f t="shared" si="50"/>
        <v>-26 07 49.91797</v>
      </c>
      <c r="J340" s="5" t="str">
        <f t="shared" si="51"/>
        <v>114 23 05.34930</v>
      </c>
      <c r="K340" s="10">
        <f t="shared" si="52"/>
        <v>1.0000060106733055</v>
      </c>
      <c r="L340" s="11" t="str">
        <f t="shared" si="53"/>
        <v>0 00 28.78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 t="shared" si="45"/>
        <v>58862.237443081314</v>
      </c>
      <c r="E341" s="4">
        <f t="shared" si="46"/>
        <v>249908.89525005454</v>
      </c>
      <c r="F341" s="8">
        <f t="shared" si="47"/>
        <v>1</v>
      </c>
      <c r="G341" s="8" t="str">
        <f t="shared" si="48"/>
        <v>0 01 51.67</v>
      </c>
      <c r="H341" s="9">
        <f t="shared" si="49"/>
        <v>1.0000405000668935</v>
      </c>
      <c r="I341" s="5" t="str">
        <f t="shared" si="50"/>
        <v>-21 17 50.34358</v>
      </c>
      <c r="J341" s="5" t="str">
        <f t="shared" si="51"/>
        <v>120 51 37.45786</v>
      </c>
      <c r="K341" s="10">
        <f t="shared" si="52"/>
        <v>1.0000405000668935</v>
      </c>
      <c r="L341" s="11" t="str">
        <f t="shared" si="53"/>
        <v>0 01 51.67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 t="shared" si="45"/>
        <v>54842.52677245978</v>
      </c>
      <c r="E342" s="4">
        <f t="shared" si="46"/>
        <v>251224.06968825124</v>
      </c>
      <c r="F342" s="8">
        <f t="shared" si="47"/>
        <v>1</v>
      </c>
      <c r="G342" s="8" t="str">
        <f t="shared" si="48"/>
        <v>0 01 02.66</v>
      </c>
      <c r="H342" s="9">
        <f t="shared" si="49"/>
        <v>1.0000465496141993</v>
      </c>
      <c r="I342" s="5" t="str">
        <f t="shared" si="50"/>
        <v>-21 49 05.31199</v>
      </c>
      <c r="J342" s="5" t="str">
        <f t="shared" si="51"/>
        <v>118 52 48.60174</v>
      </c>
      <c r="K342" s="10">
        <f t="shared" si="52"/>
        <v>1.000046549614199</v>
      </c>
      <c r="L342" s="11" t="str">
        <f t="shared" si="53"/>
        <v>0 01 02.66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 t="shared" si="45"/>
        <v>51264.214234669947</v>
      </c>
      <c r="E343" s="4">
        <f t="shared" si="46"/>
        <v>216086.90758041106</v>
      </c>
      <c r="F343" s="8">
        <f t="shared" si="47"/>
        <v>1</v>
      </c>
      <c r="G343" s="8" t="str">
        <f t="shared" si="48"/>
        <v>0 00 22.02</v>
      </c>
      <c r="H343" s="9">
        <f t="shared" si="49"/>
        <v>1.0000345497158503</v>
      </c>
      <c r="I343" s="5" t="str">
        <f t="shared" si="50"/>
        <v>-28 19 41.23474</v>
      </c>
      <c r="J343" s="5" t="str">
        <f t="shared" si="51"/>
        <v>114 55 46.40941</v>
      </c>
      <c r="K343" s="10">
        <f t="shared" si="52"/>
        <v>1.00003454971585</v>
      </c>
      <c r="L343" s="11" t="str">
        <f t="shared" si="53"/>
        <v>0 00 22.02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6:M12"/>
  <sheetViews>
    <sheetView zoomScale="89" zoomScaleNormal="89" workbookViewId="0">
      <selection activeCell="H15" sqref="H15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7" width="18.85546875" bestFit="1" customWidth="1"/>
    <col min="8" max="8" width="20.7109375" customWidth="1"/>
    <col min="9" max="9" width="19.42578125" bestFit="1" customWidth="1"/>
    <col min="10" max="10" width="17" customWidth="1"/>
    <col min="11" max="11" width="19.140625" customWidth="1"/>
    <col min="12" max="12" width="19.42578125" bestFit="1" customWidth="1"/>
    <col min="13" max="13" width="19.5703125" bestFit="1" customWidth="1"/>
  </cols>
  <sheetData>
    <row r="6" spans="1:13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123</v>
      </c>
      <c r="H6" s="7" t="s">
        <v>124</v>
      </c>
      <c r="I6" s="7" t="s">
        <v>125</v>
      </c>
      <c r="J6" s="7" t="s">
        <v>126</v>
      </c>
      <c r="K6" s="7" t="s">
        <v>127</v>
      </c>
      <c r="L6" s="7" t="s">
        <v>128</v>
      </c>
      <c r="M6" s="7" t="s">
        <v>129</v>
      </c>
    </row>
    <row r="7" spans="1:13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120</v>
      </c>
      <c r="H7" s="1" t="s">
        <v>121</v>
      </c>
      <c r="I7" s="1" t="s">
        <v>130</v>
      </c>
      <c r="J7" s="1" t="s">
        <v>131</v>
      </c>
      <c r="K7" s="1" t="s">
        <v>120</v>
      </c>
      <c r="L7" s="1" t="s">
        <v>132</v>
      </c>
      <c r="M7" s="1" t="s">
        <v>133</v>
      </c>
    </row>
    <row r="8" spans="1:13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119 01 32.35</v>
      </c>
      <c r="F8" s="8" t="str">
        <f>georevaz(A8,B8,C8,D8)</f>
        <v>298 41 26.63</v>
      </c>
      <c r="G8" s="8" t="str">
        <f>Midaz(A8,B8,C8,D8)</f>
        <v>208 51 29.49</v>
      </c>
      <c r="H8" s="4">
        <f>[1]!sphdist(A8,B8,C8,D8)</f>
        <v>63652.725837865815</v>
      </c>
      <c r="I8" s="5" t="str">
        <f>[1]!fwdlat(A8,B8,E8,H8)</f>
        <v>-33 56 22.71858</v>
      </c>
      <c r="J8" s="5" t="str">
        <f>[1]!fwdlong(A8,B8,E8,H8)</f>
        <v>115 57 48.99888</v>
      </c>
      <c r="K8" s="10" t="str">
        <f>[1]!fwdrevaz(A8,B8,E8,H8)</f>
        <v>298 41 26.63</v>
      </c>
      <c r="L8" s="11">
        <f>[1]!dd(K8)</f>
        <v>298.69073055555555</v>
      </c>
      <c r="M8" s="11" t="str">
        <f>[1]!hms(L8,5)</f>
        <v>298 41 26.63000</v>
      </c>
    </row>
    <row r="12" spans="1:13" x14ac:dyDescent="0.25">
      <c r="F12" s="43"/>
      <c r="G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7F034-F1CD-40A9-A502-47A40B6394B1}">
  <sheetPr codeName="Sheet5"/>
  <dimension ref="A1:AH18"/>
  <sheetViews>
    <sheetView showGridLines="0" workbookViewId="0">
      <selection activeCell="S16" sqref="S16"/>
    </sheetView>
  </sheetViews>
  <sheetFormatPr defaultRowHeight="15" customHeight="1" x14ac:dyDescent="0.2"/>
  <cols>
    <col min="1" max="2" width="10.5703125" style="58" customWidth="1"/>
    <col min="3" max="3" width="10.5703125" style="76" bestFit="1" customWidth="1"/>
    <col min="4" max="4" width="9.42578125" style="58" bestFit="1" customWidth="1"/>
    <col min="5" max="6" width="15.7109375" style="58" bestFit="1" customWidth="1"/>
    <col min="7" max="7" width="11.5703125" style="58" customWidth="1"/>
    <col min="8" max="8" width="9.140625" style="58" hidden="1" customWidth="1"/>
    <col min="9" max="9" width="9.5703125" style="58" hidden="1" customWidth="1"/>
    <col min="10" max="10" width="7.5703125" style="58" bestFit="1" customWidth="1"/>
    <col min="11" max="11" width="6.5703125" style="58" bestFit="1" customWidth="1"/>
    <col min="12" max="12" width="7.5703125" style="58" hidden="1" customWidth="1"/>
    <col min="13" max="13" width="8.5703125" style="58" bestFit="1" customWidth="1"/>
    <col min="14" max="14" width="6.5703125" style="58" bestFit="1" customWidth="1"/>
    <col min="15" max="17" width="8.5703125" style="58" hidden="1" customWidth="1"/>
    <col min="18" max="18" width="7.140625" style="58" hidden="1" customWidth="1"/>
    <col min="19" max="19" width="12.28515625" style="76" bestFit="1" customWidth="1"/>
    <col min="20" max="20" width="8.140625" style="58" hidden="1" customWidth="1"/>
    <col min="21" max="21" width="11.5703125" style="58" hidden="1" customWidth="1"/>
    <col min="22" max="22" width="7.5703125" style="58" hidden="1" customWidth="1"/>
    <col min="23" max="23" width="14.42578125" style="76" bestFit="1" customWidth="1"/>
    <col min="24" max="25" width="6.140625" style="58" hidden="1" customWidth="1"/>
    <col min="26" max="26" width="10.28515625" style="58" customWidth="1"/>
    <col min="27" max="27" width="10.28515625" style="58" bestFit="1" customWidth="1"/>
    <col min="28" max="33" width="9.140625" style="58"/>
    <col min="34" max="34" width="17" style="58" bestFit="1" customWidth="1"/>
    <col min="35" max="258" width="9.140625" style="58"/>
    <col min="259" max="260" width="12.7109375" style="58" customWidth="1"/>
    <col min="261" max="261" width="10.5703125" style="58" bestFit="1" customWidth="1"/>
    <col min="262" max="262" width="9.42578125" style="58" bestFit="1" customWidth="1"/>
    <col min="263" max="263" width="9.28515625" style="58" customWidth="1"/>
    <col min="264" max="264" width="9.140625" style="58"/>
    <col min="265" max="265" width="9.5703125" style="58" customWidth="1"/>
    <col min="266" max="266" width="7.5703125" style="58" bestFit="1" customWidth="1"/>
    <col min="267" max="267" width="6.5703125" style="58" bestFit="1" customWidth="1"/>
    <col min="268" max="268" width="7.5703125" style="58" customWidth="1"/>
    <col min="269" max="269" width="8.5703125" style="58" bestFit="1" customWidth="1"/>
    <col min="270" max="270" width="6.5703125" style="58" bestFit="1" customWidth="1"/>
    <col min="271" max="273" width="8.5703125" style="58" customWidth="1"/>
    <col min="274" max="274" width="7.140625" style="58" customWidth="1"/>
    <col min="275" max="275" width="12.28515625" style="58" bestFit="1" customWidth="1"/>
    <col min="276" max="276" width="8.140625" style="58" customWidth="1"/>
    <col min="277" max="277" width="11.5703125" style="58" customWidth="1"/>
    <col min="278" max="278" width="7.5703125" style="58" customWidth="1"/>
    <col min="279" max="279" width="14.42578125" style="58" bestFit="1" customWidth="1"/>
    <col min="280" max="281" width="6.140625" style="58" customWidth="1"/>
    <col min="282" max="282" width="10.28515625" style="58" customWidth="1"/>
    <col min="283" max="283" width="10.28515625" style="58" bestFit="1" customWidth="1"/>
    <col min="284" max="514" width="9.140625" style="58"/>
    <col min="515" max="516" width="12.7109375" style="58" customWidth="1"/>
    <col min="517" max="517" width="10.5703125" style="58" bestFit="1" customWidth="1"/>
    <col min="518" max="518" width="9.42578125" style="58" bestFit="1" customWidth="1"/>
    <col min="519" max="519" width="9.28515625" style="58" customWidth="1"/>
    <col min="520" max="520" width="9.140625" style="58"/>
    <col min="521" max="521" width="9.5703125" style="58" customWidth="1"/>
    <col min="522" max="522" width="7.5703125" style="58" bestFit="1" customWidth="1"/>
    <col min="523" max="523" width="6.5703125" style="58" bestFit="1" customWidth="1"/>
    <col min="524" max="524" width="7.5703125" style="58" customWidth="1"/>
    <col min="525" max="525" width="8.5703125" style="58" bestFit="1" customWidth="1"/>
    <col min="526" max="526" width="6.5703125" style="58" bestFit="1" customWidth="1"/>
    <col min="527" max="529" width="8.5703125" style="58" customWidth="1"/>
    <col min="530" max="530" width="7.140625" style="58" customWidth="1"/>
    <col min="531" max="531" width="12.28515625" style="58" bestFit="1" customWidth="1"/>
    <col min="532" max="532" width="8.140625" style="58" customWidth="1"/>
    <col min="533" max="533" width="11.5703125" style="58" customWidth="1"/>
    <col min="534" max="534" width="7.5703125" style="58" customWidth="1"/>
    <col min="535" max="535" width="14.42578125" style="58" bestFit="1" customWidth="1"/>
    <col min="536" max="537" width="6.140625" style="58" customWidth="1"/>
    <col min="538" max="538" width="10.28515625" style="58" customWidth="1"/>
    <col min="539" max="539" width="10.28515625" style="58" bestFit="1" customWidth="1"/>
    <col min="540" max="770" width="9.140625" style="58"/>
    <col min="771" max="772" width="12.7109375" style="58" customWidth="1"/>
    <col min="773" max="773" width="10.5703125" style="58" bestFit="1" customWidth="1"/>
    <col min="774" max="774" width="9.42578125" style="58" bestFit="1" customWidth="1"/>
    <col min="775" max="775" width="9.28515625" style="58" customWidth="1"/>
    <col min="776" max="776" width="9.140625" style="58"/>
    <col min="777" max="777" width="9.5703125" style="58" customWidth="1"/>
    <col min="778" max="778" width="7.5703125" style="58" bestFit="1" customWidth="1"/>
    <col min="779" max="779" width="6.5703125" style="58" bestFit="1" customWidth="1"/>
    <col min="780" max="780" width="7.5703125" style="58" customWidth="1"/>
    <col min="781" max="781" width="8.5703125" style="58" bestFit="1" customWidth="1"/>
    <col min="782" max="782" width="6.5703125" style="58" bestFit="1" customWidth="1"/>
    <col min="783" max="785" width="8.5703125" style="58" customWidth="1"/>
    <col min="786" max="786" width="7.140625" style="58" customWidth="1"/>
    <col min="787" max="787" width="12.28515625" style="58" bestFit="1" customWidth="1"/>
    <col min="788" max="788" width="8.140625" style="58" customWidth="1"/>
    <col min="789" max="789" width="11.5703125" style="58" customWidth="1"/>
    <col min="790" max="790" width="7.5703125" style="58" customWidth="1"/>
    <col min="791" max="791" width="14.42578125" style="58" bestFit="1" customWidth="1"/>
    <col min="792" max="793" width="6.140625" style="58" customWidth="1"/>
    <col min="794" max="794" width="10.28515625" style="58" customWidth="1"/>
    <col min="795" max="795" width="10.28515625" style="58" bestFit="1" customWidth="1"/>
    <col min="796" max="1026" width="9.140625" style="58"/>
    <col min="1027" max="1028" width="12.7109375" style="58" customWidth="1"/>
    <col min="1029" max="1029" width="10.5703125" style="58" bestFit="1" customWidth="1"/>
    <col min="1030" max="1030" width="9.42578125" style="58" bestFit="1" customWidth="1"/>
    <col min="1031" max="1031" width="9.28515625" style="58" customWidth="1"/>
    <col min="1032" max="1032" width="9.140625" style="58"/>
    <col min="1033" max="1033" width="9.5703125" style="58" customWidth="1"/>
    <col min="1034" max="1034" width="7.5703125" style="58" bestFit="1" customWidth="1"/>
    <col min="1035" max="1035" width="6.5703125" style="58" bestFit="1" customWidth="1"/>
    <col min="1036" max="1036" width="7.5703125" style="58" customWidth="1"/>
    <col min="1037" max="1037" width="8.5703125" style="58" bestFit="1" customWidth="1"/>
    <col min="1038" max="1038" width="6.5703125" style="58" bestFit="1" customWidth="1"/>
    <col min="1039" max="1041" width="8.5703125" style="58" customWidth="1"/>
    <col min="1042" max="1042" width="7.140625" style="58" customWidth="1"/>
    <col min="1043" max="1043" width="12.28515625" style="58" bestFit="1" customWidth="1"/>
    <col min="1044" max="1044" width="8.140625" style="58" customWidth="1"/>
    <col min="1045" max="1045" width="11.5703125" style="58" customWidth="1"/>
    <col min="1046" max="1046" width="7.5703125" style="58" customWidth="1"/>
    <col min="1047" max="1047" width="14.42578125" style="58" bestFit="1" customWidth="1"/>
    <col min="1048" max="1049" width="6.140625" style="58" customWidth="1"/>
    <col min="1050" max="1050" width="10.28515625" style="58" customWidth="1"/>
    <col min="1051" max="1051" width="10.28515625" style="58" bestFit="1" customWidth="1"/>
    <col min="1052" max="1282" width="9.140625" style="58"/>
    <col min="1283" max="1284" width="12.7109375" style="58" customWidth="1"/>
    <col min="1285" max="1285" width="10.5703125" style="58" bestFit="1" customWidth="1"/>
    <col min="1286" max="1286" width="9.42578125" style="58" bestFit="1" customWidth="1"/>
    <col min="1287" max="1287" width="9.28515625" style="58" customWidth="1"/>
    <col min="1288" max="1288" width="9.140625" style="58"/>
    <col min="1289" max="1289" width="9.5703125" style="58" customWidth="1"/>
    <col min="1290" max="1290" width="7.5703125" style="58" bestFit="1" customWidth="1"/>
    <col min="1291" max="1291" width="6.5703125" style="58" bestFit="1" customWidth="1"/>
    <col min="1292" max="1292" width="7.5703125" style="58" customWidth="1"/>
    <col min="1293" max="1293" width="8.5703125" style="58" bestFit="1" customWidth="1"/>
    <col min="1294" max="1294" width="6.5703125" style="58" bestFit="1" customWidth="1"/>
    <col min="1295" max="1297" width="8.5703125" style="58" customWidth="1"/>
    <col min="1298" max="1298" width="7.140625" style="58" customWidth="1"/>
    <col min="1299" max="1299" width="12.28515625" style="58" bestFit="1" customWidth="1"/>
    <col min="1300" max="1300" width="8.140625" style="58" customWidth="1"/>
    <col min="1301" max="1301" width="11.5703125" style="58" customWidth="1"/>
    <col min="1302" max="1302" width="7.5703125" style="58" customWidth="1"/>
    <col min="1303" max="1303" width="14.42578125" style="58" bestFit="1" customWidth="1"/>
    <col min="1304" max="1305" width="6.140625" style="58" customWidth="1"/>
    <col min="1306" max="1306" width="10.28515625" style="58" customWidth="1"/>
    <col min="1307" max="1307" width="10.28515625" style="58" bestFit="1" customWidth="1"/>
    <col min="1308" max="1538" width="9.140625" style="58"/>
    <col min="1539" max="1540" width="12.7109375" style="58" customWidth="1"/>
    <col min="1541" max="1541" width="10.5703125" style="58" bestFit="1" customWidth="1"/>
    <col min="1542" max="1542" width="9.42578125" style="58" bestFit="1" customWidth="1"/>
    <col min="1543" max="1543" width="9.28515625" style="58" customWidth="1"/>
    <col min="1544" max="1544" width="9.140625" style="58"/>
    <col min="1545" max="1545" width="9.5703125" style="58" customWidth="1"/>
    <col min="1546" max="1546" width="7.5703125" style="58" bestFit="1" customWidth="1"/>
    <col min="1547" max="1547" width="6.5703125" style="58" bestFit="1" customWidth="1"/>
    <col min="1548" max="1548" width="7.5703125" style="58" customWidth="1"/>
    <col min="1549" max="1549" width="8.5703125" style="58" bestFit="1" customWidth="1"/>
    <col min="1550" max="1550" width="6.5703125" style="58" bestFit="1" customWidth="1"/>
    <col min="1551" max="1553" width="8.5703125" style="58" customWidth="1"/>
    <col min="1554" max="1554" width="7.140625" style="58" customWidth="1"/>
    <col min="1555" max="1555" width="12.28515625" style="58" bestFit="1" customWidth="1"/>
    <col min="1556" max="1556" width="8.140625" style="58" customWidth="1"/>
    <col min="1557" max="1557" width="11.5703125" style="58" customWidth="1"/>
    <col min="1558" max="1558" width="7.5703125" style="58" customWidth="1"/>
    <col min="1559" max="1559" width="14.42578125" style="58" bestFit="1" customWidth="1"/>
    <col min="1560" max="1561" width="6.140625" style="58" customWidth="1"/>
    <col min="1562" max="1562" width="10.28515625" style="58" customWidth="1"/>
    <col min="1563" max="1563" width="10.28515625" style="58" bestFit="1" customWidth="1"/>
    <col min="1564" max="1794" width="9.140625" style="58"/>
    <col min="1795" max="1796" width="12.7109375" style="58" customWidth="1"/>
    <col min="1797" max="1797" width="10.5703125" style="58" bestFit="1" customWidth="1"/>
    <col min="1798" max="1798" width="9.42578125" style="58" bestFit="1" customWidth="1"/>
    <col min="1799" max="1799" width="9.28515625" style="58" customWidth="1"/>
    <col min="1800" max="1800" width="9.140625" style="58"/>
    <col min="1801" max="1801" width="9.5703125" style="58" customWidth="1"/>
    <col min="1802" max="1802" width="7.5703125" style="58" bestFit="1" customWidth="1"/>
    <col min="1803" max="1803" width="6.5703125" style="58" bestFit="1" customWidth="1"/>
    <col min="1804" max="1804" width="7.5703125" style="58" customWidth="1"/>
    <col min="1805" max="1805" width="8.5703125" style="58" bestFit="1" customWidth="1"/>
    <col min="1806" max="1806" width="6.5703125" style="58" bestFit="1" customWidth="1"/>
    <col min="1807" max="1809" width="8.5703125" style="58" customWidth="1"/>
    <col min="1810" max="1810" width="7.140625" style="58" customWidth="1"/>
    <col min="1811" max="1811" width="12.28515625" style="58" bestFit="1" customWidth="1"/>
    <col min="1812" max="1812" width="8.140625" style="58" customWidth="1"/>
    <col min="1813" max="1813" width="11.5703125" style="58" customWidth="1"/>
    <col min="1814" max="1814" width="7.5703125" style="58" customWidth="1"/>
    <col min="1815" max="1815" width="14.42578125" style="58" bestFit="1" customWidth="1"/>
    <col min="1816" max="1817" width="6.140625" style="58" customWidth="1"/>
    <col min="1818" max="1818" width="10.28515625" style="58" customWidth="1"/>
    <col min="1819" max="1819" width="10.28515625" style="58" bestFit="1" customWidth="1"/>
    <col min="1820" max="2050" width="9.140625" style="58"/>
    <col min="2051" max="2052" width="12.7109375" style="58" customWidth="1"/>
    <col min="2053" max="2053" width="10.5703125" style="58" bestFit="1" customWidth="1"/>
    <col min="2054" max="2054" width="9.42578125" style="58" bestFit="1" customWidth="1"/>
    <col min="2055" max="2055" width="9.28515625" style="58" customWidth="1"/>
    <col min="2056" max="2056" width="9.140625" style="58"/>
    <col min="2057" max="2057" width="9.5703125" style="58" customWidth="1"/>
    <col min="2058" max="2058" width="7.5703125" style="58" bestFit="1" customWidth="1"/>
    <col min="2059" max="2059" width="6.5703125" style="58" bestFit="1" customWidth="1"/>
    <col min="2060" max="2060" width="7.5703125" style="58" customWidth="1"/>
    <col min="2061" max="2061" width="8.5703125" style="58" bestFit="1" customWidth="1"/>
    <col min="2062" max="2062" width="6.5703125" style="58" bestFit="1" customWidth="1"/>
    <col min="2063" max="2065" width="8.5703125" style="58" customWidth="1"/>
    <col min="2066" max="2066" width="7.140625" style="58" customWidth="1"/>
    <col min="2067" max="2067" width="12.28515625" style="58" bestFit="1" customWidth="1"/>
    <col min="2068" max="2068" width="8.140625" style="58" customWidth="1"/>
    <col min="2069" max="2069" width="11.5703125" style="58" customWidth="1"/>
    <col min="2070" max="2070" width="7.5703125" style="58" customWidth="1"/>
    <col min="2071" max="2071" width="14.42578125" style="58" bestFit="1" customWidth="1"/>
    <col min="2072" max="2073" width="6.140625" style="58" customWidth="1"/>
    <col min="2074" max="2074" width="10.28515625" style="58" customWidth="1"/>
    <col min="2075" max="2075" width="10.28515625" style="58" bestFit="1" customWidth="1"/>
    <col min="2076" max="2306" width="9.140625" style="58"/>
    <col min="2307" max="2308" width="12.7109375" style="58" customWidth="1"/>
    <col min="2309" max="2309" width="10.5703125" style="58" bestFit="1" customWidth="1"/>
    <col min="2310" max="2310" width="9.42578125" style="58" bestFit="1" customWidth="1"/>
    <col min="2311" max="2311" width="9.28515625" style="58" customWidth="1"/>
    <col min="2312" max="2312" width="9.140625" style="58"/>
    <col min="2313" max="2313" width="9.5703125" style="58" customWidth="1"/>
    <col min="2314" max="2314" width="7.5703125" style="58" bestFit="1" customWidth="1"/>
    <col min="2315" max="2315" width="6.5703125" style="58" bestFit="1" customWidth="1"/>
    <col min="2316" max="2316" width="7.5703125" style="58" customWidth="1"/>
    <col min="2317" max="2317" width="8.5703125" style="58" bestFit="1" customWidth="1"/>
    <col min="2318" max="2318" width="6.5703125" style="58" bestFit="1" customWidth="1"/>
    <col min="2319" max="2321" width="8.5703125" style="58" customWidth="1"/>
    <col min="2322" max="2322" width="7.140625" style="58" customWidth="1"/>
    <col min="2323" max="2323" width="12.28515625" style="58" bestFit="1" customWidth="1"/>
    <col min="2324" max="2324" width="8.140625" style="58" customWidth="1"/>
    <col min="2325" max="2325" width="11.5703125" style="58" customWidth="1"/>
    <col min="2326" max="2326" width="7.5703125" style="58" customWidth="1"/>
    <col min="2327" max="2327" width="14.42578125" style="58" bestFit="1" customWidth="1"/>
    <col min="2328" max="2329" width="6.140625" style="58" customWidth="1"/>
    <col min="2330" max="2330" width="10.28515625" style="58" customWidth="1"/>
    <col min="2331" max="2331" width="10.28515625" style="58" bestFit="1" customWidth="1"/>
    <col min="2332" max="2562" width="9.140625" style="58"/>
    <col min="2563" max="2564" width="12.7109375" style="58" customWidth="1"/>
    <col min="2565" max="2565" width="10.5703125" style="58" bestFit="1" customWidth="1"/>
    <col min="2566" max="2566" width="9.42578125" style="58" bestFit="1" customWidth="1"/>
    <col min="2567" max="2567" width="9.28515625" style="58" customWidth="1"/>
    <col min="2568" max="2568" width="9.140625" style="58"/>
    <col min="2569" max="2569" width="9.5703125" style="58" customWidth="1"/>
    <col min="2570" max="2570" width="7.5703125" style="58" bestFit="1" customWidth="1"/>
    <col min="2571" max="2571" width="6.5703125" style="58" bestFit="1" customWidth="1"/>
    <col min="2572" max="2572" width="7.5703125" style="58" customWidth="1"/>
    <col min="2573" max="2573" width="8.5703125" style="58" bestFit="1" customWidth="1"/>
    <col min="2574" max="2574" width="6.5703125" style="58" bestFit="1" customWidth="1"/>
    <col min="2575" max="2577" width="8.5703125" style="58" customWidth="1"/>
    <col min="2578" max="2578" width="7.140625" style="58" customWidth="1"/>
    <col min="2579" max="2579" width="12.28515625" style="58" bestFit="1" customWidth="1"/>
    <col min="2580" max="2580" width="8.140625" style="58" customWidth="1"/>
    <col min="2581" max="2581" width="11.5703125" style="58" customWidth="1"/>
    <col min="2582" max="2582" width="7.5703125" style="58" customWidth="1"/>
    <col min="2583" max="2583" width="14.42578125" style="58" bestFit="1" customWidth="1"/>
    <col min="2584" max="2585" width="6.140625" style="58" customWidth="1"/>
    <col min="2586" max="2586" width="10.28515625" style="58" customWidth="1"/>
    <col min="2587" max="2587" width="10.28515625" style="58" bestFit="1" customWidth="1"/>
    <col min="2588" max="2818" width="9.140625" style="58"/>
    <col min="2819" max="2820" width="12.7109375" style="58" customWidth="1"/>
    <col min="2821" max="2821" width="10.5703125" style="58" bestFit="1" customWidth="1"/>
    <col min="2822" max="2822" width="9.42578125" style="58" bestFit="1" customWidth="1"/>
    <col min="2823" max="2823" width="9.28515625" style="58" customWidth="1"/>
    <col min="2824" max="2824" width="9.140625" style="58"/>
    <col min="2825" max="2825" width="9.5703125" style="58" customWidth="1"/>
    <col min="2826" max="2826" width="7.5703125" style="58" bestFit="1" customWidth="1"/>
    <col min="2827" max="2827" width="6.5703125" style="58" bestFit="1" customWidth="1"/>
    <col min="2828" max="2828" width="7.5703125" style="58" customWidth="1"/>
    <col min="2829" max="2829" width="8.5703125" style="58" bestFit="1" customWidth="1"/>
    <col min="2830" max="2830" width="6.5703125" style="58" bestFit="1" customWidth="1"/>
    <col min="2831" max="2833" width="8.5703125" style="58" customWidth="1"/>
    <col min="2834" max="2834" width="7.140625" style="58" customWidth="1"/>
    <col min="2835" max="2835" width="12.28515625" style="58" bestFit="1" customWidth="1"/>
    <col min="2836" max="2836" width="8.140625" style="58" customWidth="1"/>
    <col min="2837" max="2837" width="11.5703125" style="58" customWidth="1"/>
    <col min="2838" max="2838" width="7.5703125" style="58" customWidth="1"/>
    <col min="2839" max="2839" width="14.42578125" style="58" bestFit="1" customWidth="1"/>
    <col min="2840" max="2841" width="6.140625" style="58" customWidth="1"/>
    <col min="2842" max="2842" width="10.28515625" style="58" customWidth="1"/>
    <col min="2843" max="2843" width="10.28515625" style="58" bestFit="1" customWidth="1"/>
    <col min="2844" max="3074" width="9.140625" style="58"/>
    <col min="3075" max="3076" width="12.7109375" style="58" customWidth="1"/>
    <col min="3077" max="3077" width="10.5703125" style="58" bestFit="1" customWidth="1"/>
    <col min="3078" max="3078" width="9.42578125" style="58" bestFit="1" customWidth="1"/>
    <col min="3079" max="3079" width="9.28515625" style="58" customWidth="1"/>
    <col min="3080" max="3080" width="9.140625" style="58"/>
    <col min="3081" max="3081" width="9.5703125" style="58" customWidth="1"/>
    <col min="3082" max="3082" width="7.5703125" style="58" bestFit="1" customWidth="1"/>
    <col min="3083" max="3083" width="6.5703125" style="58" bestFit="1" customWidth="1"/>
    <col min="3084" max="3084" width="7.5703125" style="58" customWidth="1"/>
    <col min="3085" max="3085" width="8.5703125" style="58" bestFit="1" customWidth="1"/>
    <col min="3086" max="3086" width="6.5703125" style="58" bestFit="1" customWidth="1"/>
    <col min="3087" max="3089" width="8.5703125" style="58" customWidth="1"/>
    <col min="3090" max="3090" width="7.140625" style="58" customWidth="1"/>
    <col min="3091" max="3091" width="12.28515625" style="58" bestFit="1" customWidth="1"/>
    <col min="3092" max="3092" width="8.140625" style="58" customWidth="1"/>
    <col min="3093" max="3093" width="11.5703125" style="58" customWidth="1"/>
    <col min="3094" max="3094" width="7.5703125" style="58" customWidth="1"/>
    <col min="3095" max="3095" width="14.42578125" style="58" bestFit="1" customWidth="1"/>
    <col min="3096" max="3097" width="6.140625" style="58" customWidth="1"/>
    <col min="3098" max="3098" width="10.28515625" style="58" customWidth="1"/>
    <col min="3099" max="3099" width="10.28515625" style="58" bestFit="1" customWidth="1"/>
    <col min="3100" max="3330" width="9.140625" style="58"/>
    <col min="3331" max="3332" width="12.7109375" style="58" customWidth="1"/>
    <col min="3333" max="3333" width="10.5703125" style="58" bestFit="1" customWidth="1"/>
    <col min="3334" max="3334" width="9.42578125" style="58" bestFit="1" customWidth="1"/>
    <col min="3335" max="3335" width="9.28515625" style="58" customWidth="1"/>
    <col min="3336" max="3336" width="9.140625" style="58"/>
    <col min="3337" max="3337" width="9.5703125" style="58" customWidth="1"/>
    <col min="3338" max="3338" width="7.5703125" style="58" bestFit="1" customWidth="1"/>
    <col min="3339" max="3339" width="6.5703125" style="58" bestFit="1" customWidth="1"/>
    <col min="3340" max="3340" width="7.5703125" style="58" customWidth="1"/>
    <col min="3341" max="3341" width="8.5703125" style="58" bestFit="1" customWidth="1"/>
    <col min="3342" max="3342" width="6.5703125" style="58" bestFit="1" customWidth="1"/>
    <col min="3343" max="3345" width="8.5703125" style="58" customWidth="1"/>
    <col min="3346" max="3346" width="7.140625" style="58" customWidth="1"/>
    <col min="3347" max="3347" width="12.28515625" style="58" bestFit="1" customWidth="1"/>
    <col min="3348" max="3348" width="8.140625" style="58" customWidth="1"/>
    <col min="3349" max="3349" width="11.5703125" style="58" customWidth="1"/>
    <col min="3350" max="3350" width="7.5703125" style="58" customWidth="1"/>
    <col min="3351" max="3351" width="14.42578125" style="58" bestFit="1" customWidth="1"/>
    <col min="3352" max="3353" width="6.140625" style="58" customWidth="1"/>
    <col min="3354" max="3354" width="10.28515625" style="58" customWidth="1"/>
    <col min="3355" max="3355" width="10.28515625" style="58" bestFit="1" customWidth="1"/>
    <col min="3356" max="3586" width="9.140625" style="58"/>
    <col min="3587" max="3588" width="12.7109375" style="58" customWidth="1"/>
    <col min="3589" max="3589" width="10.5703125" style="58" bestFit="1" customWidth="1"/>
    <col min="3590" max="3590" width="9.42578125" style="58" bestFit="1" customWidth="1"/>
    <col min="3591" max="3591" width="9.28515625" style="58" customWidth="1"/>
    <col min="3592" max="3592" width="9.140625" style="58"/>
    <col min="3593" max="3593" width="9.5703125" style="58" customWidth="1"/>
    <col min="3594" max="3594" width="7.5703125" style="58" bestFit="1" customWidth="1"/>
    <col min="3595" max="3595" width="6.5703125" style="58" bestFit="1" customWidth="1"/>
    <col min="3596" max="3596" width="7.5703125" style="58" customWidth="1"/>
    <col min="3597" max="3597" width="8.5703125" style="58" bestFit="1" customWidth="1"/>
    <col min="3598" max="3598" width="6.5703125" style="58" bestFit="1" customWidth="1"/>
    <col min="3599" max="3601" width="8.5703125" style="58" customWidth="1"/>
    <col min="3602" max="3602" width="7.140625" style="58" customWidth="1"/>
    <col min="3603" max="3603" width="12.28515625" style="58" bestFit="1" customWidth="1"/>
    <col min="3604" max="3604" width="8.140625" style="58" customWidth="1"/>
    <col min="3605" max="3605" width="11.5703125" style="58" customWidth="1"/>
    <col min="3606" max="3606" width="7.5703125" style="58" customWidth="1"/>
    <col min="3607" max="3607" width="14.42578125" style="58" bestFit="1" customWidth="1"/>
    <col min="3608" max="3609" width="6.140625" style="58" customWidth="1"/>
    <col min="3610" max="3610" width="10.28515625" style="58" customWidth="1"/>
    <col min="3611" max="3611" width="10.28515625" style="58" bestFit="1" customWidth="1"/>
    <col min="3612" max="3842" width="9.140625" style="58"/>
    <col min="3843" max="3844" width="12.7109375" style="58" customWidth="1"/>
    <col min="3845" max="3845" width="10.5703125" style="58" bestFit="1" customWidth="1"/>
    <col min="3846" max="3846" width="9.42578125" style="58" bestFit="1" customWidth="1"/>
    <col min="3847" max="3847" width="9.28515625" style="58" customWidth="1"/>
    <col min="3848" max="3848" width="9.140625" style="58"/>
    <col min="3849" max="3849" width="9.5703125" style="58" customWidth="1"/>
    <col min="3850" max="3850" width="7.5703125" style="58" bestFit="1" customWidth="1"/>
    <col min="3851" max="3851" width="6.5703125" style="58" bestFit="1" customWidth="1"/>
    <col min="3852" max="3852" width="7.5703125" style="58" customWidth="1"/>
    <col min="3853" max="3853" width="8.5703125" style="58" bestFit="1" customWidth="1"/>
    <col min="3854" max="3854" width="6.5703125" style="58" bestFit="1" customWidth="1"/>
    <col min="3855" max="3857" width="8.5703125" style="58" customWidth="1"/>
    <col min="3858" max="3858" width="7.140625" style="58" customWidth="1"/>
    <col min="3859" max="3859" width="12.28515625" style="58" bestFit="1" customWidth="1"/>
    <col min="3860" max="3860" width="8.140625" style="58" customWidth="1"/>
    <col min="3861" max="3861" width="11.5703125" style="58" customWidth="1"/>
    <col min="3862" max="3862" width="7.5703125" style="58" customWidth="1"/>
    <col min="3863" max="3863" width="14.42578125" style="58" bestFit="1" customWidth="1"/>
    <col min="3864" max="3865" width="6.140625" style="58" customWidth="1"/>
    <col min="3866" max="3866" width="10.28515625" style="58" customWidth="1"/>
    <col min="3867" max="3867" width="10.28515625" style="58" bestFit="1" customWidth="1"/>
    <col min="3868" max="4098" width="9.140625" style="58"/>
    <col min="4099" max="4100" width="12.7109375" style="58" customWidth="1"/>
    <col min="4101" max="4101" width="10.5703125" style="58" bestFit="1" customWidth="1"/>
    <col min="4102" max="4102" width="9.42578125" style="58" bestFit="1" customWidth="1"/>
    <col min="4103" max="4103" width="9.28515625" style="58" customWidth="1"/>
    <col min="4104" max="4104" width="9.140625" style="58"/>
    <col min="4105" max="4105" width="9.5703125" style="58" customWidth="1"/>
    <col min="4106" max="4106" width="7.5703125" style="58" bestFit="1" customWidth="1"/>
    <col min="4107" max="4107" width="6.5703125" style="58" bestFit="1" customWidth="1"/>
    <col min="4108" max="4108" width="7.5703125" style="58" customWidth="1"/>
    <col min="4109" max="4109" width="8.5703125" style="58" bestFit="1" customWidth="1"/>
    <col min="4110" max="4110" width="6.5703125" style="58" bestFit="1" customWidth="1"/>
    <col min="4111" max="4113" width="8.5703125" style="58" customWidth="1"/>
    <col min="4114" max="4114" width="7.140625" style="58" customWidth="1"/>
    <col min="4115" max="4115" width="12.28515625" style="58" bestFit="1" customWidth="1"/>
    <col min="4116" max="4116" width="8.140625" style="58" customWidth="1"/>
    <col min="4117" max="4117" width="11.5703125" style="58" customWidth="1"/>
    <col min="4118" max="4118" width="7.5703125" style="58" customWidth="1"/>
    <col min="4119" max="4119" width="14.42578125" style="58" bestFit="1" customWidth="1"/>
    <col min="4120" max="4121" width="6.140625" style="58" customWidth="1"/>
    <col min="4122" max="4122" width="10.28515625" style="58" customWidth="1"/>
    <col min="4123" max="4123" width="10.28515625" style="58" bestFit="1" customWidth="1"/>
    <col min="4124" max="4354" width="9.140625" style="58"/>
    <col min="4355" max="4356" width="12.7109375" style="58" customWidth="1"/>
    <col min="4357" max="4357" width="10.5703125" style="58" bestFit="1" customWidth="1"/>
    <col min="4358" max="4358" width="9.42578125" style="58" bestFit="1" customWidth="1"/>
    <col min="4359" max="4359" width="9.28515625" style="58" customWidth="1"/>
    <col min="4360" max="4360" width="9.140625" style="58"/>
    <col min="4361" max="4361" width="9.5703125" style="58" customWidth="1"/>
    <col min="4362" max="4362" width="7.5703125" style="58" bestFit="1" customWidth="1"/>
    <col min="4363" max="4363" width="6.5703125" style="58" bestFit="1" customWidth="1"/>
    <col min="4364" max="4364" width="7.5703125" style="58" customWidth="1"/>
    <col min="4365" max="4365" width="8.5703125" style="58" bestFit="1" customWidth="1"/>
    <col min="4366" max="4366" width="6.5703125" style="58" bestFit="1" customWidth="1"/>
    <col min="4367" max="4369" width="8.5703125" style="58" customWidth="1"/>
    <col min="4370" max="4370" width="7.140625" style="58" customWidth="1"/>
    <col min="4371" max="4371" width="12.28515625" style="58" bestFit="1" customWidth="1"/>
    <col min="4372" max="4372" width="8.140625" style="58" customWidth="1"/>
    <col min="4373" max="4373" width="11.5703125" style="58" customWidth="1"/>
    <col min="4374" max="4374" width="7.5703125" style="58" customWidth="1"/>
    <col min="4375" max="4375" width="14.42578125" style="58" bestFit="1" customWidth="1"/>
    <col min="4376" max="4377" width="6.140625" style="58" customWidth="1"/>
    <col min="4378" max="4378" width="10.28515625" style="58" customWidth="1"/>
    <col min="4379" max="4379" width="10.28515625" style="58" bestFit="1" customWidth="1"/>
    <col min="4380" max="4610" width="9.140625" style="58"/>
    <col min="4611" max="4612" width="12.7109375" style="58" customWidth="1"/>
    <col min="4613" max="4613" width="10.5703125" style="58" bestFit="1" customWidth="1"/>
    <col min="4614" max="4614" width="9.42578125" style="58" bestFit="1" customWidth="1"/>
    <col min="4615" max="4615" width="9.28515625" style="58" customWidth="1"/>
    <col min="4616" max="4616" width="9.140625" style="58"/>
    <col min="4617" max="4617" width="9.5703125" style="58" customWidth="1"/>
    <col min="4618" max="4618" width="7.5703125" style="58" bestFit="1" customWidth="1"/>
    <col min="4619" max="4619" width="6.5703125" style="58" bestFit="1" customWidth="1"/>
    <col min="4620" max="4620" width="7.5703125" style="58" customWidth="1"/>
    <col min="4621" max="4621" width="8.5703125" style="58" bestFit="1" customWidth="1"/>
    <col min="4622" max="4622" width="6.5703125" style="58" bestFit="1" customWidth="1"/>
    <col min="4623" max="4625" width="8.5703125" style="58" customWidth="1"/>
    <col min="4626" max="4626" width="7.140625" style="58" customWidth="1"/>
    <col min="4627" max="4627" width="12.28515625" style="58" bestFit="1" customWidth="1"/>
    <col min="4628" max="4628" width="8.140625" style="58" customWidth="1"/>
    <col min="4629" max="4629" width="11.5703125" style="58" customWidth="1"/>
    <col min="4630" max="4630" width="7.5703125" style="58" customWidth="1"/>
    <col min="4631" max="4631" width="14.42578125" style="58" bestFit="1" customWidth="1"/>
    <col min="4632" max="4633" width="6.140625" style="58" customWidth="1"/>
    <col min="4634" max="4634" width="10.28515625" style="58" customWidth="1"/>
    <col min="4635" max="4635" width="10.28515625" style="58" bestFit="1" customWidth="1"/>
    <col min="4636" max="4866" width="9.140625" style="58"/>
    <col min="4867" max="4868" width="12.7109375" style="58" customWidth="1"/>
    <col min="4869" max="4869" width="10.5703125" style="58" bestFit="1" customWidth="1"/>
    <col min="4870" max="4870" width="9.42578125" style="58" bestFit="1" customWidth="1"/>
    <col min="4871" max="4871" width="9.28515625" style="58" customWidth="1"/>
    <col min="4872" max="4872" width="9.140625" style="58"/>
    <col min="4873" max="4873" width="9.5703125" style="58" customWidth="1"/>
    <col min="4874" max="4874" width="7.5703125" style="58" bestFit="1" customWidth="1"/>
    <col min="4875" max="4875" width="6.5703125" style="58" bestFit="1" customWidth="1"/>
    <col min="4876" max="4876" width="7.5703125" style="58" customWidth="1"/>
    <col min="4877" max="4877" width="8.5703125" style="58" bestFit="1" customWidth="1"/>
    <col min="4878" max="4878" width="6.5703125" style="58" bestFit="1" customWidth="1"/>
    <col min="4879" max="4881" width="8.5703125" style="58" customWidth="1"/>
    <col min="4882" max="4882" width="7.140625" style="58" customWidth="1"/>
    <col min="4883" max="4883" width="12.28515625" style="58" bestFit="1" customWidth="1"/>
    <col min="4884" max="4884" width="8.140625" style="58" customWidth="1"/>
    <col min="4885" max="4885" width="11.5703125" style="58" customWidth="1"/>
    <col min="4886" max="4886" width="7.5703125" style="58" customWidth="1"/>
    <col min="4887" max="4887" width="14.42578125" style="58" bestFit="1" customWidth="1"/>
    <col min="4888" max="4889" width="6.140625" style="58" customWidth="1"/>
    <col min="4890" max="4890" width="10.28515625" style="58" customWidth="1"/>
    <col min="4891" max="4891" width="10.28515625" style="58" bestFit="1" customWidth="1"/>
    <col min="4892" max="5122" width="9.140625" style="58"/>
    <col min="5123" max="5124" width="12.7109375" style="58" customWidth="1"/>
    <col min="5125" max="5125" width="10.5703125" style="58" bestFit="1" customWidth="1"/>
    <col min="5126" max="5126" width="9.42578125" style="58" bestFit="1" customWidth="1"/>
    <col min="5127" max="5127" width="9.28515625" style="58" customWidth="1"/>
    <col min="5128" max="5128" width="9.140625" style="58"/>
    <col min="5129" max="5129" width="9.5703125" style="58" customWidth="1"/>
    <col min="5130" max="5130" width="7.5703125" style="58" bestFit="1" customWidth="1"/>
    <col min="5131" max="5131" width="6.5703125" style="58" bestFit="1" customWidth="1"/>
    <col min="5132" max="5132" width="7.5703125" style="58" customWidth="1"/>
    <col min="5133" max="5133" width="8.5703125" style="58" bestFit="1" customWidth="1"/>
    <col min="5134" max="5134" width="6.5703125" style="58" bestFit="1" customWidth="1"/>
    <col min="5135" max="5137" width="8.5703125" style="58" customWidth="1"/>
    <col min="5138" max="5138" width="7.140625" style="58" customWidth="1"/>
    <col min="5139" max="5139" width="12.28515625" style="58" bestFit="1" customWidth="1"/>
    <col min="5140" max="5140" width="8.140625" style="58" customWidth="1"/>
    <col min="5141" max="5141" width="11.5703125" style="58" customWidth="1"/>
    <col min="5142" max="5142" width="7.5703125" style="58" customWidth="1"/>
    <col min="5143" max="5143" width="14.42578125" style="58" bestFit="1" customWidth="1"/>
    <col min="5144" max="5145" width="6.140625" style="58" customWidth="1"/>
    <col min="5146" max="5146" width="10.28515625" style="58" customWidth="1"/>
    <col min="5147" max="5147" width="10.28515625" style="58" bestFit="1" customWidth="1"/>
    <col min="5148" max="5378" width="9.140625" style="58"/>
    <col min="5379" max="5380" width="12.7109375" style="58" customWidth="1"/>
    <col min="5381" max="5381" width="10.5703125" style="58" bestFit="1" customWidth="1"/>
    <col min="5382" max="5382" width="9.42578125" style="58" bestFit="1" customWidth="1"/>
    <col min="5383" max="5383" width="9.28515625" style="58" customWidth="1"/>
    <col min="5384" max="5384" width="9.140625" style="58"/>
    <col min="5385" max="5385" width="9.5703125" style="58" customWidth="1"/>
    <col min="5386" max="5386" width="7.5703125" style="58" bestFit="1" customWidth="1"/>
    <col min="5387" max="5387" width="6.5703125" style="58" bestFit="1" customWidth="1"/>
    <col min="5388" max="5388" width="7.5703125" style="58" customWidth="1"/>
    <col min="5389" max="5389" width="8.5703125" style="58" bestFit="1" customWidth="1"/>
    <col min="5390" max="5390" width="6.5703125" style="58" bestFit="1" customWidth="1"/>
    <col min="5391" max="5393" width="8.5703125" style="58" customWidth="1"/>
    <col min="5394" max="5394" width="7.140625" style="58" customWidth="1"/>
    <col min="5395" max="5395" width="12.28515625" style="58" bestFit="1" customWidth="1"/>
    <col min="5396" max="5396" width="8.140625" style="58" customWidth="1"/>
    <col min="5397" max="5397" width="11.5703125" style="58" customWidth="1"/>
    <col min="5398" max="5398" width="7.5703125" style="58" customWidth="1"/>
    <col min="5399" max="5399" width="14.42578125" style="58" bestFit="1" customWidth="1"/>
    <col min="5400" max="5401" width="6.140625" style="58" customWidth="1"/>
    <col min="5402" max="5402" width="10.28515625" style="58" customWidth="1"/>
    <col min="5403" max="5403" width="10.28515625" style="58" bestFit="1" customWidth="1"/>
    <col min="5404" max="5634" width="9.140625" style="58"/>
    <col min="5635" max="5636" width="12.7109375" style="58" customWidth="1"/>
    <col min="5637" max="5637" width="10.5703125" style="58" bestFit="1" customWidth="1"/>
    <col min="5638" max="5638" width="9.42578125" style="58" bestFit="1" customWidth="1"/>
    <col min="5639" max="5639" width="9.28515625" style="58" customWidth="1"/>
    <col min="5640" max="5640" width="9.140625" style="58"/>
    <col min="5641" max="5641" width="9.5703125" style="58" customWidth="1"/>
    <col min="5642" max="5642" width="7.5703125" style="58" bestFit="1" customWidth="1"/>
    <col min="5643" max="5643" width="6.5703125" style="58" bestFit="1" customWidth="1"/>
    <col min="5644" max="5644" width="7.5703125" style="58" customWidth="1"/>
    <col min="5645" max="5645" width="8.5703125" style="58" bestFit="1" customWidth="1"/>
    <col min="5646" max="5646" width="6.5703125" style="58" bestFit="1" customWidth="1"/>
    <col min="5647" max="5649" width="8.5703125" style="58" customWidth="1"/>
    <col min="5650" max="5650" width="7.140625" style="58" customWidth="1"/>
    <col min="5651" max="5651" width="12.28515625" style="58" bestFit="1" customWidth="1"/>
    <col min="5652" max="5652" width="8.140625" style="58" customWidth="1"/>
    <col min="5653" max="5653" width="11.5703125" style="58" customWidth="1"/>
    <col min="5654" max="5654" width="7.5703125" style="58" customWidth="1"/>
    <col min="5655" max="5655" width="14.42578125" style="58" bestFit="1" customWidth="1"/>
    <col min="5656" max="5657" width="6.140625" style="58" customWidth="1"/>
    <col min="5658" max="5658" width="10.28515625" style="58" customWidth="1"/>
    <col min="5659" max="5659" width="10.28515625" style="58" bestFit="1" customWidth="1"/>
    <col min="5660" max="5890" width="9.140625" style="58"/>
    <col min="5891" max="5892" width="12.7109375" style="58" customWidth="1"/>
    <col min="5893" max="5893" width="10.5703125" style="58" bestFit="1" customWidth="1"/>
    <col min="5894" max="5894" width="9.42578125" style="58" bestFit="1" customWidth="1"/>
    <col min="5895" max="5895" width="9.28515625" style="58" customWidth="1"/>
    <col min="5896" max="5896" width="9.140625" style="58"/>
    <col min="5897" max="5897" width="9.5703125" style="58" customWidth="1"/>
    <col min="5898" max="5898" width="7.5703125" style="58" bestFit="1" customWidth="1"/>
    <col min="5899" max="5899" width="6.5703125" style="58" bestFit="1" customWidth="1"/>
    <col min="5900" max="5900" width="7.5703125" style="58" customWidth="1"/>
    <col min="5901" max="5901" width="8.5703125" style="58" bestFit="1" customWidth="1"/>
    <col min="5902" max="5902" width="6.5703125" style="58" bestFit="1" customWidth="1"/>
    <col min="5903" max="5905" width="8.5703125" style="58" customWidth="1"/>
    <col min="5906" max="5906" width="7.140625" style="58" customWidth="1"/>
    <col min="5907" max="5907" width="12.28515625" style="58" bestFit="1" customWidth="1"/>
    <col min="5908" max="5908" width="8.140625" style="58" customWidth="1"/>
    <col min="5909" max="5909" width="11.5703125" style="58" customWidth="1"/>
    <col min="5910" max="5910" width="7.5703125" style="58" customWidth="1"/>
    <col min="5911" max="5911" width="14.42578125" style="58" bestFit="1" customWidth="1"/>
    <col min="5912" max="5913" width="6.140625" style="58" customWidth="1"/>
    <col min="5914" max="5914" width="10.28515625" style="58" customWidth="1"/>
    <col min="5915" max="5915" width="10.28515625" style="58" bestFit="1" customWidth="1"/>
    <col min="5916" max="6146" width="9.140625" style="58"/>
    <col min="6147" max="6148" width="12.7109375" style="58" customWidth="1"/>
    <col min="6149" max="6149" width="10.5703125" style="58" bestFit="1" customWidth="1"/>
    <col min="6150" max="6150" width="9.42578125" style="58" bestFit="1" customWidth="1"/>
    <col min="6151" max="6151" width="9.28515625" style="58" customWidth="1"/>
    <col min="6152" max="6152" width="9.140625" style="58"/>
    <col min="6153" max="6153" width="9.5703125" style="58" customWidth="1"/>
    <col min="6154" max="6154" width="7.5703125" style="58" bestFit="1" customWidth="1"/>
    <col min="6155" max="6155" width="6.5703125" style="58" bestFit="1" customWidth="1"/>
    <col min="6156" max="6156" width="7.5703125" style="58" customWidth="1"/>
    <col min="6157" max="6157" width="8.5703125" style="58" bestFit="1" customWidth="1"/>
    <col min="6158" max="6158" width="6.5703125" style="58" bestFit="1" customWidth="1"/>
    <col min="6159" max="6161" width="8.5703125" style="58" customWidth="1"/>
    <col min="6162" max="6162" width="7.140625" style="58" customWidth="1"/>
    <col min="6163" max="6163" width="12.28515625" style="58" bestFit="1" customWidth="1"/>
    <col min="6164" max="6164" width="8.140625" style="58" customWidth="1"/>
    <col min="6165" max="6165" width="11.5703125" style="58" customWidth="1"/>
    <col min="6166" max="6166" width="7.5703125" style="58" customWidth="1"/>
    <col min="6167" max="6167" width="14.42578125" style="58" bestFit="1" customWidth="1"/>
    <col min="6168" max="6169" width="6.140625" style="58" customWidth="1"/>
    <col min="6170" max="6170" width="10.28515625" style="58" customWidth="1"/>
    <col min="6171" max="6171" width="10.28515625" style="58" bestFit="1" customWidth="1"/>
    <col min="6172" max="6402" width="9.140625" style="58"/>
    <col min="6403" max="6404" width="12.7109375" style="58" customWidth="1"/>
    <col min="6405" max="6405" width="10.5703125" style="58" bestFit="1" customWidth="1"/>
    <col min="6406" max="6406" width="9.42578125" style="58" bestFit="1" customWidth="1"/>
    <col min="6407" max="6407" width="9.28515625" style="58" customWidth="1"/>
    <col min="6408" max="6408" width="9.140625" style="58"/>
    <col min="6409" max="6409" width="9.5703125" style="58" customWidth="1"/>
    <col min="6410" max="6410" width="7.5703125" style="58" bestFit="1" customWidth="1"/>
    <col min="6411" max="6411" width="6.5703125" style="58" bestFit="1" customWidth="1"/>
    <col min="6412" max="6412" width="7.5703125" style="58" customWidth="1"/>
    <col min="6413" max="6413" width="8.5703125" style="58" bestFit="1" customWidth="1"/>
    <col min="6414" max="6414" width="6.5703125" style="58" bestFit="1" customWidth="1"/>
    <col min="6415" max="6417" width="8.5703125" style="58" customWidth="1"/>
    <col min="6418" max="6418" width="7.140625" style="58" customWidth="1"/>
    <col min="6419" max="6419" width="12.28515625" style="58" bestFit="1" customWidth="1"/>
    <col min="6420" max="6420" width="8.140625" style="58" customWidth="1"/>
    <col min="6421" max="6421" width="11.5703125" style="58" customWidth="1"/>
    <col min="6422" max="6422" width="7.5703125" style="58" customWidth="1"/>
    <col min="6423" max="6423" width="14.42578125" style="58" bestFit="1" customWidth="1"/>
    <col min="6424" max="6425" width="6.140625" style="58" customWidth="1"/>
    <col min="6426" max="6426" width="10.28515625" style="58" customWidth="1"/>
    <col min="6427" max="6427" width="10.28515625" style="58" bestFit="1" customWidth="1"/>
    <col min="6428" max="6658" width="9.140625" style="58"/>
    <col min="6659" max="6660" width="12.7109375" style="58" customWidth="1"/>
    <col min="6661" max="6661" width="10.5703125" style="58" bestFit="1" customWidth="1"/>
    <col min="6662" max="6662" width="9.42578125" style="58" bestFit="1" customWidth="1"/>
    <col min="6663" max="6663" width="9.28515625" style="58" customWidth="1"/>
    <col min="6664" max="6664" width="9.140625" style="58"/>
    <col min="6665" max="6665" width="9.5703125" style="58" customWidth="1"/>
    <col min="6666" max="6666" width="7.5703125" style="58" bestFit="1" customWidth="1"/>
    <col min="6667" max="6667" width="6.5703125" style="58" bestFit="1" customWidth="1"/>
    <col min="6668" max="6668" width="7.5703125" style="58" customWidth="1"/>
    <col min="6669" max="6669" width="8.5703125" style="58" bestFit="1" customWidth="1"/>
    <col min="6670" max="6670" width="6.5703125" style="58" bestFit="1" customWidth="1"/>
    <col min="6671" max="6673" width="8.5703125" style="58" customWidth="1"/>
    <col min="6674" max="6674" width="7.140625" style="58" customWidth="1"/>
    <col min="6675" max="6675" width="12.28515625" style="58" bestFit="1" customWidth="1"/>
    <col min="6676" max="6676" width="8.140625" style="58" customWidth="1"/>
    <col min="6677" max="6677" width="11.5703125" style="58" customWidth="1"/>
    <col min="6678" max="6678" width="7.5703125" style="58" customWidth="1"/>
    <col min="6679" max="6679" width="14.42578125" style="58" bestFit="1" customWidth="1"/>
    <col min="6680" max="6681" width="6.140625" style="58" customWidth="1"/>
    <col min="6682" max="6682" width="10.28515625" style="58" customWidth="1"/>
    <col min="6683" max="6683" width="10.28515625" style="58" bestFit="1" customWidth="1"/>
    <col min="6684" max="6914" width="9.140625" style="58"/>
    <col min="6915" max="6916" width="12.7109375" style="58" customWidth="1"/>
    <col min="6917" max="6917" width="10.5703125" style="58" bestFit="1" customWidth="1"/>
    <col min="6918" max="6918" width="9.42578125" style="58" bestFit="1" customWidth="1"/>
    <col min="6919" max="6919" width="9.28515625" style="58" customWidth="1"/>
    <col min="6920" max="6920" width="9.140625" style="58"/>
    <col min="6921" max="6921" width="9.5703125" style="58" customWidth="1"/>
    <col min="6922" max="6922" width="7.5703125" style="58" bestFit="1" customWidth="1"/>
    <col min="6923" max="6923" width="6.5703125" style="58" bestFit="1" customWidth="1"/>
    <col min="6924" max="6924" width="7.5703125" style="58" customWidth="1"/>
    <col min="6925" max="6925" width="8.5703125" style="58" bestFit="1" customWidth="1"/>
    <col min="6926" max="6926" width="6.5703125" style="58" bestFit="1" customWidth="1"/>
    <col min="6927" max="6929" width="8.5703125" style="58" customWidth="1"/>
    <col min="6930" max="6930" width="7.140625" style="58" customWidth="1"/>
    <col min="6931" max="6931" width="12.28515625" style="58" bestFit="1" customWidth="1"/>
    <col min="6932" max="6932" width="8.140625" style="58" customWidth="1"/>
    <col min="6933" max="6933" width="11.5703125" style="58" customWidth="1"/>
    <col min="6934" max="6934" width="7.5703125" style="58" customWidth="1"/>
    <col min="6935" max="6935" width="14.42578125" style="58" bestFit="1" customWidth="1"/>
    <col min="6936" max="6937" width="6.140625" style="58" customWidth="1"/>
    <col min="6938" max="6938" width="10.28515625" style="58" customWidth="1"/>
    <col min="6939" max="6939" width="10.28515625" style="58" bestFit="1" customWidth="1"/>
    <col min="6940" max="7170" width="9.140625" style="58"/>
    <col min="7171" max="7172" width="12.7109375" style="58" customWidth="1"/>
    <col min="7173" max="7173" width="10.5703125" style="58" bestFit="1" customWidth="1"/>
    <col min="7174" max="7174" width="9.42578125" style="58" bestFit="1" customWidth="1"/>
    <col min="7175" max="7175" width="9.28515625" style="58" customWidth="1"/>
    <col min="7176" max="7176" width="9.140625" style="58"/>
    <col min="7177" max="7177" width="9.5703125" style="58" customWidth="1"/>
    <col min="7178" max="7178" width="7.5703125" style="58" bestFit="1" customWidth="1"/>
    <col min="7179" max="7179" width="6.5703125" style="58" bestFit="1" customWidth="1"/>
    <col min="7180" max="7180" width="7.5703125" style="58" customWidth="1"/>
    <col min="7181" max="7181" width="8.5703125" style="58" bestFit="1" customWidth="1"/>
    <col min="7182" max="7182" width="6.5703125" style="58" bestFit="1" customWidth="1"/>
    <col min="7183" max="7185" width="8.5703125" style="58" customWidth="1"/>
    <col min="7186" max="7186" width="7.140625" style="58" customWidth="1"/>
    <col min="7187" max="7187" width="12.28515625" style="58" bestFit="1" customWidth="1"/>
    <col min="7188" max="7188" width="8.140625" style="58" customWidth="1"/>
    <col min="7189" max="7189" width="11.5703125" style="58" customWidth="1"/>
    <col min="7190" max="7190" width="7.5703125" style="58" customWidth="1"/>
    <col min="7191" max="7191" width="14.42578125" style="58" bestFit="1" customWidth="1"/>
    <col min="7192" max="7193" width="6.140625" style="58" customWidth="1"/>
    <col min="7194" max="7194" width="10.28515625" style="58" customWidth="1"/>
    <col min="7195" max="7195" width="10.28515625" style="58" bestFit="1" customWidth="1"/>
    <col min="7196" max="7426" width="9.140625" style="58"/>
    <col min="7427" max="7428" width="12.7109375" style="58" customWidth="1"/>
    <col min="7429" max="7429" width="10.5703125" style="58" bestFit="1" customWidth="1"/>
    <col min="7430" max="7430" width="9.42578125" style="58" bestFit="1" customWidth="1"/>
    <col min="7431" max="7431" width="9.28515625" style="58" customWidth="1"/>
    <col min="7432" max="7432" width="9.140625" style="58"/>
    <col min="7433" max="7433" width="9.5703125" style="58" customWidth="1"/>
    <col min="7434" max="7434" width="7.5703125" style="58" bestFit="1" customWidth="1"/>
    <col min="7435" max="7435" width="6.5703125" style="58" bestFit="1" customWidth="1"/>
    <col min="7436" max="7436" width="7.5703125" style="58" customWidth="1"/>
    <col min="7437" max="7437" width="8.5703125" style="58" bestFit="1" customWidth="1"/>
    <col min="7438" max="7438" width="6.5703125" style="58" bestFit="1" customWidth="1"/>
    <col min="7439" max="7441" width="8.5703125" style="58" customWidth="1"/>
    <col min="7442" max="7442" width="7.140625" style="58" customWidth="1"/>
    <col min="7443" max="7443" width="12.28515625" style="58" bestFit="1" customWidth="1"/>
    <col min="7444" max="7444" width="8.140625" style="58" customWidth="1"/>
    <col min="7445" max="7445" width="11.5703125" style="58" customWidth="1"/>
    <col min="7446" max="7446" width="7.5703125" style="58" customWidth="1"/>
    <col min="7447" max="7447" width="14.42578125" style="58" bestFit="1" customWidth="1"/>
    <col min="7448" max="7449" width="6.140625" style="58" customWidth="1"/>
    <col min="7450" max="7450" width="10.28515625" style="58" customWidth="1"/>
    <col min="7451" max="7451" width="10.28515625" style="58" bestFit="1" customWidth="1"/>
    <col min="7452" max="7682" width="9.140625" style="58"/>
    <col min="7683" max="7684" width="12.7109375" style="58" customWidth="1"/>
    <col min="7685" max="7685" width="10.5703125" style="58" bestFit="1" customWidth="1"/>
    <col min="7686" max="7686" width="9.42578125" style="58" bestFit="1" customWidth="1"/>
    <col min="7687" max="7687" width="9.28515625" style="58" customWidth="1"/>
    <col min="7688" max="7688" width="9.140625" style="58"/>
    <col min="7689" max="7689" width="9.5703125" style="58" customWidth="1"/>
    <col min="7690" max="7690" width="7.5703125" style="58" bestFit="1" customWidth="1"/>
    <col min="7691" max="7691" width="6.5703125" style="58" bestFit="1" customWidth="1"/>
    <col min="7692" max="7692" width="7.5703125" style="58" customWidth="1"/>
    <col min="7693" max="7693" width="8.5703125" style="58" bestFit="1" customWidth="1"/>
    <col min="7694" max="7694" width="6.5703125" style="58" bestFit="1" customWidth="1"/>
    <col min="7695" max="7697" width="8.5703125" style="58" customWidth="1"/>
    <col min="7698" max="7698" width="7.140625" style="58" customWidth="1"/>
    <col min="7699" max="7699" width="12.28515625" style="58" bestFit="1" customWidth="1"/>
    <col min="7700" max="7700" width="8.140625" style="58" customWidth="1"/>
    <col min="7701" max="7701" width="11.5703125" style="58" customWidth="1"/>
    <col min="7702" max="7702" width="7.5703125" style="58" customWidth="1"/>
    <col min="7703" max="7703" width="14.42578125" style="58" bestFit="1" customWidth="1"/>
    <col min="7704" max="7705" width="6.140625" style="58" customWidth="1"/>
    <col min="7706" max="7706" width="10.28515625" style="58" customWidth="1"/>
    <col min="7707" max="7707" width="10.28515625" style="58" bestFit="1" customWidth="1"/>
    <col min="7708" max="7938" width="9.140625" style="58"/>
    <col min="7939" max="7940" width="12.7109375" style="58" customWidth="1"/>
    <col min="7941" max="7941" width="10.5703125" style="58" bestFit="1" customWidth="1"/>
    <col min="7942" max="7942" width="9.42578125" style="58" bestFit="1" customWidth="1"/>
    <col min="7943" max="7943" width="9.28515625" style="58" customWidth="1"/>
    <col min="7944" max="7944" width="9.140625" style="58"/>
    <col min="7945" max="7945" width="9.5703125" style="58" customWidth="1"/>
    <col min="7946" max="7946" width="7.5703125" style="58" bestFit="1" customWidth="1"/>
    <col min="7947" max="7947" width="6.5703125" style="58" bestFit="1" customWidth="1"/>
    <col min="7948" max="7948" width="7.5703125" style="58" customWidth="1"/>
    <col min="7949" max="7949" width="8.5703125" style="58" bestFit="1" customWidth="1"/>
    <col min="7950" max="7950" width="6.5703125" style="58" bestFit="1" customWidth="1"/>
    <col min="7951" max="7953" width="8.5703125" style="58" customWidth="1"/>
    <col min="7954" max="7954" width="7.140625" style="58" customWidth="1"/>
    <col min="7955" max="7955" width="12.28515625" style="58" bestFit="1" customWidth="1"/>
    <col min="7956" max="7956" width="8.140625" style="58" customWidth="1"/>
    <col min="7957" max="7957" width="11.5703125" style="58" customWidth="1"/>
    <col min="7958" max="7958" width="7.5703125" style="58" customWidth="1"/>
    <col min="7959" max="7959" width="14.42578125" style="58" bestFit="1" customWidth="1"/>
    <col min="7960" max="7961" width="6.140625" style="58" customWidth="1"/>
    <col min="7962" max="7962" width="10.28515625" style="58" customWidth="1"/>
    <col min="7963" max="7963" width="10.28515625" style="58" bestFit="1" customWidth="1"/>
    <col min="7964" max="8194" width="9.140625" style="58"/>
    <col min="8195" max="8196" width="12.7109375" style="58" customWidth="1"/>
    <col min="8197" max="8197" width="10.5703125" style="58" bestFit="1" customWidth="1"/>
    <col min="8198" max="8198" width="9.42578125" style="58" bestFit="1" customWidth="1"/>
    <col min="8199" max="8199" width="9.28515625" style="58" customWidth="1"/>
    <col min="8200" max="8200" width="9.140625" style="58"/>
    <col min="8201" max="8201" width="9.5703125" style="58" customWidth="1"/>
    <col min="8202" max="8202" width="7.5703125" style="58" bestFit="1" customWidth="1"/>
    <col min="8203" max="8203" width="6.5703125" style="58" bestFit="1" customWidth="1"/>
    <col min="8204" max="8204" width="7.5703125" style="58" customWidth="1"/>
    <col min="8205" max="8205" width="8.5703125" style="58" bestFit="1" customWidth="1"/>
    <col min="8206" max="8206" width="6.5703125" style="58" bestFit="1" customWidth="1"/>
    <col min="8207" max="8209" width="8.5703125" style="58" customWidth="1"/>
    <col min="8210" max="8210" width="7.140625" style="58" customWidth="1"/>
    <col min="8211" max="8211" width="12.28515625" style="58" bestFit="1" customWidth="1"/>
    <col min="8212" max="8212" width="8.140625" style="58" customWidth="1"/>
    <col min="8213" max="8213" width="11.5703125" style="58" customWidth="1"/>
    <col min="8214" max="8214" width="7.5703125" style="58" customWidth="1"/>
    <col min="8215" max="8215" width="14.42578125" style="58" bestFit="1" customWidth="1"/>
    <col min="8216" max="8217" width="6.140625" style="58" customWidth="1"/>
    <col min="8218" max="8218" width="10.28515625" style="58" customWidth="1"/>
    <col min="8219" max="8219" width="10.28515625" style="58" bestFit="1" customWidth="1"/>
    <col min="8220" max="8450" width="9.140625" style="58"/>
    <col min="8451" max="8452" width="12.7109375" style="58" customWidth="1"/>
    <col min="8453" max="8453" width="10.5703125" style="58" bestFit="1" customWidth="1"/>
    <col min="8454" max="8454" width="9.42578125" style="58" bestFit="1" customWidth="1"/>
    <col min="8455" max="8455" width="9.28515625" style="58" customWidth="1"/>
    <col min="8456" max="8456" width="9.140625" style="58"/>
    <col min="8457" max="8457" width="9.5703125" style="58" customWidth="1"/>
    <col min="8458" max="8458" width="7.5703125" style="58" bestFit="1" customWidth="1"/>
    <col min="8459" max="8459" width="6.5703125" style="58" bestFit="1" customWidth="1"/>
    <col min="8460" max="8460" width="7.5703125" style="58" customWidth="1"/>
    <col min="8461" max="8461" width="8.5703125" style="58" bestFit="1" customWidth="1"/>
    <col min="8462" max="8462" width="6.5703125" style="58" bestFit="1" customWidth="1"/>
    <col min="8463" max="8465" width="8.5703125" style="58" customWidth="1"/>
    <col min="8466" max="8466" width="7.140625" style="58" customWidth="1"/>
    <col min="8467" max="8467" width="12.28515625" style="58" bestFit="1" customWidth="1"/>
    <col min="8468" max="8468" width="8.140625" style="58" customWidth="1"/>
    <col min="8469" max="8469" width="11.5703125" style="58" customWidth="1"/>
    <col min="8470" max="8470" width="7.5703125" style="58" customWidth="1"/>
    <col min="8471" max="8471" width="14.42578125" style="58" bestFit="1" customWidth="1"/>
    <col min="8472" max="8473" width="6.140625" style="58" customWidth="1"/>
    <col min="8474" max="8474" width="10.28515625" style="58" customWidth="1"/>
    <col min="8475" max="8475" width="10.28515625" style="58" bestFit="1" customWidth="1"/>
    <col min="8476" max="8706" width="9.140625" style="58"/>
    <col min="8707" max="8708" width="12.7109375" style="58" customWidth="1"/>
    <col min="8709" max="8709" width="10.5703125" style="58" bestFit="1" customWidth="1"/>
    <col min="8710" max="8710" width="9.42578125" style="58" bestFit="1" customWidth="1"/>
    <col min="8711" max="8711" width="9.28515625" style="58" customWidth="1"/>
    <col min="8712" max="8712" width="9.140625" style="58"/>
    <col min="8713" max="8713" width="9.5703125" style="58" customWidth="1"/>
    <col min="8714" max="8714" width="7.5703125" style="58" bestFit="1" customWidth="1"/>
    <col min="8715" max="8715" width="6.5703125" style="58" bestFit="1" customWidth="1"/>
    <col min="8716" max="8716" width="7.5703125" style="58" customWidth="1"/>
    <col min="8717" max="8717" width="8.5703125" style="58" bestFit="1" customWidth="1"/>
    <col min="8718" max="8718" width="6.5703125" style="58" bestFit="1" customWidth="1"/>
    <col min="8719" max="8721" width="8.5703125" style="58" customWidth="1"/>
    <col min="8722" max="8722" width="7.140625" style="58" customWidth="1"/>
    <col min="8723" max="8723" width="12.28515625" style="58" bestFit="1" customWidth="1"/>
    <col min="8724" max="8724" width="8.140625" style="58" customWidth="1"/>
    <col min="8725" max="8725" width="11.5703125" style="58" customWidth="1"/>
    <col min="8726" max="8726" width="7.5703125" style="58" customWidth="1"/>
    <col min="8727" max="8727" width="14.42578125" style="58" bestFit="1" customWidth="1"/>
    <col min="8728" max="8729" width="6.140625" style="58" customWidth="1"/>
    <col min="8730" max="8730" width="10.28515625" style="58" customWidth="1"/>
    <col min="8731" max="8731" width="10.28515625" style="58" bestFit="1" customWidth="1"/>
    <col min="8732" max="8962" width="9.140625" style="58"/>
    <col min="8963" max="8964" width="12.7109375" style="58" customWidth="1"/>
    <col min="8965" max="8965" width="10.5703125" style="58" bestFit="1" customWidth="1"/>
    <col min="8966" max="8966" width="9.42578125" style="58" bestFit="1" customWidth="1"/>
    <col min="8967" max="8967" width="9.28515625" style="58" customWidth="1"/>
    <col min="8968" max="8968" width="9.140625" style="58"/>
    <col min="8969" max="8969" width="9.5703125" style="58" customWidth="1"/>
    <col min="8970" max="8970" width="7.5703125" style="58" bestFit="1" customWidth="1"/>
    <col min="8971" max="8971" width="6.5703125" style="58" bestFit="1" customWidth="1"/>
    <col min="8972" max="8972" width="7.5703125" style="58" customWidth="1"/>
    <col min="8973" max="8973" width="8.5703125" style="58" bestFit="1" customWidth="1"/>
    <col min="8974" max="8974" width="6.5703125" style="58" bestFit="1" customWidth="1"/>
    <col min="8975" max="8977" width="8.5703125" style="58" customWidth="1"/>
    <col min="8978" max="8978" width="7.140625" style="58" customWidth="1"/>
    <col min="8979" max="8979" width="12.28515625" style="58" bestFit="1" customWidth="1"/>
    <col min="8980" max="8980" width="8.140625" style="58" customWidth="1"/>
    <col min="8981" max="8981" width="11.5703125" style="58" customWidth="1"/>
    <col min="8982" max="8982" width="7.5703125" style="58" customWidth="1"/>
    <col min="8983" max="8983" width="14.42578125" style="58" bestFit="1" customWidth="1"/>
    <col min="8984" max="8985" width="6.140625" style="58" customWidth="1"/>
    <col min="8986" max="8986" width="10.28515625" style="58" customWidth="1"/>
    <col min="8987" max="8987" width="10.28515625" style="58" bestFit="1" customWidth="1"/>
    <col min="8988" max="9218" width="9.140625" style="58"/>
    <col min="9219" max="9220" width="12.7109375" style="58" customWidth="1"/>
    <col min="9221" max="9221" width="10.5703125" style="58" bestFit="1" customWidth="1"/>
    <col min="9222" max="9222" width="9.42578125" style="58" bestFit="1" customWidth="1"/>
    <col min="9223" max="9223" width="9.28515625" style="58" customWidth="1"/>
    <col min="9224" max="9224" width="9.140625" style="58"/>
    <col min="9225" max="9225" width="9.5703125" style="58" customWidth="1"/>
    <col min="9226" max="9226" width="7.5703125" style="58" bestFit="1" customWidth="1"/>
    <col min="9227" max="9227" width="6.5703125" style="58" bestFit="1" customWidth="1"/>
    <col min="9228" max="9228" width="7.5703125" style="58" customWidth="1"/>
    <col min="9229" max="9229" width="8.5703125" style="58" bestFit="1" customWidth="1"/>
    <col min="9230" max="9230" width="6.5703125" style="58" bestFit="1" customWidth="1"/>
    <col min="9231" max="9233" width="8.5703125" style="58" customWidth="1"/>
    <col min="9234" max="9234" width="7.140625" style="58" customWidth="1"/>
    <col min="9235" max="9235" width="12.28515625" style="58" bestFit="1" customWidth="1"/>
    <col min="9236" max="9236" width="8.140625" style="58" customWidth="1"/>
    <col min="9237" max="9237" width="11.5703125" style="58" customWidth="1"/>
    <col min="9238" max="9238" width="7.5703125" style="58" customWidth="1"/>
    <col min="9239" max="9239" width="14.42578125" style="58" bestFit="1" customWidth="1"/>
    <col min="9240" max="9241" width="6.140625" style="58" customWidth="1"/>
    <col min="9242" max="9242" width="10.28515625" style="58" customWidth="1"/>
    <col min="9243" max="9243" width="10.28515625" style="58" bestFit="1" customWidth="1"/>
    <col min="9244" max="9474" width="9.140625" style="58"/>
    <col min="9475" max="9476" width="12.7109375" style="58" customWidth="1"/>
    <col min="9477" max="9477" width="10.5703125" style="58" bestFit="1" customWidth="1"/>
    <col min="9478" max="9478" width="9.42578125" style="58" bestFit="1" customWidth="1"/>
    <col min="9479" max="9479" width="9.28515625" style="58" customWidth="1"/>
    <col min="9480" max="9480" width="9.140625" style="58"/>
    <col min="9481" max="9481" width="9.5703125" style="58" customWidth="1"/>
    <col min="9482" max="9482" width="7.5703125" style="58" bestFit="1" customWidth="1"/>
    <col min="9483" max="9483" width="6.5703125" style="58" bestFit="1" customWidth="1"/>
    <col min="9484" max="9484" width="7.5703125" style="58" customWidth="1"/>
    <col min="9485" max="9485" width="8.5703125" style="58" bestFit="1" customWidth="1"/>
    <col min="9486" max="9486" width="6.5703125" style="58" bestFit="1" customWidth="1"/>
    <col min="9487" max="9489" width="8.5703125" style="58" customWidth="1"/>
    <col min="9490" max="9490" width="7.140625" style="58" customWidth="1"/>
    <col min="9491" max="9491" width="12.28515625" style="58" bestFit="1" customWidth="1"/>
    <col min="9492" max="9492" width="8.140625" style="58" customWidth="1"/>
    <col min="9493" max="9493" width="11.5703125" style="58" customWidth="1"/>
    <col min="9494" max="9494" width="7.5703125" style="58" customWidth="1"/>
    <col min="9495" max="9495" width="14.42578125" style="58" bestFit="1" customWidth="1"/>
    <col min="9496" max="9497" width="6.140625" style="58" customWidth="1"/>
    <col min="9498" max="9498" width="10.28515625" style="58" customWidth="1"/>
    <col min="9499" max="9499" width="10.28515625" style="58" bestFit="1" customWidth="1"/>
    <col min="9500" max="9730" width="9.140625" style="58"/>
    <col min="9731" max="9732" width="12.7109375" style="58" customWidth="1"/>
    <col min="9733" max="9733" width="10.5703125" style="58" bestFit="1" customWidth="1"/>
    <col min="9734" max="9734" width="9.42578125" style="58" bestFit="1" customWidth="1"/>
    <col min="9735" max="9735" width="9.28515625" style="58" customWidth="1"/>
    <col min="9736" max="9736" width="9.140625" style="58"/>
    <col min="9737" max="9737" width="9.5703125" style="58" customWidth="1"/>
    <col min="9738" max="9738" width="7.5703125" style="58" bestFit="1" customWidth="1"/>
    <col min="9739" max="9739" width="6.5703125" style="58" bestFit="1" customWidth="1"/>
    <col min="9740" max="9740" width="7.5703125" style="58" customWidth="1"/>
    <col min="9741" max="9741" width="8.5703125" style="58" bestFit="1" customWidth="1"/>
    <col min="9742" max="9742" width="6.5703125" style="58" bestFit="1" customWidth="1"/>
    <col min="9743" max="9745" width="8.5703125" style="58" customWidth="1"/>
    <col min="9746" max="9746" width="7.140625" style="58" customWidth="1"/>
    <col min="9747" max="9747" width="12.28515625" style="58" bestFit="1" customWidth="1"/>
    <col min="9748" max="9748" width="8.140625" style="58" customWidth="1"/>
    <col min="9749" max="9749" width="11.5703125" style="58" customWidth="1"/>
    <col min="9750" max="9750" width="7.5703125" style="58" customWidth="1"/>
    <col min="9751" max="9751" width="14.42578125" style="58" bestFit="1" customWidth="1"/>
    <col min="9752" max="9753" width="6.140625" style="58" customWidth="1"/>
    <col min="9754" max="9754" width="10.28515625" style="58" customWidth="1"/>
    <col min="9755" max="9755" width="10.28515625" style="58" bestFit="1" customWidth="1"/>
    <col min="9756" max="9986" width="9.140625" style="58"/>
    <col min="9987" max="9988" width="12.7109375" style="58" customWidth="1"/>
    <col min="9989" max="9989" width="10.5703125" style="58" bestFit="1" customWidth="1"/>
    <col min="9990" max="9990" width="9.42578125" style="58" bestFit="1" customWidth="1"/>
    <col min="9991" max="9991" width="9.28515625" style="58" customWidth="1"/>
    <col min="9992" max="9992" width="9.140625" style="58"/>
    <col min="9993" max="9993" width="9.5703125" style="58" customWidth="1"/>
    <col min="9994" max="9994" width="7.5703125" style="58" bestFit="1" customWidth="1"/>
    <col min="9995" max="9995" width="6.5703125" style="58" bestFit="1" customWidth="1"/>
    <col min="9996" max="9996" width="7.5703125" style="58" customWidth="1"/>
    <col min="9997" max="9997" width="8.5703125" style="58" bestFit="1" customWidth="1"/>
    <col min="9998" max="9998" width="6.5703125" style="58" bestFit="1" customWidth="1"/>
    <col min="9999" max="10001" width="8.5703125" style="58" customWidth="1"/>
    <col min="10002" max="10002" width="7.140625" style="58" customWidth="1"/>
    <col min="10003" max="10003" width="12.28515625" style="58" bestFit="1" customWidth="1"/>
    <col min="10004" max="10004" width="8.140625" style="58" customWidth="1"/>
    <col min="10005" max="10005" width="11.5703125" style="58" customWidth="1"/>
    <col min="10006" max="10006" width="7.5703125" style="58" customWidth="1"/>
    <col min="10007" max="10007" width="14.42578125" style="58" bestFit="1" customWidth="1"/>
    <col min="10008" max="10009" width="6.140625" style="58" customWidth="1"/>
    <col min="10010" max="10010" width="10.28515625" style="58" customWidth="1"/>
    <col min="10011" max="10011" width="10.28515625" style="58" bestFit="1" customWidth="1"/>
    <col min="10012" max="10242" width="9.140625" style="58"/>
    <col min="10243" max="10244" width="12.7109375" style="58" customWidth="1"/>
    <col min="10245" max="10245" width="10.5703125" style="58" bestFit="1" customWidth="1"/>
    <col min="10246" max="10246" width="9.42578125" style="58" bestFit="1" customWidth="1"/>
    <col min="10247" max="10247" width="9.28515625" style="58" customWidth="1"/>
    <col min="10248" max="10248" width="9.140625" style="58"/>
    <col min="10249" max="10249" width="9.5703125" style="58" customWidth="1"/>
    <col min="10250" max="10250" width="7.5703125" style="58" bestFit="1" customWidth="1"/>
    <col min="10251" max="10251" width="6.5703125" style="58" bestFit="1" customWidth="1"/>
    <col min="10252" max="10252" width="7.5703125" style="58" customWidth="1"/>
    <col min="10253" max="10253" width="8.5703125" style="58" bestFit="1" customWidth="1"/>
    <col min="10254" max="10254" width="6.5703125" style="58" bestFit="1" customWidth="1"/>
    <col min="10255" max="10257" width="8.5703125" style="58" customWidth="1"/>
    <col min="10258" max="10258" width="7.140625" style="58" customWidth="1"/>
    <col min="10259" max="10259" width="12.28515625" style="58" bestFit="1" customWidth="1"/>
    <col min="10260" max="10260" width="8.140625" style="58" customWidth="1"/>
    <col min="10261" max="10261" width="11.5703125" style="58" customWidth="1"/>
    <col min="10262" max="10262" width="7.5703125" style="58" customWidth="1"/>
    <col min="10263" max="10263" width="14.42578125" style="58" bestFit="1" customWidth="1"/>
    <col min="10264" max="10265" width="6.140625" style="58" customWidth="1"/>
    <col min="10266" max="10266" width="10.28515625" style="58" customWidth="1"/>
    <col min="10267" max="10267" width="10.28515625" style="58" bestFit="1" customWidth="1"/>
    <col min="10268" max="10498" width="9.140625" style="58"/>
    <col min="10499" max="10500" width="12.7109375" style="58" customWidth="1"/>
    <col min="10501" max="10501" width="10.5703125" style="58" bestFit="1" customWidth="1"/>
    <col min="10502" max="10502" width="9.42578125" style="58" bestFit="1" customWidth="1"/>
    <col min="10503" max="10503" width="9.28515625" style="58" customWidth="1"/>
    <col min="10504" max="10504" width="9.140625" style="58"/>
    <col min="10505" max="10505" width="9.5703125" style="58" customWidth="1"/>
    <col min="10506" max="10506" width="7.5703125" style="58" bestFit="1" customWidth="1"/>
    <col min="10507" max="10507" width="6.5703125" style="58" bestFit="1" customWidth="1"/>
    <col min="10508" max="10508" width="7.5703125" style="58" customWidth="1"/>
    <col min="10509" max="10509" width="8.5703125" style="58" bestFit="1" customWidth="1"/>
    <col min="10510" max="10510" width="6.5703125" style="58" bestFit="1" customWidth="1"/>
    <col min="10511" max="10513" width="8.5703125" style="58" customWidth="1"/>
    <col min="10514" max="10514" width="7.140625" style="58" customWidth="1"/>
    <col min="10515" max="10515" width="12.28515625" style="58" bestFit="1" customWidth="1"/>
    <col min="10516" max="10516" width="8.140625" style="58" customWidth="1"/>
    <col min="10517" max="10517" width="11.5703125" style="58" customWidth="1"/>
    <col min="10518" max="10518" width="7.5703125" style="58" customWidth="1"/>
    <col min="10519" max="10519" width="14.42578125" style="58" bestFit="1" customWidth="1"/>
    <col min="10520" max="10521" width="6.140625" style="58" customWidth="1"/>
    <col min="10522" max="10522" width="10.28515625" style="58" customWidth="1"/>
    <col min="10523" max="10523" width="10.28515625" style="58" bestFit="1" customWidth="1"/>
    <col min="10524" max="10754" width="9.140625" style="58"/>
    <col min="10755" max="10756" width="12.7109375" style="58" customWidth="1"/>
    <col min="10757" max="10757" width="10.5703125" style="58" bestFit="1" customWidth="1"/>
    <col min="10758" max="10758" width="9.42578125" style="58" bestFit="1" customWidth="1"/>
    <col min="10759" max="10759" width="9.28515625" style="58" customWidth="1"/>
    <col min="10760" max="10760" width="9.140625" style="58"/>
    <col min="10761" max="10761" width="9.5703125" style="58" customWidth="1"/>
    <col min="10762" max="10762" width="7.5703125" style="58" bestFit="1" customWidth="1"/>
    <col min="10763" max="10763" width="6.5703125" style="58" bestFit="1" customWidth="1"/>
    <col min="10764" max="10764" width="7.5703125" style="58" customWidth="1"/>
    <col min="10765" max="10765" width="8.5703125" style="58" bestFit="1" customWidth="1"/>
    <col min="10766" max="10766" width="6.5703125" style="58" bestFit="1" customWidth="1"/>
    <col min="10767" max="10769" width="8.5703125" style="58" customWidth="1"/>
    <col min="10770" max="10770" width="7.140625" style="58" customWidth="1"/>
    <col min="10771" max="10771" width="12.28515625" style="58" bestFit="1" customWidth="1"/>
    <col min="10772" max="10772" width="8.140625" style="58" customWidth="1"/>
    <col min="10773" max="10773" width="11.5703125" style="58" customWidth="1"/>
    <col min="10774" max="10774" width="7.5703125" style="58" customWidth="1"/>
    <col min="10775" max="10775" width="14.42578125" style="58" bestFit="1" customWidth="1"/>
    <col min="10776" max="10777" width="6.140625" style="58" customWidth="1"/>
    <col min="10778" max="10778" width="10.28515625" style="58" customWidth="1"/>
    <col min="10779" max="10779" width="10.28515625" style="58" bestFit="1" customWidth="1"/>
    <col min="10780" max="11010" width="9.140625" style="58"/>
    <col min="11011" max="11012" width="12.7109375" style="58" customWidth="1"/>
    <col min="11013" max="11013" width="10.5703125" style="58" bestFit="1" customWidth="1"/>
    <col min="11014" max="11014" width="9.42578125" style="58" bestFit="1" customWidth="1"/>
    <col min="11015" max="11015" width="9.28515625" style="58" customWidth="1"/>
    <col min="11016" max="11016" width="9.140625" style="58"/>
    <col min="11017" max="11017" width="9.5703125" style="58" customWidth="1"/>
    <col min="11018" max="11018" width="7.5703125" style="58" bestFit="1" customWidth="1"/>
    <col min="11019" max="11019" width="6.5703125" style="58" bestFit="1" customWidth="1"/>
    <col min="11020" max="11020" width="7.5703125" style="58" customWidth="1"/>
    <col min="11021" max="11021" width="8.5703125" style="58" bestFit="1" customWidth="1"/>
    <col min="11022" max="11022" width="6.5703125" style="58" bestFit="1" customWidth="1"/>
    <col min="11023" max="11025" width="8.5703125" style="58" customWidth="1"/>
    <col min="11026" max="11026" width="7.140625" style="58" customWidth="1"/>
    <col min="11027" max="11027" width="12.28515625" style="58" bestFit="1" customWidth="1"/>
    <col min="11028" max="11028" width="8.140625" style="58" customWidth="1"/>
    <col min="11029" max="11029" width="11.5703125" style="58" customWidth="1"/>
    <col min="11030" max="11030" width="7.5703125" style="58" customWidth="1"/>
    <col min="11031" max="11031" width="14.42578125" style="58" bestFit="1" customWidth="1"/>
    <col min="11032" max="11033" width="6.140625" style="58" customWidth="1"/>
    <col min="11034" max="11034" width="10.28515625" style="58" customWidth="1"/>
    <col min="11035" max="11035" width="10.28515625" style="58" bestFit="1" customWidth="1"/>
    <col min="11036" max="11266" width="9.140625" style="58"/>
    <col min="11267" max="11268" width="12.7109375" style="58" customWidth="1"/>
    <col min="11269" max="11269" width="10.5703125" style="58" bestFit="1" customWidth="1"/>
    <col min="11270" max="11270" width="9.42578125" style="58" bestFit="1" customWidth="1"/>
    <col min="11271" max="11271" width="9.28515625" style="58" customWidth="1"/>
    <col min="11272" max="11272" width="9.140625" style="58"/>
    <col min="11273" max="11273" width="9.5703125" style="58" customWidth="1"/>
    <col min="11274" max="11274" width="7.5703125" style="58" bestFit="1" customWidth="1"/>
    <col min="11275" max="11275" width="6.5703125" style="58" bestFit="1" customWidth="1"/>
    <col min="11276" max="11276" width="7.5703125" style="58" customWidth="1"/>
    <col min="11277" max="11277" width="8.5703125" style="58" bestFit="1" customWidth="1"/>
    <col min="11278" max="11278" width="6.5703125" style="58" bestFit="1" customWidth="1"/>
    <col min="11279" max="11281" width="8.5703125" style="58" customWidth="1"/>
    <col min="11282" max="11282" width="7.140625" style="58" customWidth="1"/>
    <col min="11283" max="11283" width="12.28515625" style="58" bestFit="1" customWidth="1"/>
    <col min="11284" max="11284" width="8.140625" style="58" customWidth="1"/>
    <col min="11285" max="11285" width="11.5703125" style="58" customWidth="1"/>
    <col min="11286" max="11286" width="7.5703125" style="58" customWidth="1"/>
    <col min="11287" max="11287" width="14.42578125" style="58" bestFit="1" customWidth="1"/>
    <col min="11288" max="11289" width="6.140625" style="58" customWidth="1"/>
    <col min="11290" max="11290" width="10.28515625" style="58" customWidth="1"/>
    <col min="11291" max="11291" width="10.28515625" style="58" bestFit="1" customWidth="1"/>
    <col min="11292" max="11522" width="9.140625" style="58"/>
    <col min="11523" max="11524" width="12.7109375" style="58" customWidth="1"/>
    <col min="11525" max="11525" width="10.5703125" style="58" bestFit="1" customWidth="1"/>
    <col min="11526" max="11526" width="9.42578125" style="58" bestFit="1" customWidth="1"/>
    <col min="11527" max="11527" width="9.28515625" style="58" customWidth="1"/>
    <col min="11528" max="11528" width="9.140625" style="58"/>
    <col min="11529" max="11529" width="9.5703125" style="58" customWidth="1"/>
    <col min="11530" max="11530" width="7.5703125" style="58" bestFit="1" customWidth="1"/>
    <col min="11531" max="11531" width="6.5703125" style="58" bestFit="1" customWidth="1"/>
    <col min="11532" max="11532" width="7.5703125" style="58" customWidth="1"/>
    <col min="11533" max="11533" width="8.5703125" style="58" bestFit="1" customWidth="1"/>
    <col min="11534" max="11534" width="6.5703125" style="58" bestFit="1" customWidth="1"/>
    <col min="11535" max="11537" width="8.5703125" style="58" customWidth="1"/>
    <col min="11538" max="11538" width="7.140625" style="58" customWidth="1"/>
    <col min="11539" max="11539" width="12.28515625" style="58" bestFit="1" customWidth="1"/>
    <col min="11540" max="11540" width="8.140625" style="58" customWidth="1"/>
    <col min="11541" max="11541" width="11.5703125" style="58" customWidth="1"/>
    <col min="11542" max="11542" width="7.5703125" style="58" customWidth="1"/>
    <col min="11543" max="11543" width="14.42578125" style="58" bestFit="1" customWidth="1"/>
    <col min="11544" max="11545" width="6.140625" style="58" customWidth="1"/>
    <col min="11546" max="11546" width="10.28515625" style="58" customWidth="1"/>
    <col min="11547" max="11547" width="10.28515625" style="58" bestFit="1" customWidth="1"/>
    <col min="11548" max="11778" width="9.140625" style="58"/>
    <col min="11779" max="11780" width="12.7109375" style="58" customWidth="1"/>
    <col min="11781" max="11781" width="10.5703125" style="58" bestFit="1" customWidth="1"/>
    <col min="11782" max="11782" width="9.42578125" style="58" bestFit="1" customWidth="1"/>
    <col min="11783" max="11783" width="9.28515625" style="58" customWidth="1"/>
    <col min="11784" max="11784" width="9.140625" style="58"/>
    <col min="11785" max="11785" width="9.5703125" style="58" customWidth="1"/>
    <col min="11786" max="11786" width="7.5703125" style="58" bestFit="1" customWidth="1"/>
    <col min="11787" max="11787" width="6.5703125" style="58" bestFit="1" customWidth="1"/>
    <col min="11788" max="11788" width="7.5703125" style="58" customWidth="1"/>
    <col min="11789" max="11789" width="8.5703125" style="58" bestFit="1" customWidth="1"/>
    <col min="11790" max="11790" width="6.5703125" style="58" bestFit="1" customWidth="1"/>
    <col min="11791" max="11793" width="8.5703125" style="58" customWidth="1"/>
    <col min="11794" max="11794" width="7.140625" style="58" customWidth="1"/>
    <col min="11795" max="11795" width="12.28515625" style="58" bestFit="1" customWidth="1"/>
    <col min="11796" max="11796" width="8.140625" style="58" customWidth="1"/>
    <col min="11797" max="11797" width="11.5703125" style="58" customWidth="1"/>
    <col min="11798" max="11798" width="7.5703125" style="58" customWidth="1"/>
    <col min="11799" max="11799" width="14.42578125" style="58" bestFit="1" customWidth="1"/>
    <col min="11800" max="11801" width="6.140625" style="58" customWidth="1"/>
    <col min="11802" max="11802" width="10.28515625" style="58" customWidth="1"/>
    <col min="11803" max="11803" width="10.28515625" style="58" bestFit="1" customWidth="1"/>
    <col min="11804" max="12034" width="9.140625" style="58"/>
    <col min="12035" max="12036" width="12.7109375" style="58" customWidth="1"/>
    <col min="12037" max="12037" width="10.5703125" style="58" bestFit="1" customWidth="1"/>
    <col min="12038" max="12038" width="9.42578125" style="58" bestFit="1" customWidth="1"/>
    <col min="12039" max="12039" width="9.28515625" style="58" customWidth="1"/>
    <col min="12040" max="12040" width="9.140625" style="58"/>
    <col min="12041" max="12041" width="9.5703125" style="58" customWidth="1"/>
    <col min="12042" max="12042" width="7.5703125" style="58" bestFit="1" customWidth="1"/>
    <col min="12043" max="12043" width="6.5703125" style="58" bestFit="1" customWidth="1"/>
    <col min="12044" max="12044" width="7.5703125" style="58" customWidth="1"/>
    <col min="12045" max="12045" width="8.5703125" style="58" bestFit="1" customWidth="1"/>
    <col min="12046" max="12046" width="6.5703125" style="58" bestFit="1" customWidth="1"/>
    <col min="12047" max="12049" width="8.5703125" style="58" customWidth="1"/>
    <col min="12050" max="12050" width="7.140625" style="58" customWidth="1"/>
    <col min="12051" max="12051" width="12.28515625" style="58" bestFit="1" customWidth="1"/>
    <col min="12052" max="12052" width="8.140625" style="58" customWidth="1"/>
    <col min="12053" max="12053" width="11.5703125" style="58" customWidth="1"/>
    <col min="12054" max="12054" width="7.5703125" style="58" customWidth="1"/>
    <col min="12055" max="12055" width="14.42578125" style="58" bestFit="1" customWidth="1"/>
    <col min="12056" max="12057" width="6.140625" style="58" customWidth="1"/>
    <col min="12058" max="12058" width="10.28515625" style="58" customWidth="1"/>
    <col min="12059" max="12059" width="10.28515625" style="58" bestFit="1" customWidth="1"/>
    <col min="12060" max="12290" width="9.140625" style="58"/>
    <col min="12291" max="12292" width="12.7109375" style="58" customWidth="1"/>
    <col min="12293" max="12293" width="10.5703125" style="58" bestFit="1" customWidth="1"/>
    <col min="12294" max="12294" width="9.42578125" style="58" bestFit="1" customWidth="1"/>
    <col min="12295" max="12295" width="9.28515625" style="58" customWidth="1"/>
    <col min="12296" max="12296" width="9.140625" style="58"/>
    <col min="12297" max="12297" width="9.5703125" style="58" customWidth="1"/>
    <col min="12298" max="12298" width="7.5703125" style="58" bestFit="1" customWidth="1"/>
    <col min="12299" max="12299" width="6.5703125" style="58" bestFit="1" customWidth="1"/>
    <col min="12300" max="12300" width="7.5703125" style="58" customWidth="1"/>
    <col min="12301" max="12301" width="8.5703125" style="58" bestFit="1" customWidth="1"/>
    <col min="12302" max="12302" width="6.5703125" style="58" bestFit="1" customWidth="1"/>
    <col min="12303" max="12305" width="8.5703125" style="58" customWidth="1"/>
    <col min="12306" max="12306" width="7.140625" style="58" customWidth="1"/>
    <col min="12307" max="12307" width="12.28515625" style="58" bestFit="1" customWidth="1"/>
    <col min="12308" max="12308" width="8.140625" style="58" customWidth="1"/>
    <col min="12309" max="12309" width="11.5703125" style="58" customWidth="1"/>
    <col min="12310" max="12310" width="7.5703125" style="58" customWidth="1"/>
    <col min="12311" max="12311" width="14.42578125" style="58" bestFit="1" customWidth="1"/>
    <col min="12312" max="12313" width="6.140625" style="58" customWidth="1"/>
    <col min="12314" max="12314" width="10.28515625" style="58" customWidth="1"/>
    <col min="12315" max="12315" width="10.28515625" style="58" bestFit="1" customWidth="1"/>
    <col min="12316" max="12546" width="9.140625" style="58"/>
    <col min="12547" max="12548" width="12.7109375" style="58" customWidth="1"/>
    <col min="12549" max="12549" width="10.5703125" style="58" bestFit="1" customWidth="1"/>
    <col min="12550" max="12550" width="9.42578125" style="58" bestFit="1" customWidth="1"/>
    <col min="12551" max="12551" width="9.28515625" style="58" customWidth="1"/>
    <col min="12552" max="12552" width="9.140625" style="58"/>
    <col min="12553" max="12553" width="9.5703125" style="58" customWidth="1"/>
    <col min="12554" max="12554" width="7.5703125" style="58" bestFit="1" customWidth="1"/>
    <col min="12555" max="12555" width="6.5703125" style="58" bestFit="1" customWidth="1"/>
    <col min="12556" max="12556" width="7.5703125" style="58" customWidth="1"/>
    <col min="12557" max="12557" width="8.5703125" style="58" bestFit="1" customWidth="1"/>
    <col min="12558" max="12558" width="6.5703125" style="58" bestFit="1" customWidth="1"/>
    <col min="12559" max="12561" width="8.5703125" style="58" customWidth="1"/>
    <col min="12562" max="12562" width="7.140625" style="58" customWidth="1"/>
    <col min="12563" max="12563" width="12.28515625" style="58" bestFit="1" customWidth="1"/>
    <col min="12564" max="12564" width="8.140625" style="58" customWidth="1"/>
    <col min="12565" max="12565" width="11.5703125" style="58" customWidth="1"/>
    <col min="12566" max="12566" width="7.5703125" style="58" customWidth="1"/>
    <col min="12567" max="12567" width="14.42578125" style="58" bestFit="1" customWidth="1"/>
    <col min="12568" max="12569" width="6.140625" style="58" customWidth="1"/>
    <col min="12570" max="12570" width="10.28515625" style="58" customWidth="1"/>
    <col min="12571" max="12571" width="10.28515625" style="58" bestFit="1" customWidth="1"/>
    <col min="12572" max="12802" width="9.140625" style="58"/>
    <col min="12803" max="12804" width="12.7109375" style="58" customWidth="1"/>
    <col min="12805" max="12805" width="10.5703125" style="58" bestFit="1" customWidth="1"/>
    <col min="12806" max="12806" width="9.42578125" style="58" bestFit="1" customWidth="1"/>
    <col min="12807" max="12807" width="9.28515625" style="58" customWidth="1"/>
    <col min="12808" max="12808" width="9.140625" style="58"/>
    <col min="12809" max="12809" width="9.5703125" style="58" customWidth="1"/>
    <col min="12810" max="12810" width="7.5703125" style="58" bestFit="1" customWidth="1"/>
    <col min="12811" max="12811" width="6.5703125" style="58" bestFit="1" customWidth="1"/>
    <col min="12812" max="12812" width="7.5703125" style="58" customWidth="1"/>
    <col min="12813" max="12813" width="8.5703125" style="58" bestFit="1" customWidth="1"/>
    <col min="12814" max="12814" width="6.5703125" style="58" bestFit="1" customWidth="1"/>
    <col min="12815" max="12817" width="8.5703125" style="58" customWidth="1"/>
    <col min="12818" max="12818" width="7.140625" style="58" customWidth="1"/>
    <col min="12819" max="12819" width="12.28515625" style="58" bestFit="1" customWidth="1"/>
    <col min="12820" max="12820" width="8.140625" style="58" customWidth="1"/>
    <col min="12821" max="12821" width="11.5703125" style="58" customWidth="1"/>
    <col min="12822" max="12822" width="7.5703125" style="58" customWidth="1"/>
    <col min="12823" max="12823" width="14.42578125" style="58" bestFit="1" customWidth="1"/>
    <col min="12824" max="12825" width="6.140625" style="58" customWidth="1"/>
    <col min="12826" max="12826" width="10.28515625" style="58" customWidth="1"/>
    <col min="12827" max="12827" width="10.28515625" style="58" bestFit="1" customWidth="1"/>
    <col min="12828" max="13058" width="9.140625" style="58"/>
    <col min="13059" max="13060" width="12.7109375" style="58" customWidth="1"/>
    <col min="13061" max="13061" width="10.5703125" style="58" bestFit="1" customWidth="1"/>
    <col min="13062" max="13062" width="9.42578125" style="58" bestFit="1" customWidth="1"/>
    <col min="13063" max="13063" width="9.28515625" style="58" customWidth="1"/>
    <col min="13064" max="13064" width="9.140625" style="58"/>
    <col min="13065" max="13065" width="9.5703125" style="58" customWidth="1"/>
    <col min="13066" max="13066" width="7.5703125" style="58" bestFit="1" customWidth="1"/>
    <col min="13067" max="13067" width="6.5703125" style="58" bestFit="1" customWidth="1"/>
    <col min="13068" max="13068" width="7.5703125" style="58" customWidth="1"/>
    <col min="13069" max="13069" width="8.5703125" style="58" bestFit="1" customWidth="1"/>
    <col min="13070" max="13070" width="6.5703125" style="58" bestFit="1" customWidth="1"/>
    <col min="13071" max="13073" width="8.5703125" style="58" customWidth="1"/>
    <col min="13074" max="13074" width="7.140625" style="58" customWidth="1"/>
    <col min="13075" max="13075" width="12.28515625" style="58" bestFit="1" customWidth="1"/>
    <col min="13076" max="13076" width="8.140625" style="58" customWidth="1"/>
    <col min="13077" max="13077" width="11.5703125" style="58" customWidth="1"/>
    <col min="13078" max="13078" width="7.5703125" style="58" customWidth="1"/>
    <col min="13079" max="13079" width="14.42578125" style="58" bestFit="1" customWidth="1"/>
    <col min="13080" max="13081" width="6.140625" style="58" customWidth="1"/>
    <col min="13082" max="13082" width="10.28515625" style="58" customWidth="1"/>
    <col min="13083" max="13083" width="10.28515625" style="58" bestFit="1" customWidth="1"/>
    <col min="13084" max="13314" width="9.140625" style="58"/>
    <col min="13315" max="13316" width="12.7109375" style="58" customWidth="1"/>
    <col min="13317" max="13317" width="10.5703125" style="58" bestFit="1" customWidth="1"/>
    <col min="13318" max="13318" width="9.42578125" style="58" bestFit="1" customWidth="1"/>
    <col min="13319" max="13319" width="9.28515625" style="58" customWidth="1"/>
    <col min="13320" max="13320" width="9.140625" style="58"/>
    <col min="13321" max="13321" width="9.5703125" style="58" customWidth="1"/>
    <col min="13322" max="13322" width="7.5703125" style="58" bestFit="1" customWidth="1"/>
    <col min="13323" max="13323" width="6.5703125" style="58" bestFit="1" customWidth="1"/>
    <col min="13324" max="13324" width="7.5703125" style="58" customWidth="1"/>
    <col min="13325" max="13325" width="8.5703125" style="58" bestFit="1" customWidth="1"/>
    <col min="13326" max="13326" width="6.5703125" style="58" bestFit="1" customWidth="1"/>
    <col min="13327" max="13329" width="8.5703125" style="58" customWidth="1"/>
    <col min="13330" max="13330" width="7.140625" style="58" customWidth="1"/>
    <col min="13331" max="13331" width="12.28515625" style="58" bestFit="1" customWidth="1"/>
    <col min="13332" max="13332" width="8.140625" style="58" customWidth="1"/>
    <col min="13333" max="13333" width="11.5703125" style="58" customWidth="1"/>
    <col min="13334" max="13334" width="7.5703125" style="58" customWidth="1"/>
    <col min="13335" max="13335" width="14.42578125" style="58" bestFit="1" customWidth="1"/>
    <col min="13336" max="13337" width="6.140625" style="58" customWidth="1"/>
    <col min="13338" max="13338" width="10.28515625" style="58" customWidth="1"/>
    <col min="13339" max="13339" width="10.28515625" style="58" bestFit="1" customWidth="1"/>
    <col min="13340" max="13570" width="9.140625" style="58"/>
    <col min="13571" max="13572" width="12.7109375" style="58" customWidth="1"/>
    <col min="13573" max="13573" width="10.5703125" style="58" bestFit="1" customWidth="1"/>
    <col min="13574" max="13574" width="9.42578125" style="58" bestFit="1" customWidth="1"/>
    <col min="13575" max="13575" width="9.28515625" style="58" customWidth="1"/>
    <col min="13576" max="13576" width="9.140625" style="58"/>
    <col min="13577" max="13577" width="9.5703125" style="58" customWidth="1"/>
    <col min="13578" max="13578" width="7.5703125" style="58" bestFit="1" customWidth="1"/>
    <col min="13579" max="13579" width="6.5703125" style="58" bestFit="1" customWidth="1"/>
    <col min="13580" max="13580" width="7.5703125" style="58" customWidth="1"/>
    <col min="13581" max="13581" width="8.5703125" style="58" bestFit="1" customWidth="1"/>
    <col min="13582" max="13582" width="6.5703125" style="58" bestFit="1" customWidth="1"/>
    <col min="13583" max="13585" width="8.5703125" style="58" customWidth="1"/>
    <col min="13586" max="13586" width="7.140625" style="58" customWidth="1"/>
    <col min="13587" max="13587" width="12.28515625" style="58" bestFit="1" customWidth="1"/>
    <col min="13588" max="13588" width="8.140625" style="58" customWidth="1"/>
    <col min="13589" max="13589" width="11.5703125" style="58" customWidth="1"/>
    <col min="13590" max="13590" width="7.5703125" style="58" customWidth="1"/>
    <col min="13591" max="13591" width="14.42578125" style="58" bestFit="1" customWidth="1"/>
    <col min="13592" max="13593" width="6.140625" style="58" customWidth="1"/>
    <col min="13594" max="13594" width="10.28515625" style="58" customWidth="1"/>
    <col min="13595" max="13595" width="10.28515625" style="58" bestFit="1" customWidth="1"/>
    <col min="13596" max="13826" width="9.140625" style="58"/>
    <col min="13827" max="13828" width="12.7109375" style="58" customWidth="1"/>
    <col min="13829" max="13829" width="10.5703125" style="58" bestFit="1" customWidth="1"/>
    <col min="13830" max="13830" width="9.42578125" style="58" bestFit="1" customWidth="1"/>
    <col min="13831" max="13831" width="9.28515625" style="58" customWidth="1"/>
    <col min="13832" max="13832" width="9.140625" style="58"/>
    <col min="13833" max="13833" width="9.5703125" style="58" customWidth="1"/>
    <col min="13834" max="13834" width="7.5703125" style="58" bestFit="1" customWidth="1"/>
    <col min="13835" max="13835" width="6.5703125" style="58" bestFit="1" customWidth="1"/>
    <col min="13836" max="13836" width="7.5703125" style="58" customWidth="1"/>
    <col min="13837" max="13837" width="8.5703125" style="58" bestFit="1" customWidth="1"/>
    <col min="13838" max="13838" width="6.5703125" style="58" bestFit="1" customWidth="1"/>
    <col min="13839" max="13841" width="8.5703125" style="58" customWidth="1"/>
    <col min="13842" max="13842" width="7.140625" style="58" customWidth="1"/>
    <col min="13843" max="13843" width="12.28515625" style="58" bestFit="1" customWidth="1"/>
    <col min="13844" max="13844" width="8.140625" style="58" customWidth="1"/>
    <col min="13845" max="13845" width="11.5703125" style="58" customWidth="1"/>
    <col min="13846" max="13846" width="7.5703125" style="58" customWidth="1"/>
    <col min="13847" max="13847" width="14.42578125" style="58" bestFit="1" customWidth="1"/>
    <col min="13848" max="13849" width="6.140625" style="58" customWidth="1"/>
    <col min="13850" max="13850" width="10.28515625" style="58" customWidth="1"/>
    <col min="13851" max="13851" width="10.28515625" style="58" bestFit="1" customWidth="1"/>
    <col min="13852" max="14082" width="9.140625" style="58"/>
    <col min="14083" max="14084" width="12.7109375" style="58" customWidth="1"/>
    <col min="14085" max="14085" width="10.5703125" style="58" bestFit="1" customWidth="1"/>
    <col min="14086" max="14086" width="9.42578125" style="58" bestFit="1" customWidth="1"/>
    <col min="14087" max="14087" width="9.28515625" style="58" customWidth="1"/>
    <col min="14088" max="14088" width="9.140625" style="58"/>
    <col min="14089" max="14089" width="9.5703125" style="58" customWidth="1"/>
    <col min="14090" max="14090" width="7.5703125" style="58" bestFit="1" customWidth="1"/>
    <col min="14091" max="14091" width="6.5703125" style="58" bestFit="1" customWidth="1"/>
    <col min="14092" max="14092" width="7.5703125" style="58" customWidth="1"/>
    <col min="14093" max="14093" width="8.5703125" style="58" bestFit="1" customWidth="1"/>
    <col min="14094" max="14094" width="6.5703125" style="58" bestFit="1" customWidth="1"/>
    <col min="14095" max="14097" width="8.5703125" style="58" customWidth="1"/>
    <col min="14098" max="14098" width="7.140625" style="58" customWidth="1"/>
    <col min="14099" max="14099" width="12.28515625" style="58" bestFit="1" customWidth="1"/>
    <col min="14100" max="14100" width="8.140625" style="58" customWidth="1"/>
    <col min="14101" max="14101" width="11.5703125" style="58" customWidth="1"/>
    <col min="14102" max="14102" width="7.5703125" style="58" customWidth="1"/>
    <col min="14103" max="14103" width="14.42578125" style="58" bestFit="1" customWidth="1"/>
    <col min="14104" max="14105" width="6.140625" style="58" customWidth="1"/>
    <col min="14106" max="14106" width="10.28515625" style="58" customWidth="1"/>
    <col min="14107" max="14107" width="10.28515625" style="58" bestFit="1" customWidth="1"/>
    <col min="14108" max="14338" width="9.140625" style="58"/>
    <col min="14339" max="14340" width="12.7109375" style="58" customWidth="1"/>
    <col min="14341" max="14341" width="10.5703125" style="58" bestFit="1" customWidth="1"/>
    <col min="14342" max="14342" width="9.42578125" style="58" bestFit="1" customWidth="1"/>
    <col min="14343" max="14343" width="9.28515625" style="58" customWidth="1"/>
    <col min="14344" max="14344" width="9.140625" style="58"/>
    <col min="14345" max="14345" width="9.5703125" style="58" customWidth="1"/>
    <col min="14346" max="14346" width="7.5703125" style="58" bestFit="1" customWidth="1"/>
    <col min="14347" max="14347" width="6.5703125" style="58" bestFit="1" customWidth="1"/>
    <col min="14348" max="14348" width="7.5703125" style="58" customWidth="1"/>
    <col min="14349" max="14349" width="8.5703125" style="58" bestFit="1" customWidth="1"/>
    <col min="14350" max="14350" width="6.5703125" style="58" bestFit="1" customWidth="1"/>
    <col min="14351" max="14353" width="8.5703125" style="58" customWidth="1"/>
    <col min="14354" max="14354" width="7.140625" style="58" customWidth="1"/>
    <col min="14355" max="14355" width="12.28515625" style="58" bestFit="1" customWidth="1"/>
    <col min="14356" max="14356" width="8.140625" style="58" customWidth="1"/>
    <col min="14357" max="14357" width="11.5703125" style="58" customWidth="1"/>
    <col min="14358" max="14358" width="7.5703125" style="58" customWidth="1"/>
    <col min="14359" max="14359" width="14.42578125" style="58" bestFit="1" customWidth="1"/>
    <col min="14360" max="14361" width="6.140625" style="58" customWidth="1"/>
    <col min="14362" max="14362" width="10.28515625" style="58" customWidth="1"/>
    <col min="14363" max="14363" width="10.28515625" style="58" bestFit="1" customWidth="1"/>
    <col min="14364" max="14594" width="9.140625" style="58"/>
    <col min="14595" max="14596" width="12.7109375" style="58" customWidth="1"/>
    <col min="14597" max="14597" width="10.5703125" style="58" bestFit="1" customWidth="1"/>
    <col min="14598" max="14598" width="9.42578125" style="58" bestFit="1" customWidth="1"/>
    <col min="14599" max="14599" width="9.28515625" style="58" customWidth="1"/>
    <col min="14600" max="14600" width="9.140625" style="58"/>
    <col min="14601" max="14601" width="9.5703125" style="58" customWidth="1"/>
    <col min="14602" max="14602" width="7.5703125" style="58" bestFit="1" customWidth="1"/>
    <col min="14603" max="14603" width="6.5703125" style="58" bestFit="1" customWidth="1"/>
    <col min="14604" max="14604" width="7.5703125" style="58" customWidth="1"/>
    <col min="14605" max="14605" width="8.5703125" style="58" bestFit="1" customWidth="1"/>
    <col min="14606" max="14606" width="6.5703125" style="58" bestFit="1" customWidth="1"/>
    <col min="14607" max="14609" width="8.5703125" style="58" customWidth="1"/>
    <col min="14610" max="14610" width="7.140625" style="58" customWidth="1"/>
    <col min="14611" max="14611" width="12.28515625" style="58" bestFit="1" customWidth="1"/>
    <col min="14612" max="14612" width="8.140625" style="58" customWidth="1"/>
    <col min="14613" max="14613" width="11.5703125" style="58" customWidth="1"/>
    <col min="14614" max="14614" width="7.5703125" style="58" customWidth="1"/>
    <col min="14615" max="14615" width="14.42578125" style="58" bestFit="1" customWidth="1"/>
    <col min="14616" max="14617" width="6.140625" style="58" customWidth="1"/>
    <col min="14618" max="14618" width="10.28515625" style="58" customWidth="1"/>
    <col min="14619" max="14619" width="10.28515625" style="58" bestFit="1" customWidth="1"/>
    <col min="14620" max="14850" width="9.140625" style="58"/>
    <col min="14851" max="14852" width="12.7109375" style="58" customWidth="1"/>
    <col min="14853" max="14853" width="10.5703125" style="58" bestFit="1" customWidth="1"/>
    <col min="14854" max="14854" width="9.42578125" style="58" bestFit="1" customWidth="1"/>
    <col min="14855" max="14855" width="9.28515625" style="58" customWidth="1"/>
    <col min="14856" max="14856" width="9.140625" style="58"/>
    <col min="14857" max="14857" width="9.5703125" style="58" customWidth="1"/>
    <col min="14858" max="14858" width="7.5703125" style="58" bestFit="1" customWidth="1"/>
    <col min="14859" max="14859" width="6.5703125" style="58" bestFit="1" customWidth="1"/>
    <col min="14860" max="14860" width="7.5703125" style="58" customWidth="1"/>
    <col min="14861" max="14861" width="8.5703125" style="58" bestFit="1" customWidth="1"/>
    <col min="14862" max="14862" width="6.5703125" style="58" bestFit="1" customWidth="1"/>
    <col min="14863" max="14865" width="8.5703125" style="58" customWidth="1"/>
    <col min="14866" max="14866" width="7.140625" style="58" customWidth="1"/>
    <col min="14867" max="14867" width="12.28515625" style="58" bestFit="1" customWidth="1"/>
    <col min="14868" max="14868" width="8.140625" style="58" customWidth="1"/>
    <col min="14869" max="14869" width="11.5703125" style="58" customWidth="1"/>
    <col min="14870" max="14870" width="7.5703125" style="58" customWidth="1"/>
    <col min="14871" max="14871" width="14.42578125" style="58" bestFit="1" customWidth="1"/>
    <col min="14872" max="14873" width="6.140625" style="58" customWidth="1"/>
    <col min="14874" max="14874" width="10.28515625" style="58" customWidth="1"/>
    <col min="14875" max="14875" width="10.28515625" style="58" bestFit="1" customWidth="1"/>
    <col min="14876" max="15106" width="9.140625" style="58"/>
    <col min="15107" max="15108" width="12.7109375" style="58" customWidth="1"/>
    <col min="15109" max="15109" width="10.5703125" style="58" bestFit="1" customWidth="1"/>
    <col min="15110" max="15110" width="9.42578125" style="58" bestFit="1" customWidth="1"/>
    <col min="15111" max="15111" width="9.28515625" style="58" customWidth="1"/>
    <col min="15112" max="15112" width="9.140625" style="58"/>
    <col min="15113" max="15113" width="9.5703125" style="58" customWidth="1"/>
    <col min="15114" max="15114" width="7.5703125" style="58" bestFit="1" customWidth="1"/>
    <col min="15115" max="15115" width="6.5703125" style="58" bestFit="1" customWidth="1"/>
    <col min="15116" max="15116" width="7.5703125" style="58" customWidth="1"/>
    <col min="15117" max="15117" width="8.5703125" style="58" bestFit="1" customWidth="1"/>
    <col min="15118" max="15118" width="6.5703125" style="58" bestFit="1" customWidth="1"/>
    <col min="15119" max="15121" width="8.5703125" style="58" customWidth="1"/>
    <col min="15122" max="15122" width="7.140625" style="58" customWidth="1"/>
    <col min="15123" max="15123" width="12.28515625" style="58" bestFit="1" customWidth="1"/>
    <col min="15124" max="15124" width="8.140625" style="58" customWidth="1"/>
    <col min="15125" max="15125" width="11.5703125" style="58" customWidth="1"/>
    <col min="15126" max="15126" width="7.5703125" style="58" customWidth="1"/>
    <col min="15127" max="15127" width="14.42578125" style="58" bestFit="1" customWidth="1"/>
    <col min="15128" max="15129" width="6.140625" style="58" customWidth="1"/>
    <col min="15130" max="15130" width="10.28515625" style="58" customWidth="1"/>
    <col min="15131" max="15131" width="10.28515625" style="58" bestFit="1" customWidth="1"/>
    <col min="15132" max="15362" width="9.140625" style="58"/>
    <col min="15363" max="15364" width="12.7109375" style="58" customWidth="1"/>
    <col min="15365" max="15365" width="10.5703125" style="58" bestFit="1" customWidth="1"/>
    <col min="15366" max="15366" width="9.42578125" style="58" bestFit="1" customWidth="1"/>
    <col min="15367" max="15367" width="9.28515625" style="58" customWidth="1"/>
    <col min="15368" max="15368" width="9.140625" style="58"/>
    <col min="15369" max="15369" width="9.5703125" style="58" customWidth="1"/>
    <col min="15370" max="15370" width="7.5703125" style="58" bestFit="1" customWidth="1"/>
    <col min="15371" max="15371" width="6.5703125" style="58" bestFit="1" customWidth="1"/>
    <col min="15372" max="15372" width="7.5703125" style="58" customWidth="1"/>
    <col min="15373" max="15373" width="8.5703125" style="58" bestFit="1" customWidth="1"/>
    <col min="15374" max="15374" width="6.5703125" style="58" bestFit="1" customWidth="1"/>
    <col min="15375" max="15377" width="8.5703125" style="58" customWidth="1"/>
    <col min="15378" max="15378" width="7.140625" style="58" customWidth="1"/>
    <col min="15379" max="15379" width="12.28515625" style="58" bestFit="1" customWidth="1"/>
    <col min="15380" max="15380" width="8.140625" style="58" customWidth="1"/>
    <col min="15381" max="15381" width="11.5703125" style="58" customWidth="1"/>
    <col min="15382" max="15382" width="7.5703125" style="58" customWidth="1"/>
    <col min="15383" max="15383" width="14.42578125" style="58" bestFit="1" customWidth="1"/>
    <col min="15384" max="15385" width="6.140625" style="58" customWidth="1"/>
    <col min="15386" max="15386" width="10.28515625" style="58" customWidth="1"/>
    <col min="15387" max="15387" width="10.28515625" style="58" bestFit="1" customWidth="1"/>
    <col min="15388" max="15618" width="9.140625" style="58"/>
    <col min="15619" max="15620" width="12.7109375" style="58" customWidth="1"/>
    <col min="15621" max="15621" width="10.5703125" style="58" bestFit="1" customWidth="1"/>
    <col min="15622" max="15622" width="9.42578125" style="58" bestFit="1" customWidth="1"/>
    <col min="15623" max="15623" width="9.28515625" style="58" customWidth="1"/>
    <col min="15624" max="15624" width="9.140625" style="58"/>
    <col min="15625" max="15625" width="9.5703125" style="58" customWidth="1"/>
    <col min="15626" max="15626" width="7.5703125" style="58" bestFit="1" customWidth="1"/>
    <col min="15627" max="15627" width="6.5703125" style="58" bestFit="1" customWidth="1"/>
    <col min="15628" max="15628" width="7.5703125" style="58" customWidth="1"/>
    <col min="15629" max="15629" width="8.5703125" style="58" bestFit="1" customWidth="1"/>
    <col min="15630" max="15630" width="6.5703125" style="58" bestFit="1" customWidth="1"/>
    <col min="15631" max="15633" width="8.5703125" style="58" customWidth="1"/>
    <col min="15634" max="15634" width="7.140625" style="58" customWidth="1"/>
    <col min="15635" max="15635" width="12.28515625" style="58" bestFit="1" customWidth="1"/>
    <col min="15636" max="15636" width="8.140625" style="58" customWidth="1"/>
    <col min="15637" max="15637" width="11.5703125" style="58" customWidth="1"/>
    <col min="15638" max="15638" width="7.5703125" style="58" customWidth="1"/>
    <col min="15639" max="15639" width="14.42578125" style="58" bestFit="1" customWidth="1"/>
    <col min="15640" max="15641" width="6.140625" style="58" customWidth="1"/>
    <col min="15642" max="15642" width="10.28515625" style="58" customWidth="1"/>
    <col min="15643" max="15643" width="10.28515625" style="58" bestFit="1" customWidth="1"/>
    <col min="15644" max="15874" width="9.140625" style="58"/>
    <col min="15875" max="15876" width="12.7109375" style="58" customWidth="1"/>
    <col min="15877" max="15877" width="10.5703125" style="58" bestFit="1" customWidth="1"/>
    <col min="15878" max="15878" width="9.42578125" style="58" bestFit="1" customWidth="1"/>
    <col min="15879" max="15879" width="9.28515625" style="58" customWidth="1"/>
    <col min="15880" max="15880" width="9.140625" style="58"/>
    <col min="15881" max="15881" width="9.5703125" style="58" customWidth="1"/>
    <col min="15882" max="15882" width="7.5703125" style="58" bestFit="1" customWidth="1"/>
    <col min="15883" max="15883" width="6.5703125" style="58" bestFit="1" customWidth="1"/>
    <col min="15884" max="15884" width="7.5703125" style="58" customWidth="1"/>
    <col min="15885" max="15885" width="8.5703125" style="58" bestFit="1" customWidth="1"/>
    <col min="15886" max="15886" width="6.5703125" style="58" bestFit="1" customWidth="1"/>
    <col min="15887" max="15889" width="8.5703125" style="58" customWidth="1"/>
    <col min="15890" max="15890" width="7.140625" style="58" customWidth="1"/>
    <col min="15891" max="15891" width="12.28515625" style="58" bestFit="1" customWidth="1"/>
    <col min="15892" max="15892" width="8.140625" style="58" customWidth="1"/>
    <col min="15893" max="15893" width="11.5703125" style="58" customWidth="1"/>
    <col min="15894" max="15894" width="7.5703125" style="58" customWidth="1"/>
    <col min="15895" max="15895" width="14.42578125" style="58" bestFit="1" customWidth="1"/>
    <col min="15896" max="15897" width="6.140625" style="58" customWidth="1"/>
    <col min="15898" max="15898" width="10.28515625" style="58" customWidth="1"/>
    <col min="15899" max="15899" width="10.28515625" style="58" bestFit="1" customWidth="1"/>
    <col min="15900" max="16130" width="9.140625" style="58"/>
    <col min="16131" max="16132" width="12.7109375" style="58" customWidth="1"/>
    <col min="16133" max="16133" width="10.5703125" style="58" bestFit="1" customWidth="1"/>
    <col min="16134" max="16134" width="9.42578125" style="58" bestFit="1" customWidth="1"/>
    <col min="16135" max="16135" width="9.28515625" style="58" customWidth="1"/>
    <col min="16136" max="16136" width="9.140625" style="58"/>
    <col min="16137" max="16137" width="9.5703125" style="58" customWidth="1"/>
    <col min="16138" max="16138" width="7.5703125" style="58" bestFit="1" customWidth="1"/>
    <col min="16139" max="16139" width="6.5703125" style="58" bestFit="1" customWidth="1"/>
    <col min="16140" max="16140" width="7.5703125" style="58" customWidth="1"/>
    <col min="16141" max="16141" width="8.5703125" style="58" bestFit="1" customWidth="1"/>
    <col min="16142" max="16142" width="6.5703125" style="58" bestFit="1" customWidth="1"/>
    <col min="16143" max="16145" width="8.5703125" style="58" customWidth="1"/>
    <col min="16146" max="16146" width="7.140625" style="58" customWidth="1"/>
    <col min="16147" max="16147" width="12.28515625" style="58" bestFit="1" customWidth="1"/>
    <col min="16148" max="16148" width="8.140625" style="58" customWidth="1"/>
    <col min="16149" max="16149" width="11.5703125" style="58" customWidth="1"/>
    <col min="16150" max="16150" width="7.5703125" style="58" customWidth="1"/>
    <col min="16151" max="16151" width="14.42578125" style="58" bestFit="1" customWidth="1"/>
    <col min="16152" max="16153" width="6.140625" style="58" customWidth="1"/>
    <col min="16154" max="16154" width="10.28515625" style="58" customWidth="1"/>
    <col min="16155" max="16155" width="10.28515625" style="58" bestFit="1" customWidth="1"/>
    <col min="16156" max="16384" width="9.140625" style="58"/>
  </cols>
  <sheetData>
    <row r="1" spans="1:34" ht="15" customHeight="1" x14ac:dyDescent="0.2">
      <c r="C1" s="59" t="s">
        <v>1214</v>
      </c>
      <c r="S1" s="59" t="s">
        <v>1215</v>
      </c>
      <c r="W1" s="59" t="s">
        <v>1216</v>
      </c>
      <c r="Z1" s="60" t="s">
        <v>1217</v>
      </c>
      <c r="AH1" s="83" t="s">
        <v>1246</v>
      </c>
    </row>
    <row r="2" spans="1:34" s="64" customFormat="1" ht="15" customHeight="1" x14ac:dyDescent="0.3">
      <c r="A2" s="61" t="s">
        <v>1218</v>
      </c>
      <c r="B2" s="61" t="s">
        <v>1219</v>
      </c>
      <c r="C2" s="62" t="s">
        <v>1220</v>
      </c>
      <c r="D2" s="61" t="s">
        <v>1221</v>
      </c>
      <c r="E2" s="61" t="s">
        <v>1247</v>
      </c>
      <c r="F2" s="61" t="s">
        <v>1248</v>
      </c>
      <c r="G2" s="61" t="s">
        <v>1222</v>
      </c>
      <c r="H2" s="62" t="s">
        <v>1223</v>
      </c>
      <c r="I2" s="61" t="s">
        <v>1224</v>
      </c>
      <c r="J2" s="61" t="s">
        <v>1225</v>
      </c>
      <c r="K2" s="61" t="s">
        <v>1226</v>
      </c>
      <c r="L2" s="61" t="s">
        <v>1227</v>
      </c>
      <c r="M2" s="61" t="s">
        <v>1228</v>
      </c>
      <c r="N2" s="61" t="s">
        <v>1229</v>
      </c>
      <c r="O2" s="61" t="s">
        <v>1230</v>
      </c>
      <c r="P2" s="61" t="s">
        <v>1231</v>
      </c>
      <c r="Q2" s="61" t="s">
        <v>1232</v>
      </c>
      <c r="R2" s="61" t="s">
        <v>1233</v>
      </c>
      <c r="S2" s="62" t="s">
        <v>1234</v>
      </c>
      <c r="T2" s="61" t="s">
        <v>1235</v>
      </c>
      <c r="U2" s="61" t="s">
        <v>1236</v>
      </c>
      <c r="V2" s="61" t="s">
        <v>1237</v>
      </c>
      <c r="W2" s="62" t="s">
        <v>1238</v>
      </c>
      <c r="X2" s="63" t="s">
        <v>1239</v>
      </c>
      <c r="Y2" s="61" t="s">
        <v>1235</v>
      </c>
      <c r="Z2" s="61" t="s">
        <v>1240</v>
      </c>
      <c r="AA2" s="61"/>
      <c r="AB2" s="61"/>
      <c r="AC2" s="61"/>
      <c r="AG2"/>
      <c r="AH2" s="83"/>
    </row>
    <row r="3" spans="1:34" s="71" customFormat="1" ht="15" customHeight="1" x14ac:dyDescent="0.2">
      <c r="A3" s="65" t="s">
        <v>1241</v>
      </c>
      <c r="B3" s="65" t="s">
        <v>1242</v>
      </c>
      <c r="C3" s="66">
        <v>30000.625</v>
      </c>
      <c r="D3" s="65">
        <v>0.1</v>
      </c>
      <c r="E3" s="65" t="s">
        <v>1249</v>
      </c>
      <c r="F3" s="65" t="s">
        <v>1250</v>
      </c>
      <c r="G3" s="67" cm="1">
        <f t="array" ref="G3">nu(AVERAGE(dd(E3),dd(F3)))</f>
        <v>6384327.4400097886</v>
      </c>
      <c r="H3" s="67">
        <f>-((D3^2*C3^3)/(24*G3^2))</f>
        <v>-2.7602559801854462E-4</v>
      </c>
      <c r="I3" s="67">
        <f>C3+H3</f>
        <v>30000.624723974401</v>
      </c>
      <c r="J3" s="66">
        <v>150</v>
      </c>
      <c r="K3" s="66">
        <v>1.6</v>
      </c>
      <c r="L3" s="67">
        <f>J3+K3</f>
        <v>151.6</v>
      </c>
      <c r="M3" s="66">
        <v>200</v>
      </c>
      <c r="N3" s="66">
        <v>1.6</v>
      </c>
      <c r="O3" s="67">
        <f>M3+N3</f>
        <v>201.6</v>
      </c>
      <c r="P3" s="67">
        <f>AVERAGE(L3,O3)</f>
        <v>176.6</v>
      </c>
      <c r="Q3" s="67">
        <f>AVERAGE(J3,M3)</f>
        <v>175</v>
      </c>
      <c r="R3" s="68">
        <f>(I3^2-(L3-O3)^2)^0.5-I3</f>
        <v>-4.1665827946417267E-2</v>
      </c>
      <c r="S3" s="67">
        <f>I3+R3</f>
        <v>30000.583058146454</v>
      </c>
      <c r="T3" s="69">
        <f>-(P3/G3*S3)</f>
        <v>-0.82986078296456234</v>
      </c>
      <c r="U3" s="69">
        <f>S3+T3</f>
        <v>29999.75319736349</v>
      </c>
      <c r="V3" s="69">
        <f>U3^3/(24*G3^2)</f>
        <v>2.7600153523472302E-2</v>
      </c>
      <c r="W3" s="67">
        <f>U3+V3</f>
        <v>29999.780797517014</v>
      </c>
      <c r="X3" s="70">
        <f>S3-((S3^2+(J3-M3)^2)^0.5)</f>
        <v>-4.1665827946417267E-2</v>
      </c>
      <c r="Y3" s="67">
        <f>-((Q3/G3)*S3)</f>
        <v>-0.82234222547450975</v>
      </c>
      <c r="Z3" s="67">
        <f>U3-X3-Y3</f>
        <v>30000.617205416911</v>
      </c>
      <c r="AG3" s="82" t="s">
        <v>1243</v>
      </c>
      <c r="AH3" s="81">
        <v>0.1</v>
      </c>
    </row>
    <row r="4" spans="1:34" ht="15" customHeight="1" x14ac:dyDescent="0.2">
      <c r="A4" s="65" t="s">
        <v>1241</v>
      </c>
      <c r="B4" s="65" t="s">
        <v>1242</v>
      </c>
      <c r="C4" s="72"/>
      <c r="D4" s="73"/>
      <c r="E4" s="65" t="s">
        <v>1249</v>
      </c>
      <c r="F4" s="65" t="s">
        <v>1250</v>
      </c>
      <c r="G4" s="67" cm="1">
        <f t="array" ref="G4">nu(AVERAGE(dd(E4),dd(F4)))</f>
        <v>6384327.4400097886</v>
      </c>
      <c r="H4" s="73"/>
      <c r="I4" s="67">
        <f>Z4</f>
        <v>2000.6249023742557</v>
      </c>
      <c r="J4" s="66">
        <v>150</v>
      </c>
      <c r="K4" s="73"/>
      <c r="L4" s="67">
        <f>J4+K4</f>
        <v>150</v>
      </c>
      <c r="M4" s="66">
        <v>200</v>
      </c>
      <c r="N4" s="73"/>
      <c r="O4" s="67">
        <f>M4+N4</f>
        <v>200</v>
      </c>
      <c r="P4" s="67">
        <f>AVERAGE(L4,O4)</f>
        <v>175</v>
      </c>
      <c r="Q4" s="67">
        <f>AVERAGE(J4,M4)</f>
        <v>175</v>
      </c>
      <c r="R4" s="68">
        <f>(I4^2-(L4-O4)^2)^0.5-I4</f>
        <v>-0.62490237425549822</v>
      </c>
      <c r="S4" s="66">
        <v>2000</v>
      </c>
      <c r="T4" s="69">
        <f>-(P4/G4*S4)</f>
        <v>-5.4821749556044602E-2</v>
      </c>
      <c r="U4" s="69">
        <f>S4+T4</f>
        <v>1999.9451782504439</v>
      </c>
      <c r="V4" s="69">
        <f>U4^3/(24*G4^2)</f>
        <v>8.1773526183369714E-6</v>
      </c>
      <c r="W4" s="67">
        <f>U4+V4</f>
        <v>1999.9451864277964</v>
      </c>
      <c r="X4" s="74"/>
      <c r="Y4" s="75"/>
      <c r="Z4" s="67">
        <f>(S4^2+(J4-M4)^2)^0.5</f>
        <v>2000.6249023742557</v>
      </c>
      <c r="AG4" s="82" t="s">
        <v>1244</v>
      </c>
      <c r="AH4" s="81">
        <v>0.15</v>
      </c>
    </row>
    <row r="5" spans="1:34" ht="15" customHeight="1" x14ac:dyDescent="0.2">
      <c r="AG5" s="82" t="s">
        <v>1245</v>
      </c>
      <c r="AH5" s="81">
        <v>0.2</v>
      </c>
    </row>
    <row r="9" spans="1:34" ht="15" customHeight="1" x14ac:dyDescent="0.2">
      <c r="D9" s="77"/>
      <c r="E9" s="77"/>
      <c r="F9" s="77"/>
    </row>
    <row r="10" spans="1:34" ht="15" customHeight="1" x14ac:dyDescent="0.2">
      <c r="D10" s="78"/>
      <c r="E10" s="78"/>
      <c r="F10" s="78"/>
    </row>
    <row r="11" spans="1:34" ht="15" customHeight="1" x14ac:dyDescent="0.2">
      <c r="D11" s="79"/>
      <c r="E11" s="79"/>
      <c r="F11" s="79"/>
    </row>
    <row r="18" spans="19:19" ht="15" customHeight="1" x14ac:dyDescent="0.2">
      <c r="S18" s="80"/>
    </row>
  </sheetData>
  <mergeCells count="1">
    <mergeCell ref="AH1:AH2"/>
  </mergeCells>
  <pageMargins left="0.75" right="0.75" top="1" bottom="1" header="0.5" footer="0.5"/>
  <pageSetup paperSize="9" orientation="landscape" r:id="rId1"/>
  <headerFooter alignWithMargins="0">
    <oddFooter>&amp;RAppendix 1319
22/06/2001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H7"/>
  <sheetViews>
    <sheetView topLeftCell="A4" zoomScale="90" zoomScaleNormal="90" workbookViewId="0">
      <selection activeCell="E11" sqref="E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latsevenpara(A6,E6,B6,C6,D6)</f>
        <v>-23 40 12.39650</v>
      </c>
      <c r="G6" s="3" t="str">
        <f>lngsevenpara(A6,E6,B6,C6,D6)</f>
        <v>133 53 07.87779</v>
      </c>
      <c r="H6" s="44">
        <f>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2024-09-05T03:45:13Z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