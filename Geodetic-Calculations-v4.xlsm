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ata\Development\Landgate.Geodetic\Geodetic\"/>
    </mc:Choice>
  </mc:AlternateContent>
  <xr:revisionPtr revIDLastSave="0" documentId="13_ncr:1_{B51A33A7-9C8C-49F9-8628-AABECCC9D120}" xr6:coauthVersionLast="47" xr6:coauthVersionMax="47" xr10:uidLastSave="{00000000-0000-0000-0000-000000000000}"/>
  <bookViews>
    <workbookView xWindow="-28920" yWindow="-120" windowWidth="29040" windowHeight="15840" xr2:uid="{1A5387FD-7800-4803-B177-990005C8D4F3}"/>
  </bookViews>
  <sheets>
    <sheet name="Landgate Project Grids" sheetId="1" r:id="rId1"/>
    <sheet name="MRWA Project Grids" sheetId="2" r:id="rId2"/>
    <sheet name="GRS80 Geographic Calculations" sheetId="3" r:id="rId3"/>
    <sheet name="EDM Reductions" sheetId="4" r:id="rId4"/>
    <sheet name="7 Parameter Transformations" sheetId="5" r:id="rId5"/>
  </sheets>
  <functionGroups builtInGroupCount="19"/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4" i="4" l="1"/>
  <c r="Q4" i="4"/>
  <c r="O4" i="4"/>
  <c r="L4" i="4"/>
  <c r="P4" i="4" s="1"/>
  <c r="I4" i="4"/>
  <c r="R4" i="4" s="1"/>
  <c r="Q3" i="4"/>
  <c r="O3" i="4"/>
  <c r="L3" i="4"/>
  <c r="P3" i="4" s="1"/>
  <c r="J8" i="3"/>
  <c r="G3" i="4" a="1"/>
  <c r="G4" i="4" a="1"/>
  <c r="I8" i="3"/>
  <c r="H8" i="3"/>
  <c r="G8" i="3"/>
  <c r="K8" i="3"/>
  <c r="L8" i="3"/>
  <c r="G4" i="4" l="1"/>
  <c r="G3" i="4"/>
  <c r="T4" i="4"/>
  <c r="U4" i="4" s="1"/>
  <c r="V4" i="4" l="1"/>
  <c r="W4" i="4" s="1"/>
  <c r="H3" i="4"/>
  <c r="I3" i="4" s="1"/>
  <c r="R3" i="4" l="1"/>
  <c r="S3" i="4" s="1"/>
  <c r="X3" i="4" l="1"/>
  <c r="T3" i="4"/>
  <c r="U3" i="4" s="1"/>
  <c r="Y3" i="4"/>
  <c r="Z3" i="4" l="1"/>
  <c r="V3" i="4"/>
  <c r="W3" i="4" s="1"/>
  <c r="H318" i="2"/>
  <c r="G46" i="1"/>
  <c r="F255" i="2"/>
  <c r="D59" i="1"/>
  <c r="D62" i="2"/>
  <c r="E157" i="2"/>
  <c r="H39" i="1"/>
  <c r="H264" i="2"/>
  <c r="D3" i="2"/>
  <c r="F44" i="2"/>
  <c r="D256" i="2"/>
  <c r="D221" i="2"/>
  <c r="H21" i="2"/>
  <c r="G23" i="2"/>
  <c r="D63" i="2"/>
  <c r="D320" i="2"/>
  <c r="D115" i="2"/>
  <c r="F217" i="2"/>
  <c r="H172" i="2"/>
  <c r="G27" i="2"/>
  <c r="F47" i="2"/>
  <c r="G122" i="2"/>
  <c r="H22" i="2"/>
  <c r="D342" i="2"/>
  <c r="D76" i="2"/>
  <c r="E30" i="1"/>
  <c r="E15" i="2"/>
  <c r="H120" i="2"/>
  <c r="D255" i="2"/>
  <c r="G270" i="2"/>
  <c r="F48" i="2"/>
  <c r="G61" i="2"/>
  <c r="G19" i="1"/>
  <c r="H57" i="1"/>
  <c r="H61" i="1"/>
  <c r="G5" i="2"/>
  <c r="E131" i="2"/>
  <c r="G42" i="1"/>
  <c r="F331" i="2"/>
  <c r="F222" i="2"/>
  <c r="F282" i="2"/>
  <c r="F140" i="2"/>
  <c r="D117" i="2"/>
  <c r="F38" i="1"/>
  <c r="G158" i="2"/>
  <c r="H112" i="2"/>
  <c r="E41" i="2"/>
  <c r="D246" i="2"/>
  <c r="D252" i="2"/>
  <c r="D5" i="2"/>
  <c r="E78" i="2"/>
  <c r="G134" i="2"/>
  <c r="G80" i="2"/>
  <c r="G232" i="2"/>
  <c r="D83" i="2"/>
  <c r="H97" i="2"/>
  <c r="G168" i="2"/>
  <c r="H170" i="2"/>
  <c r="H27" i="1"/>
  <c r="E44" i="1"/>
  <c r="E31" i="2"/>
  <c r="F319" i="2"/>
  <c r="E203" i="2"/>
  <c r="D340" i="2"/>
  <c r="F23" i="2"/>
  <c r="F152" i="2"/>
  <c r="H83" i="2"/>
  <c r="D55" i="1"/>
  <c r="H16" i="2"/>
  <c r="E113" i="2"/>
  <c r="E242" i="2"/>
  <c r="F29" i="1"/>
  <c r="H54" i="2"/>
  <c r="F176" i="2"/>
  <c r="F37" i="1"/>
  <c r="D58" i="1"/>
  <c r="H261" i="2"/>
  <c r="F12" i="1"/>
  <c r="D72" i="2"/>
  <c r="G214" i="2"/>
  <c r="H8" i="1"/>
  <c r="G67" i="2"/>
  <c r="H149" i="2"/>
  <c r="H118" i="2"/>
  <c r="F244" i="2"/>
  <c r="F14" i="1"/>
  <c r="D254" i="2"/>
  <c r="G88" i="2"/>
  <c r="H164" i="2"/>
  <c r="F56" i="1"/>
  <c r="F123" i="2"/>
  <c r="F233" i="2"/>
  <c r="D220" i="2"/>
  <c r="E53" i="2"/>
  <c r="F338" i="2"/>
  <c r="D126" i="2"/>
  <c r="H125" i="2"/>
  <c r="H49" i="1"/>
  <c r="F194" i="2"/>
  <c r="F38" i="2"/>
  <c r="H84" i="2"/>
  <c r="G58" i="2"/>
  <c r="F127" i="2"/>
  <c r="F131" i="2"/>
  <c r="G281" i="2"/>
  <c r="D324" i="2"/>
  <c r="G230" i="2"/>
  <c r="F137" i="2"/>
  <c r="G13" i="2"/>
  <c r="H206" i="2"/>
  <c r="E114" i="2"/>
  <c r="F8" i="2"/>
  <c r="G263" i="2"/>
  <c r="D182" i="2"/>
  <c r="D240" i="2"/>
  <c r="E91" i="2"/>
  <c r="G41" i="2"/>
  <c r="H52" i="2"/>
  <c r="E58" i="1"/>
  <c r="G303" i="2"/>
  <c r="D130" i="2"/>
  <c r="D18" i="1"/>
  <c r="H31" i="2"/>
  <c r="H300" i="2"/>
  <c r="H227" i="2"/>
  <c r="F164" i="2"/>
  <c r="E46" i="1"/>
  <c r="F179" i="2"/>
  <c r="F139" i="2"/>
  <c r="F187" i="2"/>
  <c r="H39" i="2"/>
  <c r="E57" i="2"/>
  <c r="F77" i="2"/>
  <c r="H122" i="2"/>
  <c r="H278" i="2"/>
  <c r="G30" i="2"/>
  <c r="D269" i="2"/>
  <c r="F296" i="2"/>
  <c r="E256" i="2"/>
  <c r="D39" i="2"/>
  <c r="E49" i="1"/>
  <c r="H94" i="2"/>
  <c r="F108" i="2"/>
  <c r="E224" i="2"/>
  <c r="F180" i="2"/>
  <c r="F52" i="1"/>
  <c r="E255" i="2"/>
  <c r="F168" i="2"/>
  <c r="F46" i="1"/>
  <c r="D147" i="2"/>
  <c r="F41" i="2"/>
  <c r="D155" i="2"/>
  <c r="D6" i="1"/>
  <c r="E90" i="2"/>
  <c r="D46" i="1"/>
  <c r="F286" i="2"/>
  <c r="E261" i="2"/>
  <c r="G106" i="2"/>
  <c r="D266" i="2"/>
  <c r="G185" i="2"/>
  <c r="G213" i="2"/>
  <c r="G288" i="2"/>
  <c r="D4" i="2"/>
  <c r="H191" i="2"/>
  <c r="G114" i="2"/>
  <c r="F175" i="2"/>
  <c r="E254" i="2"/>
  <c r="H47" i="1"/>
  <c r="E250" i="2"/>
  <c r="G193" i="2"/>
  <c r="H140" i="2"/>
  <c r="F52" i="2"/>
  <c r="H286" i="2"/>
  <c r="F28" i="1"/>
  <c r="G48" i="1"/>
  <c r="D137" i="2"/>
  <c r="H47" i="2"/>
  <c r="D212" i="2"/>
  <c r="G7" i="1"/>
  <c r="E25" i="2"/>
  <c r="F89" i="2"/>
  <c r="H265" i="2"/>
  <c r="H115" i="2"/>
  <c r="G58" i="1"/>
  <c r="D236" i="2"/>
  <c r="D61" i="2"/>
  <c r="F136" i="2"/>
  <c r="F64" i="2"/>
  <c r="D180" i="2"/>
  <c r="D235" i="2"/>
  <c r="E294" i="2"/>
  <c r="F90" i="2"/>
  <c r="H44" i="2"/>
  <c r="E59" i="1"/>
  <c r="H223" i="2"/>
  <c r="F6" i="5"/>
  <c r="D92" i="2"/>
  <c r="H194" i="2"/>
  <c r="E295" i="2"/>
  <c r="E153" i="2"/>
  <c r="F50" i="2"/>
  <c r="D224" i="2"/>
  <c r="H190" i="2"/>
  <c r="H3" i="1"/>
  <c r="E33" i="2"/>
  <c r="G97" i="2"/>
  <c r="D124" i="2"/>
  <c r="G34" i="1"/>
  <c r="E318" i="2"/>
  <c r="H48" i="2"/>
  <c r="H56" i="2"/>
  <c r="E297" i="2"/>
  <c r="F199" i="2"/>
  <c r="G262" i="2"/>
  <c r="F332" i="2"/>
  <c r="E83" i="2"/>
  <c r="E58" i="2"/>
  <c r="D257" i="2"/>
  <c r="D168" i="2"/>
  <c r="H157" i="2"/>
  <c r="J46" i="1"/>
  <c r="F298" i="2"/>
  <c r="J255" i="2"/>
  <c r="G340" i="2"/>
  <c r="F166" i="2"/>
  <c r="E54" i="2"/>
  <c r="G121" i="2"/>
  <c r="F315" i="2"/>
  <c r="H179" i="2"/>
  <c r="D262" i="2"/>
  <c r="D299" i="2"/>
  <c r="H327" i="2"/>
  <c r="H256" i="2"/>
  <c r="F280" i="2"/>
  <c r="F54" i="2"/>
  <c r="D200" i="2"/>
  <c r="G55" i="2"/>
  <c r="H175" i="2"/>
  <c r="E162" i="2"/>
  <c r="G309" i="2"/>
  <c r="D27" i="2"/>
  <c r="F29" i="2"/>
  <c r="G40" i="1"/>
  <c r="F67" i="2"/>
  <c r="E302" i="2"/>
  <c r="H148" i="2"/>
  <c r="E259" i="2"/>
  <c r="H102" i="2"/>
  <c r="H25" i="1"/>
  <c r="G249" i="2"/>
  <c r="H181" i="2"/>
  <c r="F103" i="2"/>
  <c r="H46" i="2"/>
  <c r="F100" i="2"/>
  <c r="H51" i="2"/>
  <c r="D128" i="2"/>
  <c r="F5" i="1"/>
  <c r="G241" i="2"/>
  <c r="F200" i="2"/>
  <c r="D26" i="2"/>
  <c r="H254" i="2"/>
  <c r="G113" i="2"/>
  <c r="F146" i="2"/>
  <c r="G143" i="2"/>
  <c r="E277" i="2"/>
  <c r="G311" i="2"/>
  <c r="G299" i="2"/>
  <c r="F316" i="2"/>
  <c r="D281" i="2"/>
  <c r="E314" i="2"/>
  <c r="D88" i="2"/>
  <c r="F204" i="2"/>
  <c r="G257" i="2"/>
  <c r="G76" i="2"/>
  <c r="D328" i="2"/>
  <c r="G59" i="1"/>
  <c r="D70" i="2"/>
  <c r="F96" i="2"/>
  <c r="H71" i="2"/>
  <c r="F51" i="1"/>
  <c r="E70" i="2"/>
  <c r="E229" i="2"/>
  <c r="H43" i="2"/>
  <c r="G47" i="1"/>
  <c r="F112" i="2"/>
  <c r="G314" i="2"/>
  <c r="H228" i="2"/>
  <c r="D89" i="2"/>
  <c r="F35" i="2"/>
  <c r="H153" i="2"/>
  <c r="E7" i="2"/>
  <c r="F142" i="2"/>
  <c r="F249" i="2"/>
  <c r="E39" i="2"/>
  <c r="E341" i="2"/>
  <c r="G132" i="2"/>
  <c r="G171" i="2"/>
  <c r="G81" i="2"/>
  <c r="D214" i="2"/>
  <c r="G236" i="2"/>
  <c r="G331" i="2"/>
  <c r="D24" i="1"/>
  <c r="H167" i="2"/>
  <c r="F236" i="2"/>
  <c r="G242" i="2"/>
  <c r="H98" i="2"/>
  <c r="H113" i="2"/>
  <c r="H240" i="2"/>
  <c r="G7" i="2"/>
  <c r="F8" i="1"/>
  <c r="G164" i="2"/>
  <c r="E135" i="2"/>
  <c r="E128" i="2"/>
  <c r="G33" i="1"/>
  <c r="F91" i="2"/>
  <c r="E17" i="2"/>
  <c r="E335" i="2"/>
  <c r="G127" i="2"/>
  <c r="E41" i="1"/>
  <c r="E123" i="2"/>
  <c r="E20" i="2"/>
  <c r="H339" i="2"/>
  <c r="G36" i="1"/>
  <c r="D29" i="2"/>
  <c r="F285" i="2"/>
  <c r="E16" i="1"/>
  <c r="H253" i="2"/>
  <c r="E53" i="1"/>
  <c r="G200" i="2"/>
  <c r="G296" i="2"/>
  <c r="E290" i="2"/>
  <c r="H307" i="2"/>
  <c r="D249" i="2"/>
  <c r="D150" i="2"/>
  <c r="F227" i="2"/>
  <c r="D323" i="2"/>
  <c r="G12" i="2"/>
  <c r="F201" i="2"/>
  <c r="G17" i="2"/>
  <c r="E214" i="2"/>
  <c r="F12" i="2"/>
  <c r="D301" i="2"/>
  <c r="F31" i="1"/>
  <c r="H296" i="2"/>
  <c r="F341" i="2"/>
  <c r="G217" i="2"/>
  <c r="F250" i="2"/>
  <c r="G188" i="2"/>
  <c r="G248" i="2"/>
  <c r="F234" i="2"/>
  <c r="F215" i="2"/>
  <c r="F182" i="2"/>
  <c r="G327" i="2"/>
  <c r="F223" i="2"/>
  <c r="E258" i="2"/>
  <c r="E40" i="2"/>
  <c r="D179" i="2"/>
  <c r="D48" i="1"/>
  <c r="D282" i="2"/>
  <c r="G139" i="2"/>
  <c r="F98" i="2"/>
  <c r="F299" i="2"/>
  <c r="D313" i="2"/>
  <c r="E194" i="2"/>
  <c r="H55" i="1"/>
  <c r="G31" i="2"/>
  <c r="E327" i="2"/>
  <c r="F7" i="1"/>
  <c r="H218" i="2"/>
  <c r="G218" i="2"/>
  <c r="H77" i="2"/>
  <c r="D127" i="2"/>
  <c r="G62" i="2"/>
  <c r="E200" i="2"/>
  <c r="G290" i="2"/>
  <c r="D132" i="2"/>
  <c r="E37" i="2"/>
  <c r="F151" i="2"/>
  <c r="G124" i="2"/>
  <c r="G51" i="2"/>
  <c r="F228" i="2"/>
  <c r="E34" i="1"/>
  <c r="F320" i="2"/>
  <c r="D157" i="2"/>
  <c r="D57" i="1"/>
  <c r="H37" i="2"/>
  <c r="E172" i="2"/>
  <c r="H130" i="2"/>
  <c r="G216" i="2"/>
  <c r="H150" i="2"/>
  <c r="H322" i="2"/>
  <c r="H235" i="2"/>
  <c r="H25" i="2"/>
  <c r="H60" i="1"/>
  <c r="F45" i="1"/>
  <c r="F154" i="2"/>
  <c r="H284" i="2"/>
  <c r="H91" i="2"/>
  <c r="H189" i="2"/>
  <c r="G6" i="1"/>
  <c r="D45" i="2"/>
  <c r="H161" i="2"/>
  <c r="E189" i="2"/>
  <c r="F9" i="2"/>
  <c r="F102" i="2"/>
  <c r="G167" i="2"/>
  <c r="E244" i="2"/>
  <c r="E303" i="2"/>
  <c r="H304" i="2"/>
  <c r="F263" i="2"/>
  <c r="H14" i="1"/>
  <c r="G19" i="2"/>
  <c r="D42" i="1"/>
  <c r="D290" i="2"/>
  <c r="G105" i="2"/>
  <c r="G169" i="2"/>
  <c r="D18" i="2"/>
  <c r="H151" i="2"/>
  <c r="H93" i="2"/>
  <c r="D279" i="2"/>
  <c r="H34" i="2"/>
  <c r="D181" i="2"/>
  <c r="H154" i="2"/>
  <c r="D215" i="2"/>
  <c r="G245" i="2"/>
  <c r="F32" i="2"/>
  <c r="H70" i="2"/>
  <c r="F340" i="2"/>
  <c r="E154" i="2"/>
  <c r="F6" i="1"/>
  <c r="G129" i="2"/>
  <c r="H180" i="2"/>
  <c r="G59" i="2"/>
  <c r="D211" i="2"/>
  <c r="H312" i="2"/>
  <c r="D175" i="2"/>
  <c r="F71" i="2"/>
  <c r="G289" i="2"/>
  <c r="H302" i="2"/>
  <c r="D213" i="2"/>
  <c r="H9" i="1"/>
  <c r="E19" i="2"/>
  <c r="D205" i="2"/>
  <c r="F238" i="2"/>
  <c r="G237" i="2"/>
  <c r="H177" i="2"/>
  <c r="F163" i="2"/>
  <c r="E126" i="2"/>
  <c r="G157" i="2"/>
  <c r="H207" i="2"/>
  <c r="D297" i="2"/>
  <c r="F94" i="2"/>
  <c r="G118" i="2"/>
  <c r="D151" i="2"/>
  <c r="E257" i="2"/>
  <c r="H309" i="2"/>
  <c r="E54" i="1"/>
  <c r="D32" i="2"/>
  <c r="E111" i="2"/>
  <c r="D105" i="2"/>
  <c r="G177" i="2"/>
  <c r="G307" i="2"/>
  <c r="G196" i="2"/>
  <c r="G302" i="2"/>
  <c r="H26" i="2"/>
  <c r="E12" i="2"/>
  <c r="D228" i="2"/>
  <c r="H114" i="2"/>
  <c r="D341" i="2"/>
  <c r="H58" i="2"/>
  <c r="H293" i="2"/>
  <c r="G26" i="2"/>
  <c r="H107" i="2"/>
  <c r="F16" i="2"/>
  <c r="E166" i="2"/>
  <c r="D284" i="2"/>
  <c r="H88" i="2"/>
  <c r="F202" i="2"/>
  <c r="H285" i="2"/>
  <c r="K46" i="1"/>
  <c r="H162" i="2"/>
  <c r="F304" i="2"/>
  <c r="I39" i="2"/>
  <c r="E85" i="2"/>
  <c r="L46" i="1"/>
  <c r="D23" i="1"/>
  <c r="G153" i="2"/>
  <c r="G255" i="2"/>
  <c r="D121" i="2"/>
  <c r="E279" i="2"/>
  <c r="D46" i="2"/>
  <c r="G224" i="2"/>
  <c r="E239" i="2"/>
  <c r="D296" i="2"/>
  <c r="E62" i="2"/>
  <c r="E73" i="2"/>
  <c r="G32" i="1"/>
  <c r="H163" i="2"/>
  <c r="D283" i="2"/>
  <c r="F129" i="2"/>
  <c r="F53" i="1"/>
  <c r="F56" i="2"/>
  <c r="G329" i="2"/>
  <c r="H17" i="1"/>
  <c r="E98" i="2"/>
  <c r="H248" i="2"/>
  <c r="E86" i="2"/>
  <c r="F27" i="1"/>
  <c r="E191" i="2"/>
  <c r="G149" i="2"/>
  <c r="F40" i="2"/>
  <c r="D94" i="2"/>
  <c r="F292" i="2"/>
  <c r="D102" i="2"/>
  <c r="D100" i="2"/>
  <c r="H45" i="2"/>
  <c r="G16" i="1"/>
  <c r="H332" i="2"/>
  <c r="G233" i="2"/>
  <c r="E178" i="2"/>
  <c r="D142" i="2"/>
  <c r="F50" i="1"/>
  <c r="D21" i="2"/>
  <c r="E204" i="2"/>
  <c r="E150" i="2"/>
  <c r="E23" i="2"/>
  <c r="H19" i="2"/>
  <c r="E66" i="2"/>
  <c r="E231" i="2"/>
  <c r="F84" i="2"/>
  <c r="D223" i="2"/>
  <c r="G52" i="2"/>
  <c r="E110" i="2"/>
  <c r="D131" i="2"/>
  <c r="D234" i="2"/>
  <c r="F130" i="2"/>
  <c r="D189" i="2"/>
  <c r="I189" i="2" s="1"/>
  <c r="E46" i="2"/>
  <c r="F134" i="2"/>
  <c r="G142" i="2"/>
  <c r="G35" i="1"/>
  <c r="D145" i="2"/>
  <c r="D338" i="2"/>
  <c r="G65" i="2"/>
  <c r="H61" i="2"/>
  <c r="D139" i="2"/>
  <c r="F110" i="2"/>
  <c r="F14" i="2"/>
  <c r="D339" i="2"/>
  <c r="H86" i="2"/>
  <c r="D34" i="1"/>
  <c r="I34" i="1" s="1"/>
  <c r="F5" i="2"/>
  <c r="F46" i="2"/>
  <c r="D108" i="2"/>
  <c r="D57" i="2"/>
  <c r="K57" i="2" s="1"/>
  <c r="H17" i="2"/>
  <c r="G162" i="2"/>
  <c r="G45" i="1"/>
  <c r="G279" i="2"/>
  <c r="F211" i="2"/>
  <c r="G54" i="2"/>
  <c r="F237" i="2"/>
  <c r="F97" i="2"/>
  <c r="H101" i="2"/>
  <c r="H38" i="1"/>
  <c r="E307" i="2"/>
  <c r="D138" i="2"/>
  <c r="E6" i="2"/>
  <c r="D261" i="2"/>
  <c r="H49" i="2"/>
  <c r="D219" i="2"/>
  <c r="D318" i="2"/>
  <c r="D199" i="2"/>
  <c r="H289" i="2"/>
  <c r="D187" i="2"/>
  <c r="E142" i="2"/>
  <c r="E281" i="2"/>
  <c r="E210" i="2"/>
  <c r="D334" i="2"/>
  <c r="E30" i="2"/>
  <c r="K257" i="2"/>
  <c r="E132" i="2"/>
  <c r="E313" i="2"/>
  <c r="D9" i="2"/>
  <c r="G202" i="2"/>
  <c r="D56" i="1"/>
  <c r="H26" i="1"/>
  <c r="G238" i="2"/>
  <c r="H185" i="2"/>
  <c r="H89" i="2"/>
  <c r="G62" i="1"/>
  <c r="D244" i="2"/>
  <c r="I290" i="2"/>
  <c r="J142" i="2"/>
  <c r="E139" i="2"/>
  <c r="E45" i="1"/>
  <c r="E59" i="2"/>
  <c r="F63" i="2"/>
  <c r="G52" i="1"/>
  <c r="G287" i="2"/>
  <c r="G189" i="2"/>
  <c r="D153" i="2"/>
  <c r="D120" i="2"/>
  <c r="D13" i="2"/>
  <c r="D54" i="1"/>
  <c r="F15" i="2"/>
  <c r="H208" i="2"/>
  <c r="F93" i="2"/>
  <c r="F117" i="2"/>
  <c r="E149" i="2"/>
  <c r="F322" i="2"/>
  <c r="F128" i="2"/>
  <c r="G342" i="2"/>
  <c r="D326" i="2"/>
  <c r="G250" i="2"/>
  <c r="F3" i="2"/>
  <c r="G26" i="1"/>
  <c r="F190" i="2"/>
  <c r="F10" i="2"/>
  <c r="D251" i="2"/>
  <c r="F138" i="2"/>
  <c r="H234" i="2"/>
  <c r="H23" i="1"/>
  <c r="H99" i="2"/>
  <c r="E260" i="2"/>
  <c r="D15" i="1"/>
  <c r="H143" i="2"/>
  <c r="D144" i="2"/>
  <c r="H316" i="2"/>
  <c r="E51" i="1"/>
  <c r="F224" i="2"/>
  <c r="G285" i="2"/>
  <c r="D330" i="2"/>
  <c r="E193" i="2"/>
  <c r="D39" i="1"/>
  <c r="G22" i="2"/>
  <c r="D311" i="2"/>
  <c r="F109" i="2"/>
  <c r="G103" i="2"/>
  <c r="F218" i="2"/>
  <c r="G47" i="2"/>
  <c r="D314" i="2"/>
  <c r="H224" i="2"/>
  <c r="E28" i="1"/>
  <c r="F30" i="2"/>
  <c r="H178" i="2"/>
  <c r="D35" i="2"/>
  <c r="G295" i="2"/>
  <c r="G280" i="2"/>
  <c r="H201" i="2"/>
  <c r="G31" i="1"/>
  <c r="F337" i="2"/>
  <c r="E36" i="2"/>
  <c r="H198" i="2"/>
  <c r="D50" i="2"/>
  <c r="G219" i="2"/>
  <c r="G328" i="2"/>
  <c r="E24" i="1"/>
  <c r="E25" i="1"/>
  <c r="H328" i="2"/>
  <c r="H66" i="2"/>
  <c r="E92" i="2"/>
  <c r="F33" i="1"/>
  <c r="D123" i="2"/>
  <c r="F288" i="2"/>
  <c r="L314" i="2"/>
  <c r="H32" i="2"/>
  <c r="G79" i="2"/>
  <c r="F158" i="2"/>
  <c r="E227" i="2"/>
  <c r="H69" i="2"/>
  <c r="H205" i="2"/>
  <c r="E331" i="2"/>
  <c r="G227" i="2"/>
  <c r="H33" i="1"/>
  <c r="H42" i="1"/>
  <c r="E197" i="2"/>
  <c r="H9" i="2"/>
  <c r="G180" i="2"/>
  <c r="E51" i="2"/>
  <c r="E211" i="2"/>
  <c r="H24" i="2"/>
  <c r="E321" i="2"/>
  <c r="G24" i="2"/>
  <c r="H215" i="2"/>
  <c r="F43" i="2"/>
  <c r="H55" i="2"/>
  <c r="G221" i="2"/>
  <c r="G130" i="2"/>
  <c r="H326" i="2"/>
  <c r="E241" i="2"/>
  <c r="G87" i="2"/>
  <c r="F157" i="2"/>
  <c r="F19" i="1"/>
  <c r="F156" i="2"/>
  <c r="D133" i="2"/>
  <c r="F311" i="2"/>
  <c r="H203" i="2"/>
  <c r="F35" i="1"/>
  <c r="H30" i="2"/>
  <c r="F92" i="2"/>
  <c r="F21" i="1"/>
  <c r="H19" i="1"/>
  <c r="D170" i="2"/>
  <c r="D253" i="2"/>
  <c r="D329" i="2"/>
  <c r="D75" i="2"/>
  <c r="D278" i="2"/>
  <c r="D87" i="2"/>
  <c r="D118" i="2"/>
  <c r="D54" i="2"/>
  <c r="F314" i="2"/>
  <c r="H16" i="1"/>
  <c r="H193" i="2"/>
  <c r="G301" i="2"/>
  <c r="E88" i="2"/>
  <c r="L88" i="2" s="1"/>
  <c r="H62" i="1"/>
  <c r="E107" i="2"/>
  <c r="D27" i="1"/>
  <c r="H156" i="2"/>
  <c r="G293" i="2"/>
  <c r="E71" i="2"/>
  <c r="D34" i="2"/>
  <c r="E338" i="2"/>
  <c r="K338" i="2" s="1"/>
  <c r="G319" i="2"/>
  <c r="D271" i="2"/>
  <c r="E55" i="2"/>
  <c r="G210" i="2"/>
  <c r="G246" i="2"/>
  <c r="D7" i="2"/>
  <c r="H279" i="2"/>
  <c r="F133" i="2"/>
  <c r="K290" i="2"/>
  <c r="E14" i="2"/>
  <c r="E16" i="2"/>
  <c r="G187" i="2"/>
  <c r="E187" i="2"/>
  <c r="L187" i="2" s="1"/>
  <c r="H323" i="2"/>
  <c r="E138" i="2"/>
  <c r="F55" i="2"/>
  <c r="H275" i="2"/>
  <c r="H82" i="2"/>
  <c r="H8" i="2"/>
  <c r="E164" i="2"/>
  <c r="G69" i="2"/>
  <c r="E280" i="2"/>
  <c r="F31" i="2"/>
  <c r="E306" i="2"/>
  <c r="E50" i="2"/>
  <c r="G49" i="2"/>
  <c r="G25" i="2"/>
  <c r="E69" i="2"/>
  <c r="H260" i="2"/>
  <c r="F6" i="2"/>
  <c r="H184" i="2"/>
  <c r="F287" i="2"/>
  <c r="H306" i="2"/>
  <c r="F160" i="2"/>
  <c r="G9" i="1"/>
  <c r="G175" i="2"/>
  <c r="D202" i="2"/>
  <c r="H62" i="2"/>
  <c r="D274" i="2"/>
  <c r="E101" i="2"/>
  <c r="G294" i="2"/>
  <c r="F20" i="1"/>
  <c r="H105" i="2"/>
  <c r="H159" i="2"/>
  <c r="F125" i="2"/>
  <c r="G42" i="2"/>
  <c r="E264" i="2"/>
  <c r="F7" i="2"/>
  <c r="E215" i="2"/>
  <c r="D68" i="2"/>
  <c r="H271" i="2"/>
  <c r="F306" i="2"/>
  <c r="E152" i="2"/>
  <c r="F289" i="2"/>
  <c r="E60" i="1"/>
  <c r="I138" i="2"/>
  <c r="G126" i="2"/>
  <c r="E320" i="2"/>
  <c r="F124" i="2"/>
  <c r="E232" i="2"/>
  <c r="K39" i="2"/>
  <c r="H110" i="2"/>
  <c r="F212" i="2"/>
  <c r="E100" i="2"/>
  <c r="F11" i="1"/>
  <c r="F33" i="2"/>
  <c r="H35" i="1"/>
  <c r="F283" i="2"/>
  <c r="D258" i="2"/>
  <c r="G22" i="1"/>
  <c r="E317" i="2"/>
  <c r="G206" i="2"/>
  <c r="F116" i="2"/>
  <c r="G34" i="2"/>
  <c r="F13" i="1"/>
  <c r="D91" i="2"/>
  <c r="L91" i="2" s="1"/>
  <c r="D149" i="2"/>
  <c r="D19" i="1"/>
  <c r="D6" i="2"/>
  <c r="K6" i="2" s="1"/>
  <c r="H220" i="2"/>
  <c r="E247" i="2"/>
  <c r="D55" i="2"/>
  <c r="K55" i="2" s="1"/>
  <c r="D141" i="2"/>
  <c r="H308" i="2"/>
  <c r="D77" i="2"/>
  <c r="H225" i="2"/>
  <c r="D307" i="2"/>
  <c r="D71" i="2"/>
  <c r="D245" i="2"/>
  <c r="D16" i="2"/>
  <c r="K16" i="2" s="1"/>
  <c r="E202" i="2"/>
  <c r="L202" i="2" s="1"/>
  <c r="D97" i="2"/>
  <c r="G208" i="2"/>
  <c r="G74" i="2"/>
  <c r="H45" i="1"/>
  <c r="H272" i="2"/>
  <c r="H229" i="2"/>
  <c r="D99" i="2"/>
  <c r="D22" i="2"/>
  <c r="H146" i="2"/>
  <c r="E223" i="2"/>
  <c r="D239" i="2"/>
  <c r="D203" i="2"/>
  <c r="H341" i="2"/>
  <c r="H241" i="2"/>
  <c r="H233" i="2"/>
  <c r="F155" i="2"/>
  <c r="E268" i="2"/>
  <c r="G41" i="1"/>
  <c r="G73" i="2"/>
  <c r="G12" i="1"/>
  <c r="H123" i="2"/>
  <c r="G100" i="2"/>
  <c r="F37" i="2"/>
  <c r="D36" i="1"/>
  <c r="D210" i="2"/>
  <c r="L210" i="2" s="1"/>
  <c r="D28" i="1"/>
  <c r="E124" i="2"/>
  <c r="E235" i="2"/>
  <c r="E270" i="2"/>
  <c r="H288" i="2"/>
  <c r="H21" i="1"/>
  <c r="H43" i="1"/>
  <c r="G244" i="2"/>
  <c r="H160" i="2"/>
  <c r="G125" i="2"/>
  <c r="D167" i="2"/>
  <c r="F28" i="2"/>
  <c r="D45" i="1"/>
  <c r="F266" i="2"/>
  <c r="E308" i="2"/>
  <c r="D136" i="2"/>
  <c r="D172" i="2"/>
  <c r="D238" i="2"/>
  <c r="F262" i="2"/>
  <c r="E175" i="2"/>
  <c r="F23" i="1"/>
  <c r="F143" i="2"/>
  <c r="D335" i="2"/>
  <c r="D42" i="2"/>
  <c r="D272" i="2"/>
  <c r="L55" i="2"/>
  <c r="G222" i="2"/>
  <c r="H232" i="2"/>
  <c r="D17" i="2"/>
  <c r="D17" i="1"/>
  <c r="F34" i="1"/>
  <c r="G25" i="1"/>
  <c r="D13" i="1"/>
  <c r="E145" i="2"/>
  <c r="D225" i="2"/>
  <c r="E309" i="2"/>
  <c r="G27" i="1"/>
  <c r="E340" i="2"/>
  <c r="D286" i="2"/>
  <c r="D292" i="2"/>
  <c r="F335" i="2"/>
  <c r="J335" i="2" s="1"/>
  <c r="D177" i="2"/>
  <c r="D30" i="1"/>
  <c r="F105" i="2"/>
  <c r="D160" i="2"/>
  <c r="D166" i="2"/>
  <c r="D291" i="2"/>
  <c r="D259" i="2"/>
  <c r="L259" i="2" s="1"/>
  <c r="G16" i="2"/>
  <c r="E143" i="2"/>
  <c r="E48" i="2"/>
  <c r="F13" i="2"/>
  <c r="F243" i="2"/>
  <c r="D185" i="2"/>
  <c r="D322" i="2"/>
  <c r="D190" i="2"/>
  <c r="H315" i="2"/>
  <c r="D188" i="2"/>
  <c r="H283" i="2"/>
  <c r="D14" i="2"/>
  <c r="G11" i="1"/>
  <c r="E168" i="2"/>
  <c r="J168" i="2" s="1"/>
  <c r="L255" i="2"/>
  <c r="D16" i="1"/>
  <c r="H259" i="2"/>
  <c r="E10" i="2"/>
  <c r="F132" i="2"/>
  <c r="G13" i="1"/>
  <c r="G18" i="2"/>
  <c r="F312" i="2"/>
  <c r="E87" i="2"/>
  <c r="I87" i="2" s="1"/>
  <c r="F183" i="2"/>
  <c r="F205" i="2"/>
  <c r="F120" i="2"/>
  <c r="F147" i="2"/>
  <c r="F191" i="2"/>
  <c r="E9" i="1"/>
  <c r="G197" i="2"/>
  <c r="H270" i="2"/>
  <c r="D67" i="2"/>
  <c r="D232" i="2"/>
  <c r="L232" i="2" s="1"/>
  <c r="G89" i="2"/>
  <c r="F57" i="2"/>
  <c r="F213" i="2"/>
  <c r="D58" i="2"/>
  <c r="G326" i="2"/>
  <c r="G300" i="2"/>
  <c r="H258" i="2"/>
  <c r="G265" i="2"/>
  <c r="F61" i="2"/>
  <c r="F207" i="2"/>
  <c r="H262" i="2"/>
  <c r="F88" i="2"/>
  <c r="G123" i="2"/>
  <c r="G273" i="2"/>
  <c r="H255" i="2"/>
  <c r="D101" i="2"/>
  <c r="K101" i="2" s="1"/>
  <c r="D73" i="2"/>
  <c r="E300" i="2"/>
  <c r="D192" i="2"/>
  <c r="H152" i="2"/>
  <c r="H294" i="2"/>
  <c r="F230" i="2"/>
  <c r="G204" i="2"/>
  <c r="E93" i="2"/>
  <c r="H168" i="2"/>
  <c r="G154" i="2"/>
  <c r="H238" i="2"/>
  <c r="K259" i="2"/>
  <c r="D306" i="2"/>
  <c r="L306" i="2" s="1"/>
  <c r="G71" i="2"/>
  <c r="H171" i="2"/>
  <c r="H75" i="2"/>
  <c r="F324" i="2"/>
  <c r="G93" i="2"/>
  <c r="D184" i="2"/>
  <c r="H145" i="2"/>
  <c r="D135" i="2"/>
  <c r="E339" i="2"/>
  <c r="D237" i="2"/>
  <c r="H133" i="2"/>
  <c r="E38" i="1"/>
  <c r="H182" i="2"/>
  <c r="D250" i="2"/>
  <c r="E278" i="2"/>
  <c r="G332" i="2"/>
  <c r="E21" i="1"/>
  <c r="F27" i="2"/>
  <c r="G37" i="1"/>
  <c r="G320" i="2"/>
  <c r="D159" i="2"/>
  <c r="E125" i="2"/>
  <c r="D62" i="1"/>
  <c r="F19" i="2"/>
  <c r="H333" i="2"/>
  <c r="K341" i="2"/>
  <c r="E160" i="2"/>
  <c r="E27" i="2"/>
  <c r="H65" i="2"/>
  <c r="H6" i="2"/>
  <c r="F114" i="2"/>
  <c r="H35" i="2"/>
  <c r="E171" i="2"/>
  <c r="E102" i="2"/>
  <c r="L102" i="2" s="1"/>
  <c r="G146" i="2"/>
  <c r="G4" i="1"/>
  <c r="E106" i="2"/>
  <c r="D10" i="1"/>
  <c r="J6" i="2"/>
  <c r="G267" i="2"/>
  <c r="K256" i="2"/>
  <c r="H40" i="1"/>
  <c r="E27" i="1"/>
  <c r="K27" i="1" s="1"/>
  <c r="D116" i="2"/>
  <c r="E36" i="1"/>
  <c r="F45" i="2"/>
  <c r="L58" i="1"/>
  <c r="H174" i="2"/>
  <c r="D134" i="2"/>
  <c r="D44" i="1"/>
  <c r="F18" i="1"/>
  <c r="G43" i="2"/>
  <c r="E267" i="2"/>
  <c r="L17" i="2"/>
  <c r="J187" i="2"/>
  <c r="H269" i="2"/>
  <c r="E216" i="2"/>
  <c r="J131" i="2"/>
  <c r="G176" i="2"/>
  <c r="G6" i="5"/>
  <c r="D7" i="1"/>
  <c r="I200" i="2"/>
  <c r="F40" i="1"/>
  <c r="D129" i="2"/>
  <c r="H267" i="2"/>
  <c r="F4" i="2"/>
  <c r="F39" i="2"/>
  <c r="G277" i="2"/>
  <c r="D50" i="1"/>
  <c r="D82" i="2"/>
  <c r="G172" i="2"/>
  <c r="E206" i="2"/>
  <c r="H131" i="2"/>
  <c r="H196" i="2"/>
  <c r="E195" i="2"/>
  <c r="D114" i="2"/>
  <c r="L114" i="2" s="1"/>
  <c r="G119" i="2"/>
  <c r="E28" i="2"/>
  <c r="E94" i="2"/>
  <c r="F342" i="2"/>
  <c r="G50" i="1"/>
  <c r="D265" i="2"/>
  <c r="E103" i="2"/>
  <c r="F294" i="2"/>
  <c r="D298" i="2"/>
  <c r="D111" i="2"/>
  <c r="L111" i="2" s="1"/>
  <c r="F241" i="2"/>
  <c r="F192" i="2"/>
  <c r="E167" i="2"/>
  <c r="F107" i="2"/>
  <c r="D125" i="2"/>
  <c r="H199" i="2"/>
  <c r="H144" i="2"/>
  <c r="G99" i="2"/>
  <c r="D60" i="1"/>
  <c r="F78" i="2"/>
  <c r="H53" i="2"/>
  <c r="G261" i="2"/>
  <c r="E221" i="2"/>
  <c r="H188" i="2"/>
  <c r="F75" i="2"/>
  <c r="D276" i="2"/>
  <c r="G335" i="2"/>
  <c r="D148" i="2"/>
  <c r="H204" i="2"/>
  <c r="G115" i="2"/>
  <c r="F22" i="2"/>
  <c r="D294" i="2"/>
  <c r="D49" i="1"/>
  <c r="F339" i="2"/>
  <c r="F258" i="2"/>
  <c r="E217" i="2"/>
  <c r="D308" i="2"/>
  <c r="E184" i="2"/>
  <c r="K184" i="2" s="1"/>
  <c r="H291" i="2"/>
  <c r="F274" i="2"/>
  <c r="F198" i="2"/>
  <c r="E95" i="2"/>
  <c r="E177" i="2"/>
  <c r="K177" i="2" s="1"/>
  <c r="F65" i="2"/>
  <c r="H250" i="2"/>
  <c r="H5" i="1"/>
  <c r="H109" i="2"/>
  <c r="D106" i="2"/>
  <c r="I202" i="2"/>
  <c r="D154" i="2"/>
  <c r="H72" i="2"/>
  <c r="G39" i="1"/>
  <c r="F272" i="2"/>
  <c r="E64" i="2"/>
  <c r="E43" i="1"/>
  <c r="D4" i="1"/>
  <c r="H317" i="2"/>
  <c r="G186" i="2"/>
  <c r="D275" i="2"/>
  <c r="E159" i="2"/>
  <c r="G264" i="2"/>
  <c r="H165" i="2"/>
  <c r="F235" i="2"/>
  <c r="G324" i="2"/>
  <c r="F26" i="2"/>
  <c r="F269" i="2"/>
  <c r="E273" i="2"/>
  <c r="F55" i="1"/>
  <c r="H313" i="2"/>
  <c r="E56" i="2"/>
  <c r="H12" i="1"/>
  <c r="H96" i="2"/>
  <c r="F210" i="2"/>
  <c r="F42" i="2"/>
  <c r="H78" i="2"/>
  <c r="G254" i="2"/>
  <c r="G33" i="2"/>
  <c r="F208" i="2"/>
  <c r="D80" i="2"/>
  <c r="G23" i="1"/>
  <c r="F330" i="2"/>
  <c r="E230" i="2"/>
  <c r="E7" i="1"/>
  <c r="D48" i="2"/>
  <c r="I48" i="2" s="1"/>
  <c r="E292" i="2"/>
  <c r="J292" i="2" s="1"/>
  <c r="E334" i="2"/>
  <c r="D40" i="1"/>
  <c r="H136" i="2"/>
  <c r="F186" i="2"/>
  <c r="F26" i="1"/>
  <c r="D60" i="2"/>
  <c r="E146" i="2"/>
  <c r="F148" i="2"/>
  <c r="H56" i="1"/>
  <c r="G161" i="2"/>
  <c r="E10" i="1"/>
  <c r="G104" i="2"/>
  <c r="D12" i="2"/>
  <c r="H216" i="2"/>
  <c r="F106" i="2"/>
  <c r="G297" i="2"/>
  <c r="H38" i="2"/>
  <c r="F111" i="2"/>
  <c r="J111" i="2" s="1"/>
  <c r="H116" i="2"/>
  <c r="G322" i="2"/>
  <c r="D231" i="2"/>
  <c r="H217" i="2"/>
  <c r="E130" i="2"/>
  <c r="D93" i="2"/>
  <c r="F290" i="2"/>
  <c r="E236" i="2"/>
  <c r="K236" i="2" s="1"/>
  <c r="F60" i="2"/>
  <c r="D23" i="2"/>
  <c r="D310" i="2"/>
  <c r="E129" i="2"/>
  <c r="F169" i="2"/>
  <c r="F267" i="2"/>
  <c r="F321" i="2"/>
  <c r="H290" i="2"/>
  <c r="K149" i="2"/>
  <c r="D81" i="2"/>
  <c r="H137" i="2"/>
  <c r="G231" i="2"/>
  <c r="F185" i="2"/>
  <c r="G63" i="2"/>
  <c r="H330" i="2"/>
  <c r="J23" i="2"/>
  <c r="G39" i="2"/>
  <c r="G43" i="1"/>
  <c r="E115" i="2"/>
  <c r="F17" i="1"/>
  <c r="F172" i="2"/>
  <c r="F300" i="2"/>
  <c r="D65" i="2"/>
  <c r="F195" i="2"/>
  <c r="F232" i="2"/>
  <c r="E180" i="2"/>
  <c r="G252" i="2"/>
  <c r="H13" i="1"/>
  <c r="G159" i="2"/>
  <c r="G201" i="2"/>
  <c r="F16" i="1"/>
  <c r="H200" i="2"/>
  <c r="I28" i="1"/>
  <c r="K166" i="2"/>
  <c r="G305" i="2"/>
  <c r="G286" i="2"/>
  <c r="I46" i="1"/>
  <c r="D9" i="1"/>
  <c r="E99" i="2"/>
  <c r="D302" i="2"/>
  <c r="H117" i="2"/>
  <c r="D337" i="2"/>
  <c r="D53" i="1"/>
  <c r="F257" i="2"/>
  <c r="E284" i="2"/>
  <c r="E342" i="2"/>
  <c r="K342" i="2" s="1"/>
  <c r="G156" i="2"/>
  <c r="G133" i="2"/>
  <c r="E286" i="2"/>
  <c r="G191" i="2"/>
  <c r="F273" i="2"/>
  <c r="G117" i="2"/>
  <c r="H311" i="2"/>
  <c r="D303" i="2"/>
  <c r="F281" i="2"/>
  <c r="J281" i="2" s="1"/>
  <c r="H85" i="2"/>
  <c r="H79" i="2"/>
  <c r="E219" i="2"/>
  <c r="D270" i="2"/>
  <c r="E55" i="1"/>
  <c r="F141" i="2"/>
  <c r="L145" i="2"/>
  <c r="E6" i="1"/>
  <c r="F22" i="1"/>
  <c r="G174" i="2"/>
  <c r="E144" i="2"/>
  <c r="K167" i="2"/>
  <c r="G20" i="2"/>
  <c r="F209" i="2"/>
  <c r="K297" i="2"/>
  <c r="I250" i="2"/>
  <c r="G18" i="1"/>
  <c r="I12" i="2"/>
  <c r="G112" i="2"/>
  <c r="H11" i="2"/>
  <c r="I281" i="2"/>
  <c r="L281" i="2"/>
  <c r="F261" i="2"/>
  <c r="G72" i="2"/>
  <c r="L123" i="2"/>
  <c r="H338" i="2"/>
  <c r="G60" i="2"/>
  <c r="E80" i="2"/>
  <c r="D193" i="2"/>
  <c r="H46" i="1"/>
  <c r="D222" i="2"/>
  <c r="K54" i="2"/>
  <c r="F81" i="2"/>
  <c r="L149" i="2"/>
  <c r="J53" i="1"/>
  <c r="L100" i="2"/>
  <c r="L221" i="2"/>
  <c r="I261" i="2"/>
  <c r="K24" i="1"/>
  <c r="K135" i="2"/>
  <c r="E119" i="2"/>
  <c r="H257" i="2"/>
  <c r="E24" i="2"/>
  <c r="F248" i="2"/>
  <c r="F254" i="2"/>
  <c r="E226" i="2"/>
  <c r="G330" i="2"/>
  <c r="H321" i="2"/>
  <c r="E38" i="2"/>
  <c r="E121" i="2"/>
  <c r="E151" i="2"/>
  <c r="E84" i="2"/>
  <c r="G75" i="2"/>
  <c r="H128" i="2"/>
  <c r="E299" i="2"/>
  <c r="I299" i="2" s="1"/>
  <c r="H335" i="2"/>
  <c r="F220" i="2"/>
  <c r="D107" i="2"/>
  <c r="F278" i="2"/>
  <c r="E18" i="2"/>
  <c r="H187" i="2"/>
  <c r="G298" i="2"/>
  <c r="D3" i="1"/>
  <c r="D51" i="2"/>
  <c r="L51" i="2" s="1"/>
  <c r="D8" i="1"/>
  <c r="G304" i="2"/>
  <c r="E52" i="1"/>
  <c r="E96" i="2"/>
  <c r="F214" i="2"/>
  <c r="D317" i="2"/>
  <c r="D273" i="2"/>
  <c r="D293" i="2"/>
  <c r="E127" i="2"/>
  <c r="F242" i="2"/>
  <c r="G38" i="2"/>
  <c r="F60" i="1"/>
  <c r="G54" i="1"/>
  <c r="D37" i="2"/>
  <c r="J37" i="2" s="1"/>
  <c r="F87" i="2"/>
  <c r="H226" i="2"/>
  <c r="D32" i="1"/>
  <c r="H252" i="2"/>
  <c r="J94" i="2"/>
  <c r="H53" i="1"/>
  <c r="G53" i="1"/>
  <c r="E156" i="2"/>
  <c r="H298" i="2"/>
  <c r="F336" i="2"/>
  <c r="G282" i="2"/>
  <c r="G308" i="2"/>
  <c r="E328" i="2"/>
  <c r="I328" i="2" s="1"/>
  <c r="D165" i="2"/>
  <c r="H292" i="2"/>
  <c r="F144" i="2"/>
  <c r="D90" i="2"/>
  <c r="D56" i="2"/>
  <c r="H18" i="1"/>
  <c r="D247" i="2"/>
  <c r="G315" i="2"/>
  <c r="H12" i="2"/>
  <c r="D85" i="2"/>
  <c r="K85" i="2" s="1"/>
  <c r="D74" i="2"/>
  <c r="G109" i="2"/>
  <c r="D316" i="2"/>
  <c r="G96" i="2"/>
  <c r="H67" i="2"/>
  <c r="D11" i="2"/>
  <c r="L59" i="1"/>
  <c r="F173" i="2"/>
  <c r="E40" i="1"/>
  <c r="L40" i="1" s="1"/>
  <c r="L338" i="2"/>
  <c r="F24" i="1"/>
  <c r="E305" i="2"/>
  <c r="H236" i="2"/>
  <c r="G35" i="2"/>
  <c r="F159" i="2"/>
  <c r="D194" i="2"/>
  <c r="I194" i="2" s="1"/>
  <c r="G323" i="2"/>
  <c r="H299" i="2"/>
  <c r="D208" i="2"/>
  <c r="H334" i="2"/>
  <c r="H202" i="2"/>
  <c r="E272" i="2"/>
  <c r="J272" i="2" s="1"/>
  <c r="D229" i="2"/>
  <c r="E271" i="2"/>
  <c r="E23" i="1"/>
  <c r="G140" i="2"/>
  <c r="D119" i="2"/>
  <c r="G56" i="1"/>
  <c r="G256" i="2"/>
  <c r="E182" i="2"/>
  <c r="E34" i="2"/>
  <c r="L34" i="2" s="1"/>
  <c r="D268" i="2"/>
  <c r="I268" i="2" s="1"/>
  <c r="H210" i="2"/>
  <c r="E199" i="2"/>
  <c r="I199" i="2" s="1"/>
  <c r="E122" i="2"/>
  <c r="F161" i="2"/>
  <c r="E319" i="2"/>
  <c r="H132" i="2"/>
  <c r="E109" i="2"/>
  <c r="G163" i="2"/>
  <c r="G325" i="2"/>
  <c r="G283" i="2"/>
  <c r="G57" i="1"/>
  <c r="F193" i="2"/>
  <c r="H57" i="2"/>
  <c r="E116" i="2"/>
  <c r="I116" i="2" s="1"/>
  <c r="G338" i="2"/>
  <c r="G190" i="2"/>
  <c r="I166" i="2"/>
  <c r="E11" i="1"/>
  <c r="J223" i="2"/>
  <c r="L7" i="2"/>
  <c r="G318" i="2"/>
  <c r="E253" i="2"/>
  <c r="K40" i="1"/>
  <c r="I168" i="2"/>
  <c r="H60" i="2"/>
  <c r="E201" i="2"/>
  <c r="F265" i="2"/>
  <c r="K49" i="1"/>
  <c r="G21" i="2"/>
  <c r="D47" i="1"/>
  <c r="G253" i="2"/>
  <c r="E35" i="2"/>
  <c r="G57" i="2"/>
  <c r="K286" i="2"/>
  <c r="H230" i="2"/>
  <c r="I193" i="2"/>
  <c r="J45" i="1"/>
  <c r="H138" i="2"/>
  <c r="E296" i="2"/>
  <c r="L296" i="2" s="1"/>
  <c r="H310" i="2"/>
  <c r="D43" i="2"/>
  <c r="E82" i="2"/>
  <c r="F308" i="2"/>
  <c r="H33" i="2"/>
  <c r="F246" i="2"/>
  <c r="H14" i="2"/>
  <c r="F259" i="2"/>
  <c r="F310" i="2"/>
  <c r="E249" i="2"/>
  <c r="I249" i="2" s="1"/>
  <c r="H129" i="2"/>
  <c r="F271" i="2"/>
  <c r="E181" i="2"/>
  <c r="E322" i="2"/>
  <c r="D174" i="2"/>
  <c r="E13" i="2"/>
  <c r="E196" i="2"/>
  <c r="E89" i="2"/>
  <c r="E44" i="2"/>
  <c r="E336" i="2"/>
  <c r="D263" i="2"/>
  <c r="J39" i="2"/>
  <c r="I302" i="2"/>
  <c r="I149" i="2"/>
  <c r="D103" i="2"/>
  <c r="E11" i="2"/>
  <c r="F85" i="2"/>
  <c r="H245" i="2"/>
  <c r="K88" i="2"/>
  <c r="E246" i="2"/>
  <c r="D10" i="2"/>
  <c r="J322" i="2"/>
  <c r="D86" i="2"/>
  <c r="J341" i="2"/>
  <c r="E310" i="2"/>
  <c r="L168" i="2"/>
  <c r="E75" i="2"/>
  <c r="L132" i="2"/>
  <c r="K6" i="1"/>
  <c r="L94" i="2"/>
  <c r="D20" i="1"/>
  <c r="F251" i="2"/>
  <c r="H7" i="1"/>
  <c r="G203" i="2"/>
  <c r="G94" i="2"/>
  <c r="I16" i="2"/>
  <c r="J193" i="2"/>
  <c r="J107" i="2"/>
  <c r="K153" i="2"/>
  <c r="J235" i="2"/>
  <c r="G333" i="2"/>
  <c r="F34" i="2"/>
  <c r="J132" i="2"/>
  <c r="L131" i="2"/>
  <c r="I126" i="2"/>
  <c r="I7" i="2"/>
  <c r="I279" i="2"/>
  <c r="I73" i="2"/>
  <c r="L244" i="2"/>
  <c r="K334" i="2"/>
  <c r="L318" i="2"/>
  <c r="I221" i="2"/>
  <c r="F279" i="2"/>
  <c r="D217" i="2"/>
  <c r="I217" i="2" s="1"/>
  <c r="K87" i="2"/>
  <c r="H219" i="2"/>
  <c r="H176" i="2"/>
  <c r="G4" i="2"/>
  <c r="E118" i="2"/>
  <c r="H80" i="2"/>
  <c r="E81" i="2"/>
  <c r="K81" i="2" s="1"/>
  <c r="D243" i="2"/>
  <c r="D277" i="2"/>
  <c r="G48" i="2"/>
  <c r="L223" i="2"/>
  <c r="D195" i="2"/>
  <c r="D242" i="2"/>
  <c r="J242" i="2" s="1"/>
  <c r="E228" i="2"/>
  <c r="H59" i="2"/>
  <c r="D332" i="2"/>
  <c r="F118" i="2"/>
  <c r="G229" i="2"/>
  <c r="H64" i="2"/>
  <c r="G92" i="2"/>
  <c r="F203" i="2"/>
  <c r="J203" i="2" s="1"/>
  <c r="E337" i="2"/>
  <c r="I101" i="2"/>
  <c r="E22" i="2"/>
  <c r="D216" i="2"/>
  <c r="F153" i="2"/>
  <c r="K249" i="2"/>
  <c r="G30" i="1"/>
  <c r="D104" i="2"/>
  <c r="K111" i="2"/>
  <c r="H243" i="2"/>
  <c r="H104" i="2"/>
  <c r="H342" i="2"/>
  <c r="F167" i="2"/>
  <c r="J202" i="2"/>
  <c r="H6" i="1"/>
  <c r="E283" i="2"/>
  <c r="I283" i="2" s="1"/>
  <c r="H3" i="2"/>
  <c r="E50" i="1"/>
  <c r="D31" i="2"/>
  <c r="I10" i="2"/>
  <c r="L124" i="2"/>
  <c r="I125" i="2"/>
  <c r="E12" i="1"/>
  <c r="E62" i="1"/>
  <c r="H331" i="2"/>
  <c r="G101" i="2"/>
  <c r="I103" i="2"/>
  <c r="K58" i="2"/>
  <c r="L62" i="1"/>
  <c r="L253" i="2"/>
  <c r="I45" i="1"/>
  <c r="G198" i="2"/>
  <c r="K11" i="2"/>
  <c r="L73" i="2"/>
  <c r="L317" i="2"/>
  <c r="F70" i="2"/>
  <c r="J154" i="2"/>
  <c r="K150" i="2"/>
  <c r="K56" i="2"/>
  <c r="I13" i="2"/>
  <c r="L299" i="2"/>
  <c r="K7" i="2"/>
  <c r="I214" i="2"/>
  <c r="L11" i="2"/>
  <c r="K73" i="2"/>
  <c r="I44" i="1"/>
  <c r="J258" i="2"/>
  <c r="K34" i="1"/>
  <c r="I132" i="2"/>
  <c r="K314" i="2"/>
  <c r="K70" i="2"/>
  <c r="J273" i="2"/>
  <c r="K129" i="2"/>
  <c r="I313" i="2"/>
  <c r="I254" i="2"/>
  <c r="I235" i="2"/>
  <c r="J299" i="2"/>
  <c r="K214" i="2"/>
  <c r="I11" i="2"/>
  <c r="J232" i="2"/>
  <c r="H281" i="2"/>
  <c r="E147" i="2"/>
  <c r="E324" i="2"/>
  <c r="J324" i="2" s="1"/>
  <c r="F219" i="2"/>
  <c r="D37" i="1"/>
  <c r="F62" i="1"/>
  <c r="F225" i="2"/>
  <c r="H280" i="2"/>
  <c r="G199" i="2"/>
  <c r="F4" i="1"/>
  <c r="K223" i="2"/>
  <c r="G21" i="1"/>
  <c r="F73" i="2"/>
  <c r="D260" i="2"/>
  <c r="G40" i="2"/>
  <c r="I324" i="2"/>
  <c r="E161" i="2"/>
  <c r="D288" i="2"/>
  <c r="H314" i="2"/>
  <c r="G37" i="2"/>
  <c r="E293" i="2"/>
  <c r="E186" i="2"/>
  <c r="G334" i="2"/>
  <c r="L14" i="2"/>
  <c r="I82" i="2"/>
  <c r="L34" i="1"/>
  <c r="G44" i="1"/>
  <c r="G95" i="2"/>
  <c r="H119" i="2"/>
  <c r="F57" i="1"/>
  <c r="G152" i="2"/>
  <c r="K340" i="2"/>
  <c r="H135" i="2"/>
  <c r="E179" i="2"/>
  <c r="J179" i="2" s="1"/>
  <c r="F54" i="1"/>
  <c r="H249" i="2"/>
  <c r="F309" i="2"/>
  <c r="E21" i="2"/>
  <c r="K23" i="2"/>
  <c r="G9" i="2"/>
  <c r="K58" i="1"/>
  <c r="H106" i="2"/>
  <c r="E275" i="2"/>
  <c r="D140" i="2"/>
  <c r="D28" i="2"/>
  <c r="F83" i="2"/>
  <c r="J83" i="2" s="1"/>
  <c r="I145" i="2"/>
  <c r="D31" i="1"/>
  <c r="G107" i="2"/>
  <c r="K31" i="2"/>
  <c r="K128" i="2"/>
  <c r="I88" i="2"/>
  <c r="E31" i="1"/>
  <c r="L193" i="2"/>
  <c r="L48" i="2"/>
  <c r="E49" i="2"/>
  <c r="H124" i="2"/>
  <c r="H13" i="2"/>
  <c r="G83" i="2"/>
  <c r="H282" i="2"/>
  <c r="H268" i="2"/>
  <c r="H7" i="2"/>
  <c r="F101" i="2"/>
  <c r="H40" i="2"/>
  <c r="G98" i="2"/>
  <c r="G317" i="2"/>
  <c r="G135" i="2"/>
  <c r="F25" i="2"/>
  <c r="I150" i="2"/>
  <c r="G310" i="2"/>
  <c r="D285" i="2"/>
  <c r="F297" i="2"/>
  <c r="J297" i="2" s="1"/>
  <c r="E56" i="1"/>
  <c r="K56" i="1" s="1"/>
  <c r="H287" i="2"/>
  <c r="D163" i="2"/>
  <c r="F61" i="1"/>
  <c r="H121" i="2"/>
  <c r="K145" i="2"/>
  <c r="I256" i="2"/>
  <c r="H111" i="2"/>
  <c r="E136" i="2"/>
  <c r="D169" i="2"/>
  <c r="L292" i="2"/>
  <c r="H81" i="2"/>
  <c r="J308" i="2"/>
  <c r="F49" i="2"/>
  <c r="G240" i="2"/>
  <c r="F256" i="2"/>
  <c r="E133" i="2"/>
  <c r="J133" i="2" s="1"/>
  <c r="E74" i="2"/>
  <c r="I297" i="2"/>
  <c r="H31" i="1"/>
  <c r="F162" i="2"/>
  <c r="J166" i="2"/>
  <c r="H10" i="1"/>
  <c r="E252" i="2"/>
  <c r="F264" i="2"/>
  <c r="G234" i="2"/>
  <c r="E4" i="1"/>
  <c r="K4" i="1" s="1"/>
  <c r="F229" i="2"/>
  <c r="E137" i="2"/>
  <c r="E22" i="1"/>
  <c r="H11" i="1"/>
  <c r="F66" i="2"/>
  <c r="E238" i="2"/>
  <c r="D49" i="2"/>
  <c r="F39" i="1"/>
  <c r="H76" i="2"/>
  <c r="G195" i="2"/>
  <c r="E42" i="1"/>
  <c r="L89" i="2"/>
  <c r="L151" i="2"/>
  <c r="K193" i="2"/>
  <c r="K313" i="2"/>
  <c r="L184" i="2"/>
  <c r="E61" i="2"/>
  <c r="K34" i="2"/>
  <c r="J224" i="2"/>
  <c r="E117" i="2"/>
  <c r="J117" i="2" s="1"/>
  <c r="J55" i="1"/>
  <c r="I92" i="2"/>
  <c r="J16" i="2"/>
  <c r="L12" i="2"/>
  <c r="I136" i="2"/>
  <c r="K144" i="2"/>
  <c r="J106" i="2"/>
  <c r="K232" i="2"/>
  <c r="L335" i="2"/>
  <c r="I53" i="1"/>
  <c r="J101" i="2"/>
  <c r="J286" i="2"/>
  <c r="L10" i="2"/>
  <c r="L322" i="2"/>
  <c r="K179" i="2"/>
  <c r="J87" i="2"/>
  <c r="G108" i="2"/>
  <c r="G6" i="2"/>
  <c r="E173" i="2"/>
  <c r="F221" i="2"/>
  <c r="G131" i="2"/>
  <c r="G8" i="1"/>
  <c r="G260" i="2"/>
  <c r="F268" i="2"/>
  <c r="J268" i="2" s="1"/>
  <c r="D52" i="2"/>
  <c r="D53" i="2"/>
  <c r="I53" i="2" s="1"/>
  <c r="H18" i="2"/>
  <c r="E237" i="2"/>
  <c r="I237" i="2" s="1"/>
  <c r="G337" i="2"/>
  <c r="D198" i="2"/>
  <c r="F307" i="2"/>
  <c r="E282" i="2"/>
  <c r="K282" i="2" s="1"/>
  <c r="F253" i="2"/>
  <c r="D19" i="2"/>
  <c r="E29" i="2"/>
  <c r="L29" i="2" s="1"/>
  <c r="D327" i="2"/>
  <c r="H336" i="2"/>
  <c r="J294" i="2"/>
  <c r="L101" i="2"/>
  <c r="G215" i="2"/>
  <c r="G64" i="2"/>
  <c r="H4" i="1"/>
  <c r="F72" i="2"/>
  <c r="D66" i="2"/>
  <c r="F325" i="2"/>
  <c r="G3" i="2"/>
  <c r="E26" i="1"/>
  <c r="G46" i="2"/>
  <c r="F291" i="2"/>
  <c r="H244" i="2"/>
  <c r="H24" i="1"/>
  <c r="G292" i="2"/>
  <c r="L214" i="2"/>
  <c r="F86" i="2"/>
  <c r="G179" i="2"/>
  <c r="F25" i="1"/>
  <c r="G205" i="2"/>
  <c r="H51" i="1"/>
  <c r="H20" i="2"/>
  <c r="K44" i="1"/>
  <c r="I284" i="2"/>
  <c r="I75" i="2"/>
  <c r="E225" i="2"/>
  <c r="L85" i="2"/>
  <c r="K211" i="2"/>
  <c r="L103" i="2"/>
  <c r="K268" i="2"/>
  <c r="L45" i="1"/>
  <c r="K66" i="2"/>
  <c r="K182" i="2"/>
  <c r="J137" i="2"/>
  <c r="I238" i="2"/>
  <c r="I6" i="2"/>
  <c r="H54" i="1"/>
  <c r="J159" i="2"/>
  <c r="L39" i="2"/>
  <c r="J199" i="2"/>
  <c r="L75" i="2"/>
  <c r="I10" i="1"/>
  <c r="I124" i="2"/>
  <c r="L18" i="2"/>
  <c r="I159" i="2"/>
  <c r="I242" i="2"/>
  <c r="L144" i="2"/>
  <c r="I106" i="2"/>
  <c r="I232" i="2"/>
  <c r="L53" i="1"/>
  <c r="L53" i="2"/>
  <c r="L215" i="2"/>
  <c r="L194" i="2"/>
  <c r="L236" i="2"/>
  <c r="L237" i="2"/>
  <c r="F113" i="2"/>
  <c r="D227" i="2"/>
  <c r="F80" i="2"/>
  <c r="F231" i="2"/>
  <c r="E220" i="2"/>
  <c r="L220" i="2" s="1"/>
  <c r="E312" i="2"/>
  <c r="E57" i="1"/>
  <c r="H37" i="1"/>
  <c r="F329" i="2"/>
  <c r="F48" i="1"/>
  <c r="E8" i="2"/>
  <c r="D206" i="2"/>
  <c r="H32" i="1"/>
  <c r="E233" i="2"/>
  <c r="D152" i="2"/>
  <c r="I152" i="2" s="1"/>
  <c r="G268" i="2"/>
  <c r="D178" i="2"/>
  <c r="D196" i="2"/>
  <c r="D69" i="2"/>
  <c r="G228" i="2"/>
  <c r="E52" i="2"/>
  <c r="J52" i="2" s="1"/>
  <c r="E276" i="2"/>
  <c r="F121" i="2"/>
  <c r="L30" i="1"/>
  <c r="I306" i="2"/>
  <c r="H197" i="2"/>
  <c r="F305" i="2"/>
  <c r="L23" i="2"/>
  <c r="H274" i="2"/>
  <c r="I307" i="2"/>
  <c r="D52" i="1"/>
  <c r="F10" i="1"/>
  <c r="H23" i="2"/>
  <c r="D20" i="2"/>
  <c r="D280" i="2"/>
  <c r="F30" i="1"/>
  <c r="L189" i="2"/>
  <c r="F302" i="2"/>
  <c r="J302" i="2" s="1"/>
  <c r="L272" i="2"/>
  <c r="J152" i="2"/>
  <c r="K292" i="2"/>
  <c r="J220" i="2"/>
  <c r="J282" i="2"/>
  <c r="F9" i="1"/>
  <c r="E234" i="2"/>
  <c r="L234" i="2" s="1"/>
  <c r="E243" i="2"/>
  <c r="G339" i="2"/>
  <c r="I131" i="2"/>
  <c r="J249" i="2"/>
  <c r="E19" i="1"/>
  <c r="L19" i="1" s="1"/>
  <c r="F59" i="1"/>
  <c r="E213" i="2"/>
  <c r="K281" i="2"/>
  <c r="G17" i="1"/>
  <c r="D38" i="1"/>
  <c r="K38" i="1" s="1"/>
  <c r="K283" i="2"/>
  <c r="I282" i="2"/>
  <c r="I29" i="2"/>
  <c r="L83" i="2"/>
  <c r="I52" i="1"/>
  <c r="K89" i="2"/>
  <c r="L275" i="2"/>
  <c r="K59" i="1"/>
  <c r="J296" i="2"/>
  <c r="K28" i="1"/>
  <c r="J121" i="2"/>
  <c r="I160" i="2"/>
  <c r="L284" i="2"/>
  <c r="K18" i="2"/>
  <c r="K318" i="2"/>
  <c r="K242" i="2"/>
  <c r="K10" i="2"/>
  <c r="L216" i="2"/>
  <c r="J35" i="2"/>
  <c r="L38" i="1"/>
  <c r="E8" i="1"/>
  <c r="H276" i="2"/>
  <c r="H324" i="2"/>
  <c r="E68" i="2"/>
  <c r="D36" i="2"/>
  <c r="I36" i="2" s="1"/>
  <c r="E274" i="2"/>
  <c r="L274" i="2" s="1"/>
  <c r="E20" i="1"/>
  <c r="D25" i="1"/>
  <c r="G247" i="2"/>
  <c r="F36" i="1"/>
  <c r="G226" i="2"/>
  <c r="F74" i="2"/>
  <c r="G192" i="2"/>
  <c r="H10" i="2"/>
  <c r="H28" i="2"/>
  <c r="H90" i="2"/>
  <c r="G181" i="2"/>
  <c r="D264" i="2"/>
  <c r="E105" i="2"/>
  <c r="F20" i="2"/>
  <c r="J20" i="2" s="1"/>
  <c r="F318" i="2"/>
  <c r="G24" i="1"/>
  <c r="I177" i="2"/>
  <c r="G145" i="2"/>
  <c r="I342" i="2"/>
  <c r="H15" i="2"/>
  <c r="H239" i="2"/>
  <c r="E333" i="2"/>
  <c r="F150" i="2"/>
  <c r="J210" i="2"/>
  <c r="I274" i="2"/>
  <c r="G313" i="2"/>
  <c r="I314" i="2"/>
  <c r="F58" i="2"/>
  <c r="H329" i="2"/>
  <c r="E265" i="2"/>
  <c r="F135" i="2"/>
  <c r="G136" i="2"/>
  <c r="D201" i="2"/>
  <c r="K102" i="2"/>
  <c r="K103" i="2"/>
  <c r="K60" i="1"/>
  <c r="G259" i="2"/>
  <c r="H41" i="2"/>
  <c r="E18" i="1"/>
  <c r="K18" i="1" s="1"/>
  <c r="E176" i="2"/>
  <c r="J200" i="2"/>
  <c r="J74" i="2"/>
  <c r="J318" i="2"/>
  <c r="L125" i="2"/>
  <c r="H173" i="2"/>
  <c r="L82" i="2"/>
  <c r="K151" i="2"/>
  <c r="D43" i="1"/>
  <c r="H73" i="2"/>
  <c r="I111" i="2"/>
  <c r="K42" i="1"/>
  <c r="K137" i="2"/>
  <c r="L57" i="2"/>
  <c r="D287" i="2"/>
  <c r="H63" i="2"/>
  <c r="D156" i="2"/>
  <c r="G274" i="2"/>
  <c r="D164" i="2"/>
  <c r="E289" i="2"/>
  <c r="D95" i="2"/>
  <c r="G341" i="2"/>
  <c r="H34" i="1"/>
  <c r="D143" i="2"/>
  <c r="L143" i="2" s="1"/>
  <c r="G29" i="1"/>
  <c r="D110" i="2"/>
  <c r="H139" i="2"/>
  <c r="G137" i="2"/>
  <c r="G272" i="2"/>
  <c r="F122" i="2"/>
  <c r="H42" i="2"/>
  <c r="H41" i="1"/>
  <c r="E248" i="2"/>
  <c r="D61" i="1"/>
  <c r="L249" i="2"/>
  <c r="H50" i="2"/>
  <c r="F181" i="2"/>
  <c r="G239" i="2"/>
  <c r="F260" i="2"/>
  <c r="J260" i="2" s="1"/>
  <c r="H29" i="1"/>
  <c r="I57" i="2"/>
  <c r="H27" i="2"/>
  <c r="J48" i="2"/>
  <c r="H15" i="1"/>
  <c r="J340" i="2"/>
  <c r="F47" i="1"/>
  <c r="D183" i="2"/>
  <c r="I143" i="2"/>
  <c r="D333" i="2"/>
  <c r="F226" i="2"/>
  <c r="E222" i="2"/>
  <c r="I222" i="2" s="1"/>
  <c r="D30" i="2"/>
  <c r="D109" i="2"/>
  <c r="F170" i="2"/>
  <c r="L8" i="1"/>
  <c r="E316" i="2"/>
  <c r="K74" i="2"/>
  <c r="F275" i="2"/>
  <c r="H231" i="2"/>
  <c r="E33" i="1"/>
  <c r="J36" i="1"/>
  <c r="K14" i="2"/>
  <c r="L199" i="2"/>
  <c r="I157" i="2"/>
  <c r="F68" i="2"/>
  <c r="H126" i="2"/>
  <c r="H30" i="1"/>
  <c r="D25" i="2"/>
  <c r="G194" i="2"/>
  <c r="H246" i="2"/>
  <c r="G53" i="2"/>
  <c r="G38" i="1"/>
  <c r="D24" i="2"/>
  <c r="F240" i="2"/>
  <c r="G160" i="2"/>
  <c r="H340" i="2"/>
  <c r="G209" i="2"/>
  <c r="H195" i="2"/>
  <c r="E13" i="1"/>
  <c r="F59" i="2"/>
  <c r="D44" i="2"/>
  <c r="E108" i="2"/>
  <c r="K114" i="2"/>
  <c r="D15" i="2"/>
  <c r="J15" i="2" s="1"/>
  <c r="H141" i="2"/>
  <c r="F18" i="2"/>
  <c r="K69" i="2"/>
  <c r="G243" i="2"/>
  <c r="E5" i="2"/>
  <c r="J88" i="2"/>
  <c r="I151" i="2"/>
  <c r="J342" i="2"/>
  <c r="L178" i="2"/>
  <c r="I270" i="2"/>
  <c r="D14" i="1"/>
  <c r="L16" i="2"/>
  <c r="L258" i="2"/>
  <c r="G165" i="2"/>
  <c r="J102" i="2"/>
  <c r="F245" i="2"/>
  <c r="D309" i="2"/>
  <c r="E141" i="2"/>
  <c r="I141" i="2" s="1"/>
  <c r="H273" i="2"/>
  <c r="F44" i="1"/>
  <c r="D331" i="2"/>
  <c r="L331" i="2" s="1"/>
  <c r="E63" i="2"/>
  <c r="H4" i="2"/>
  <c r="E76" i="2"/>
  <c r="E4" i="2"/>
  <c r="G178" i="2"/>
  <c r="G51" i="1"/>
  <c r="H263" i="2"/>
  <c r="G120" i="2"/>
  <c r="F295" i="2"/>
  <c r="E155" i="2"/>
  <c r="D305" i="2"/>
  <c r="E170" i="2"/>
  <c r="F189" i="2"/>
  <c r="J189" i="2" s="1"/>
  <c r="L153" i="2"/>
  <c r="G56" i="2"/>
  <c r="I23" i="2"/>
  <c r="E158" i="2"/>
  <c r="H20" i="1"/>
  <c r="K260" i="2"/>
  <c r="G155" i="2"/>
  <c r="F36" i="2"/>
  <c r="G15" i="1"/>
  <c r="K48" i="2"/>
  <c r="D230" i="2"/>
  <c r="J230" i="2" s="1"/>
  <c r="K258" i="2"/>
  <c r="J182" i="2"/>
  <c r="E14" i="1"/>
  <c r="E77" i="2"/>
  <c r="J89" i="2"/>
  <c r="D336" i="2"/>
  <c r="F328" i="2"/>
  <c r="J328" i="2" s="1"/>
  <c r="E17" i="1"/>
  <c r="F313" i="2"/>
  <c r="J175" i="2"/>
  <c r="K86" i="2"/>
  <c r="F197" i="2"/>
  <c r="F82" i="2"/>
  <c r="J13" i="2"/>
  <c r="D158" i="2"/>
  <c r="F149" i="2"/>
  <c r="L328" i="2"/>
  <c r="K231" i="2"/>
  <c r="I259" i="2"/>
  <c r="I49" i="1"/>
  <c r="D84" i="2"/>
  <c r="L28" i="1"/>
  <c r="F69" i="2"/>
  <c r="F171" i="2"/>
  <c r="D29" i="1"/>
  <c r="D321" i="2"/>
  <c r="F247" i="2"/>
  <c r="J247" i="2" s="1"/>
  <c r="G82" i="2"/>
  <c r="G266" i="2"/>
  <c r="G306" i="2"/>
  <c r="G28" i="2"/>
  <c r="G211" i="2"/>
  <c r="H266" i="2"/>
  <c r="F270" i="2"/>
  <c r="G20" i="1"/>
  <c r="K255" i="2"/>
  <c r="E112" i="2"/>
  <c r="G316" i="2"/>
  <c r="G235" i="2"/>
  <c r="E207" i="2"/>
  <c r="G147" i="2"/>
  <c r="F17" i="2"/>
  <c r="J17" i="2" s="1"/>
  <c r="H28" i="1"/>
  <c r="H59" i="1"/>
  <c r="E240" i="2"/>
  <c r="G49" i="1"/>
  <c r="F334" i="2"/>
  <c r="J334" i="2" s="1"/>
  <c r="E287" i="2"/>
  <c r="F99" i="2"/>
  <c r="G5" i="1"/>
  <c r="E326" i="2"/>
  <c r="D47" i="2"/>
  <c r="G44" i="2"/>
  <c r="E218" i="2"/>
  <c r="H52" i="1"/>
  <c r="D33" i="2"/>
  <c r="I33" i="2" s="1"/>
  <c r="G66" i="2"/>
  <c r="G55" i="1"/>
  <c r="D289" i="2"/>
  <c r="G151" i="2"/>
  <c r="E192" i="2"/>
  <c r="F49" i="1"/>
  <c r="J49" i="1" s="1"/>
  <c r="F239" i="2"/>
  <c r="G15" i="2"/>
  <c r="H155" i="2"/>
  <c r="D112" i="2"/>
  <c r="E212" i="2"/>
  <c r="D40" i="2"/>
  <c r="K40" i="2" s="1"/>
  <c r="H48" i="1"/>
  <c r="G182" i="2"/>
  <c r="D304" i="2"/>
  <c r="G271" i="2"/>
  <c r="E26" i="2"/>
  <c r="E5" i="1"/>
  <c r="D64" i="2"/>
  <c r="L64" i="2" s="1"/>
  <c r="G166" i="2"/>
  <c r="F323" i="2"/>
  <c r="E325" i="2"/>
  <c r="F301" i="2"/>
  <c r="J221" i="2"/>
  <c r="E245" i="2"/>
  <c r="I245" i="2" s="1"/>
  <c r="H95" i="2"/>
  <c r="E208" i="2"/>
  <c r="J208" i="2" s="1"/>
  <c r="K240" i="2"/>
  <c r="H147" i="2"/>
  <c r="F184" i="2"/>
  <c r="K306" i="2"/>
  <c r="J93" i="2"/>
  <c r="G102" i="2"/>
  <c r="I175" i="2"/>
  <c r="H301" i="2"/>
  <c r="G3" i="1"/>
  <c r="I170" i="2"/>
  <c r="G184" i="2"/>
  <c r="L290" i="2"/>
  <c r="G84" i="2"/>
  <c r="E188" i="2"/>
  <c r="K188" i="2" s="1"/>
  <c r="E37" i="1"/>
  <c r="I37" i="1" s="1"/>
  <c r="K199" i="2"/>
  <c r="G10" i="2"/>
  <c r="I303" i="2"/>
  <c r="G116" i="2"/>
  <c r="I210" i="2"/>
  <c r="G50" i="2"/>
  <c r="L303" i="2"/>
  <c r="L152" i="2"/>
  <c r="I81" i="2"/>
  <c r="L297" i="2"/>
  <c r="K200" i="2"/>
  <c r="H247" i="2"/>
  <c r="L224" i="2"/>
  <c r="F293" i="2"/>
  <c r="E269" i="2"/>
  <c r="I269" i="2" s="1"/>
  <c r="I184" i="2"/>
  <c r="H212" i="2"/>
  <c r="L240" i="2"/>
  <c r="K159" i="2"/>
  <c r="L217" i="2"/>
  <c r="I59" i="1"/>
  <c r="I55" i="1"/>
  <c r="G90" i="2"/>
  <c r="K100" i="2"/>
  <c r="G141" i="2"/>
  <c r="I62" i="1"/>
  <c r="I23" i="1"/>
  <c r="G212" i="2"/>
  <c r="L36" i="2"/>
  <c r="G78" i="2"/>
  <c r="F104" i="2"/>
  <c r="D171" i="2"/>
  <c r="F51" i="2"/>
  <c r="F317" i="2"/>
  <c r="E97" i="2"/>
  <c r="F216" i="2"/>
  <c r="J216" i="2" s="1"/>
  <c r="G36" i="2"/>
  <c r="E301" i="2"/>
  <c r="D78" i="2"/>
  <c r="H186" i="2"/>
  <c r="D209" i="2"/>
  <c r="H277" i="2"/>
  <c r="G14" i="1"/>
  <c r="E42" i="2"/>
  <c r="J42" i="2" s="1"/>
  <c r="E190" i="2"/>
  <c r="D59" i="2"/>
  <c r="L59" i="2" s="1"/>
  <c r="H142" i="2"/>
  <c r="H209" i="2"/>
  <c r="H100" i="2"/>
  <c r="E67" i="2"/>
  <c r="F126" i="2"/>
  <c r="J126" i="2" s="1"/>
  <c r="F145" i="2"/>
  <c r="F206" i="2"/>
  <c r="J206" i="2" s="1"/>
  <c r="E288" i="2"/>
  <c r="J288" i="2" s="1"/>
  <c r="F58" i="1"/>
  <c r="L70" i="2"/>
  <c r="G61" i="1"/>
  <c r="D241" i="2"/>
  <c r="G29" i="2"/>
  <c r="I34" i="2"/>
  <c r="L170" i="2"/>
  <c r="J71" i="2"/>
  <c r="H50" i="1"/>
  <c r="F178" i="2"/>
  <c r="J178" i="2" s="1"/>
  <c r="K36" i="2"/>
  <c r="I118" i="2"/>
  <c r="E32" i="1"/>
  <c r="I215" i="2"/>
  <c r="L177" i="2"/>
  <c r="L326" i="2"/>
  <c r="L260" i="2"/>
  <c r="F32" i="1"/>
  <c r="J32" i="1" s="1"/>
  <c r="D204" i="2"/>
  <c r="K13" i="1"/>
  <c r="I54" i="2"/>
  <c r="L154" i="2"/>
  <c r="G8" i="2"/>
  <c r="D207" i="2"/>
  <c r="K46" i="2"/>
  <c r="I89" i="2"/>
  <c r="E43" i="2"/>
  <c r="G321" i="2"/>
  <c r="J241" i="2"/>
  <c r="E3" i="1"/>
  <c r="G276" i="2"/>
  <c r="L316" i="2"/>
  <c r="I182" i="2"/>
  <c r="L283" i="2"/>
  <c r="D315" i="2"/>
  <c r="G336" i="2"/>
  <c r="D191" i="2"/>
  <c r="K302" i="2"/>
  <c r="H36" i="1"/>
  <c r="L180" i="2"/>
  <c r="D233" i="2"/>
  <c r="I102" i="2"/>
  <c r="H337" i="2"/>
  <c r="D96" i="2"/>
  <c r="J18" i="2"/>
  <c r="J239" i="2"/>
  <c r="I94" i="2"/>
  <c r="L20" i="2"/>
  <c r="H169" i="2"/>
  <c r="I49" i="2"/>
  <c r="L49" i="2"/>
  <c r="I19" i="2"/>
  <c r="G85" i="2"/>
  <c r="J253" i="2"/>
  <c r="K147" i="2"/>
  <c r="L90" i="2"/>
  <c r="I339" i="2"/>
  <c r="I211" i="2"/>
  <c r="I24" i="1"/>
  <c r="K37" i="1"/>
  <c r="L135" i="2"/>
  <c r="J201" i="2"/>
  <c r="J61" i="2"/>
  <c r="J170" i="2"/>
  <c r="I229" i="2"/>
  <c r="K299" i="2"/>
  <c r="K61" i="2"/>
  <c r="J150" i="2"/>
  <c r="K171" i="2"/>
  <c r="I70" i="2"/>
  <c r="J231" i="2"/>
  <c r="I100" i="2"/>
  <c r="J181" i="2"/>
  <c r="J12" i="2"/>
  <c r="L212" i="2"/>
  <c r="I61" i="2"/>
  <c r="J215" i="2"/>
  <c r="K37" i="2"/>
  <c r="I292" i="2"/>
  <c r="H68" i="2"/>
  <c r="K17" i="2"/>
  <c r="L9" i="1"/>
  <c r="J19" i="1"/>
  <c r="F177" i="2"/>
  <c r="H108" i="2"/>
  <c r="E198" i="2"/>
  <c r="J198" i="2" s="1"/>
  <c r="E183" i="2"/>
  <c r="K183" i="2" s="1"/>
  <c r="L278" i="2"/>
  <c r="H237" i="2"/>
  <c r="I322" i="2"/>
  <c r="J309" i="2"/>
  <c r="J227" i="2"/>
  <c r="I8" i="1"/>
  <c r="I318" i="2"/>
  <c r="G170" i="2"/>
  <c r="I257" i="2"/>
  <c r="I296" i="2"/>
  <c r="I71" i="2"/>
  <c r="I341" i="2"/>
  <c r="F284" i="2"/>
  <c r="J284" i="2" s="1"/>
  <c r="K224" i="2"/>
  <c r="K116" i="2"/>
  <c r="G60" i="1"/>
  <c r="F3" i="1"/>
  <c r="J283" i="2"/>
  <c r="J183" i="2"/>
  <c r="J157" i="2"/>
  <c r="K339" i="2"/>
  <c r="I276" i="2"/>
  <c r="J211" i="2"/>
  <c r="L279" i="2"/>
  <c r="J246" i="2"/>
  <c r="J73" i="2"/>
  <c r="J50" i="1"/>
  <c r="I20" i="2"/>
  <c r="L157" i="2"/>
  <c r="K234" i="2"/>
  <c r="K127" i="2"/>
  <c r="K245" i="2"/>
  <c r="J336" i="2"/>
  <c r="J254" i="2"/>
  <c r="I31" i="2"/>
  <c r="J225" i="2"/>
  <c r="J306" i="2"/>
  <c r="K119" i="2"/>
  <c r="I181" i="2"/>
  <c r="J195" i="2"/>
  <c r="I56" i="2"/>
  <c r="F196" i="2"/>
  <c r="J196" i="2" s="1"/>
  <c r="K261" i="2"/>
  <c r="L4" i="1"/>
  <c r="J305" i="2"/>
  <c r="L116" i="2"/>
  <c r="L270" i="2"/>
  <c r="I59" i="2"/>
  <c r="K168" i="2"/>
  <c r="F41" i="1"/>
  <c r="F165" i="2"/>
  <c r="H74" i="2"/>
  <c r="D8" i="2"/>
  <c r="F79" i="2"/>
  <c r="F53" i="2"/>
  <c r="L288" i="2"/>
  <c r="H192" i="2"/>
  <c r="J314" i="2"/>
  <c r="F333" i="2"/>
  <c r="J333" i="2" s="1"/>
  <c r="E315" i="2"/>
  <c r="J315" i="2" s="1"/>
  <c r="F62" i="2"/>
  <c r="J44" i="2"/>
  <c r="J149" i="2"/>
  <c r="J59" i="2"/>
  <c r="E165" i="2"/>
  <c r="I165" i="2" s="1"/>
  <c r="L6" i="2"/>
  <c r="L30" i="2"/>
  <c r="D11" i="1"/>
  <c r="I11" i="1" s="1"/>
  <c r="L15" i="2"/>
  <c r="H92" i="2"/>
  <c r="K277" i="2"/>
  <c r="J274" i="2"/>
  <c r="J11" i="1"/>
  <c r="J339" i="2"/>
  <c r="L340" i="2"/>
  <c r="I68" i="2"/>
  <c r="K279" i="2"/>
  <c r="I246" i="2"/>
  <c r="J10" i="2"/>
  <c r="K50" i="1"/>
  <c r="K28" i="2"/>
  <c r="K80" i="2"/>
  <c r="L165" i="2"/>
  <c r="L66" i="2"/>
  <c r="K5" i="2"/>
  <c r="H211" i="2"/>
  <c r="D98" i="2"/>
  <c r="J233" i="2"/>
  <c r="K117" i="2"/>
  <c r="K99" i="2"/>
  <c r="L265" i="2"/>
  <c r="K20" i="1"/>
  <c r="J97" i="2"/>
  <c r="K270" i="2"/>
  <c r="K287" i="2"/>
  <c r="E29" i="1"/>
  <c r="L61" i="2"/>
  <c r="D33" i="1"/>
  <c r="D161" i="2"/>
  <c r="E205" i="2"/>
  <c r="D38" i="2"/>
  <c r="K38" i="2" s="1"/>
  <c r="K175" i="2"/>
  <c r="D12" i="1"/>
  <c r="G45" i="2"/>
  <c r="K143" i="2"/>
  <c r="E39" i="1"/>
  <c r="K12" i="2"/>
  <c r="K130" i="2"/>
  <c r="H36" i="2"/>
  <c r="G91" i="2"/>
  <c r="K244" i="2"/>
  <c r="K210" i="2"/>
  <c r="L49" i="1"/>
  <c r="K317" i="2"/>
  <c r="D22" i="1"/>
  <c r="I178" i="2"/>
  <c r="I58" i="1"/>
  <c r="L28" i="2"/>
  <c r="J128" i="2"/>
  <c r="J172" i="2"/>
  <c r="K206" i="2"/>
  <c r="J82" i="2"/>
  <c r="L339" i="2"/>
  <c r="I340" i="2"/>
  <c r="K68" i="2"/>
  <c r="K246" i="2"/>
  <c r="I17" i="1"/>
  <c r="L37" i="2"/>
  <c r="J28" i="2"/>
  <c r="J80" i="2"/>
  <c r="K165" i="2"/>
  <c r="K26" i="2"/>
  <c r="L282" i="2"/>
  <c r="I220" i="2"/>
  <c r="K335" i="2"/>
  <c r="J14" i="1"/>
  <c r="J57" i="2"/>
  <c r="J36" i="2"/>
  <c r="J4" i="2"/>
  <c r="I15" i="2"/>
  <c r="K109" i="2"/>
  <c r="K42" i="2"/>
  <c r="K62" i="1"/>
  <c r="E32" i="2"/>
  <c r="L110" i="2"/>
  <c r="I317" i="2"/>
  <c r="K19" i="1"/>
  <c r="L46" i="2"/>
  <c r="I117" i="2"/>
  <c r="D218" i="2"/>
  <c r="J250" i="2"/>
  <c r="D319" i="2"/>
  <c r="J64" i="2"/>
  <c r="J270" i="2"/>
  <c r="L37" i="1"/>
  <c r="H29" i="2"/>
  <c r="H214" i="2"/>
  <c r="H297" i="2"/>
  <c r="E104" i="2"/>
  <c r="I104" i="2" s="1"/>
  <c r="H103" i="2"/>
  <c r="K155" i="2"/>
  <c r="J54" i="2"/>
  <c r="E148" i="2"/>
  <c r="I231" i="2"/>
  <c r="J207" i="2"/>
  <c r="D79" i="2"/>
  <c r="H58" i="1"/>
  <c r="I83" i="2"/>
  <c r="L268" i="2"/>
  <c r="L104" i="2"/>
  <c r="J24" i="1"/>
  <c r="K121" i="2"/>
  <c r="K142" i="2"/>
  <c r="K315" i="2"/>
  <c r="L42" i="1"/>
  <c r="L246" i="2"/>
  <c r="J38" i="1"/>
  <c r="J37" i="1"/>
  <c r="K250" i="2"/>
  <c r="K308" i="2"/>
  <c r="E134" i="2"/>
  <c r="L3" i="1"/>
  <c r="I112" i="2"/>
  <c r="E332" i="2"/>
  <c r="L332" i="2" s="1"/>
  <c r="G150" i="2"/>
  <c r="E304" i="2"/>
  <c r="G77" i="2"/>
  <c r="E163" i="2"/>
  <c r="I91" i="2"/>
  <c r="E47" i="1"/>
  <c r="I187" i="2"/>
  <c r="J192" i="2"/>
  <c r="F277" i="2"/>
  <c r="J277" i="2" s="1"/>
  <c r="H319" i="2"/>
  <c r="I224" i="2"/>
  <c r="D267" i="2"/>
  <c r="H134" i="2"/>
  <c r="L310" i="2"/>
  <c r="E263" i="2"/>
  <c r="K327" i="2"/>
  <c r="I195" i="2"/>
  <c r="I305" i="2"/>
  <c r="L121" i="2"/>
  <c r="J55" i="2"/>
  <c r="J6" i="1"/>
  <c r="I7" i="1"/>
  <c r="I36" i="1"/>
  <c r="K15" i="2"/>
  <c r="J109" i="2"/>
  <c r="I42" i="2"/>
  <c r="L10" i="1"/>
  <c r="K310" i="2"/>
  <c r="I234" i="2"/>
  <c r="J62" i="1"/>
  <c r="I29" i="1"/>
  <c r="K263" i="2"/>
  <c r="L273" i="2"/>
  <c r="K20" i="2"/>
  <c r="I62" i="2"/>
  <c r="J332" i="2"/>
  <c r="L261" i="2"/>
  <c r="K322" i="2"/>
  <c r="K170" i="2"/>
  <c r="G28" i="1"/>
  <c r="I38" i="2"/>
  <c r="K9" i="1"/>
  <c r="G183" i="2"/>
  <c r="E285" i="2"/>
  <c r="J285" i="2" s="1"/>
  <c r="E323" i="2"/>
  <c r="J323" i="2" s="1"/>
  <c r="D146" i="2"/>
  <c r="J146" i="2" s="1"/>
  <c r="E60" i="2"/>
  <c r="J22" i="2"/>
  <c r="H320" i="2"/>
  <c r="L166" i="2"/>
  <c r="K272" i="2"/>
  <c r="G138" i="2"/>
  <c r="E72" i="2"/>
  <c r="I74" i="2"/>
  <c r="L160" i="2"/>
  <c r="L211" i="2"/>
  <c r="L80" i="2"/>
  <c r="G10" i="1"/>
  <c r="L33" i="2"/>
  <c r="F174" i="2"/>
  <c r="I267" i="2"/>
  <c r="I271" i="2"/>
  <c r="J243" i="2"/>
  <c r="L175" i="2"/>
  <c r="I105" i="2"/>
  <c r="L245" i="2"/>
  <c r="L42" i="2"/>
  <c r="K10" i="1"/>
  <c r="I128" i="2"/>
  <c r="I310" i="2"/>
  <c r="I216" i="2"/>
  <c r="J269" i="2"/>
  <c r="L225" i="2"/>
  <c r="I38" i="1"/>
  <c r="L263" i="2"/>
  <c r="L84" i="2"/>
  <c r="J135" i="2"/>
  <c r="L341" i="2"/>
  <c r="L159" i="2"/>
  <c r="J145" i="2"/>
  <c r="I51" i="2"/>
  <c r="J116" i="2"/>
  <c r="G86" i="2"/>
  <c r="J38" i="2"/>
  <c r="J60" i="1"/>
  <c r="I289" i="2"/>
  <c r="L128" i="2"/>
  <c r="L269" i="2"/>
  <c r="J180" i="2"/>
  <c r="K303" i="2"/>
  <c r="E65" i="2"/>
  <c r="K65" i="2" s="1"/>
  <c r="G291" i="2"/>
  <c r="J34" i="2"/>
  <c r="I35" i="2"/>
  <c r="J148" i="2"/>
  <c r="K216" i="2"/>
  <c r="J256" i="2"/>
  <c r="I158" i="2"/>
  <c r="D41" i="1"/>
  <c r="H295" i="2"/>
  <c r="E185" i="2"/>
  <c r="F95" i="2"/>
  <c r="J95" i="2" s="1"/>
  <c r="L50" i="2"/>
  <c r="L264" i="2"/>
  <c r="L65" i="2"/>
  <c r="G284" i="2"/>
  <c r="I60" i="2"/>
  <c r="J259" i="2"/>
  <c r="F43" i="1"/>
  <c r="J43" i="1" s="1"/>
  <c r="K319" i="2"/>
  <c r="L14" i="1"/>
  <c r="K230" i="2"/>
  <c r="J164" i="2"/>
  <c r="K43" i="1"/>
  <c r="E35" i="1"/>
  <c r="L81" i="2"/>
  <c r="I139" i="2"/>
  <c r="I123" i="2"/>
  <c r="K243" i="2"/>
  <c r="J190" i="2"/>
  <c r="H6" i="5"/>
  <c r="E266" i="2"/>
  <c r="F76" i="2"/>
  <c r="J76" i="2" s="1"/>
  <c r="I258" i="2"/>
  <c r="I266" i="2"/>
  <c r="J26" i="2"/>
  <c r="K321" i="2"/>
  <c r="L308" i="2"/>
  <c r="E298" i="2"/>
  <c r="L60" i="2"/>
  <c r="G14" i="2"/>
  <c r="K220" i="2"/>
  <c r="J331" i="2"/>
  <c r="J212" i="2"/>
  <c r="L313" i="2"/>
  <c r="K239" i="2"/>
  <c r="K83" i="2"/>
  <c r="I28" i="2"/>
  <c r="L156" i="2"/>
  <c r="J219" i="2"/>
  <c r="K328" i="2"/>
  <c r="I196" i="2"/>
  <c r="J320" i="2"/>
  <c r="L196" i="2"/>
  <c r="J96" i="2"/>
  <c r="I66" i="2"/>
  <c r="I336" i="2"/>
  <c r="L254" i="2"/>
  <c r="L31" i="2"/>
  <c r="J43" i="2"/>
  <c r="I225" i="2"/>
  <c r="I31" i="1"/>
  <c r="J20" i="1"/>
  <c r="L23" i="1"/>
  <c r="G220" i="2"/>
  <c r="I286" i="2"/>
  <c r="J184" i="2"/>
  <c r="K51" i="2"/>
  <c r="J59" i="1"/>
  <c r="E262" i="2"/>
  <c r="J262" i="2" s="1"/>
  <c r="H325" i="2"/>
  <c r="H222" i="2"/>
  <c r="D197" i="2"/>
  <c r="J52" i="1"/>
  <c r="F276" i="2"/>
  <c r="D21" i="1"/>
  <c r="E47" i="2"/>
  <c r="J118" i="2"/>
  <c r="K139" i="2"/>
  <c r="K307" i="2"/>
  <c r="K33" i="1"/>
  <c r="L58" i="2"/>
  <c r="E45" i="2"/>
  <c r="K23" i="1"/>
  <c r="D122" i="2"/>
  <c r="I5" i="2"/>
  <c r="K115" i="2"/>
  <c r="K21" i="2"/>
  <c r="E3" i="2"/>
  <c r="J10" i="1"/>
  <c r="L286" i="2"/>
  <c r="L158" i="2"/>
  <c r="K196" i="2"/>
  <c r="I27" i="2"/>
  <c r="L96" i="2"/>
  <c r="L127" i="2"/>
  <c r="I21" i="2"/>
  <c r="K254" i="2"/>
  <c r="J31" i="2"/>
  <c r="L43" i="2"/>
  <c r="J213" i="2"/>
  <c r="K31" i="1"/>
  <c r="I122" i="2"/>
  <c r="I8" i="2"/>
  <c r="K25" i="2"/>
  <c r="K225" i="2"/>
  <c r="K3" i="2"/>
  <c r="E9" i="2"/>
  <c r="J165" i="2"/>
  <c r="L62" i="2"/>
  <c r="I320" i="2"/>
  <c r="I275" i="2"/>
  <c r="E251" i="2"/>
  <c r="I47" i="1"/>
  <c r="I55" i="2"/>
  <c r="K45" i="2"/>
  <c r="I3" i="1"/>
  <c r="G223" i="2"/>
  <c r="L324" i="2"/>
  <c r="D176" i="2"/>
  <c r="D173" i="2"/>
  <c r="G269" i="2"/>
  <c r="F24" i="2"/>
  <c r="H127" i="2"/>
  <c r="J191" i="2"/>
  <c r="G312" i="2"/>
  <c r="L173" i="2"/>
  <c r="E15" i="1"/>
  <c r="I15" i="1" s="1"/>
  <c r="E330" i="2"/>
  <c r="I85" i="2"/>
  <c r="F115" i="2"/>
  <c r="J40" i="2"/>
  <c r="G32" i="2"/>
  <c r="I260" i="2"/>
  <c r="J310" i="2"/>
  <c r="I121" i="2"/>
  <c r="K33" i="2"/>
  <c r="J279" i="2"/>
  <c r="J234" i="2"/>
  <c r="K53" i="1"/>
  <c r="J151" i="2"/>
  <c r="L54" i="2"/>
  <c r="J8" i="2"/>
  <c r="K27" i="2"/>
  <c r="K134" i="2"/>
  <c r="L179" i="2"/>
  <c r="L21" i="2"/>
  <c r="I251" i="2"/>
  <c r="I335" i="2"/>
  <c r="J22" i="1"/>
  <c r="I43" i="2"/>
  <c r="I43" i="1"/>
  <c r="J122" i="2"/>
  <c r="J144" i="2"/>
  <c r="I153" i="2"/>
  <c r="J99" i="2"/>
  <c r="J197" i="2"/>
  <c r="I316" i="2"/>
  <c r="K97" i="2"/>
  <c r="H44" i="1"/>
  <c r="L24" i="1"/>
  <c r="J264" i="2"/>
  <c r="J33" i="2"/>
  <c r="I179" i="2"/>
  <c r="J267" i="2"/>
  <c r="K22" i="1"/>
  <c r="K43" i="2"/>
  <c r="K35" i="2"/>
  <c r="L43" i="1"/>
  <c r="G110" i="2"/>
  <c r="L107" i="2"/>
  <c r="L183" i="2"/>
  <c r="J222" i="2"/>
  <c r="L219" i="2"/>
  <c r="K104" i="2"/>
  <c r="K16" i="1"/>
  <c r="K7" i="1"/>
  <c r="L86" i="2"/>
  <c r="G148" i="2"/>
  <c r="H22" i="1"/>
  <c r="E209" i="2"/>
  <c r="I209" i="2" s="1"/>
  <c r="G70" i="2"/>
  <c r="F188" i="2"/>
  <c r="J188" i="2" s="1"/>
  <c r="E169" i="2"/>
  <c r="L342" i="2"/>
  <c r="G275" i="2"/>
  <c r="I37" i="2"/>
  <c r="L126" i="2"/>
  <c r="J257" i="2"/>
  <c r="E48" i="1"/>
  <c r="D226" i="2"/>
  <c r="E311" i="2"/>
  <c r="K45" i="1"/>
  <c r="L251" i="2"/>
  <c r="L200" i="2"/>
  <c r="K76" i="2"/>
  <c r="J25" i="2"/>
  <c r="I18" i="2"/>
  <c r="J27" i="2"/>
  <c r="J317" i="2"/>
  <c r="L320" i="2"/>
  <c r="L44" i="1"/>
  <c r="J21" i="1"/>
  <c r="F303" i="2"/>
  <c r="I17" i="2"/>
  <c r="L115" i="2"/>
  <c r="L315" i="2"/>
  <c r="J167" i="2"/>
  <c r="J3" i="1"/>
  <c r="J51" i="2"/>
  <c r="J123" i="2"/>
  <c r="H5" i="2"/>
  <c r="J44" i="1"/>
  <c r="H166" i="2"/>
  <c r="H213" i="2"/>
  <c r="H303" i="2"/>
  <c r="I54" i="1"/>
  <c r="D26" i="1"/>
  <c r="L112" i="2"/>
  <c r="F21" i="2"/>
  <c r="J21" i="2" s="1"/>
  <c r="G173" i="2"/>
  <c r="L87" i="2"/>
  <c r="I272" i="2"/>
  <c r="L27" i="2"/>
  <c r="J58" i="2"/>
  <c r="G11" i="2"/>
  <c r="D35" i="1"/>
  <c r="J100" i="2"/>
  <c r="E79" i="2"/>
  <c r="J79" i="2" s="1"/>
  <c r="J75" i="2"/>
  <c r="J275" i="2"/>
  <c r="I278" i="2"/>
  <c r="K207" i="2"/>
  <c r="F42" i="1"/>
  <c r="J34" i="1"/>
  <c r="J245" i="2"/>
  <c r="J16" i="1"/>
  <c r="L99" i="2"/>
  <c r="L250" i="2"/>
  <c r="I115" i="2"/>
  <c r="L305" i="2"/>
  <c r="J46" i="2"/>
  <c r="K62" i="2"/>
  <c r="K233" i="2"/>
  <c r="I4" i="1"/>
  <c r="K123" i="2"/>
  <c r="I315" i="2"/>
  <c r="L35" i="2"/>
  <c r="K222" i="2"/>
  <c r="K226" i="2"/>
  <c r="L117" i="2"/>
  <c r="J134" i="2"/>
  <c r="I241" i="2"/>
  <c r="J58" i="1"/>
  <c r="I294" i="2"/>
  <c r="H242" i="2"/>
  <c r="J31" i="1"/>
  <c r="L33" i="1"/>
  <c r="J160" i="2"/>
  <c r="J185" i="2"/>
  <c r="J28" i="1"/>
  <c r="L172" i="2"/>
  <c r="D5" i="1"/>
  <c r="G278" i="2"/>
  <c r="G68" i="2"/>
  <c r="D113" i="2"/>
  <c r="L302" i="2"/>
  <c r="E140" i="2"/>
  <c r="E291" i="2"/>
  <c r="J290" i="2"/>
  <c r="K247" i="2"/>
  <c r="L38" i="2"/>
  <c r="I114" i="2"/>
  <c r="L55" i="1"/>
  <c r="K59" i="2"/>
  <c r="K320" i="2"/>
  <c r="F15" i="1"/>
  <c r="J15" i="1" s="1"/>
  <c r="K36" i="1"/>
  <c r="L139" i="2"/>
  <c r="F11" i="2"/>
  <c r="D162" i="2"/>
  <c r="L185" i="2"/>
  <c r="G251" i="2"/>
  <c r="L208" i="2"/>
  <c r="J11" i="2"/>
  <c r="G144" i="2"/>
  <c r="D325" i="2"/>
  <c r="I99" i="2"/>
  <c r="I21" i="1"/>
  <c r="K93" i="2"/>
  <c r="I176" i="2"/>
  <c r="I253" i="2"/>
  <c r="L242" i="2"/>
  <c r="L98" i="2"/>
  <c r="I148" i="2"/>
  <c r="I27" i="1"/>
  <c r="G258" i="2"/>
  <c r="J12" i="1"/>
  <c r="K11" i="1"/>
  <c r="H305" i="2"/>
  <c r="J27" i="1"/>
  <c r="J156" i="2"/>
  <c r="J85" i="2"/>
  <c r="K221" i="2"/>
  <c r="I172" i="2"/>
  <c r="L337" i="2"/>
  <c r="K305" i="2"/>
  <c r="I46" i="2"/>
  <c r="I265" i="2"/>
  <c r="J244" i="2"/>
  <c r="K275" i="2"/>
  <c r="I243" i="2"/>
  <c r="I19" i="1"/>
  <c r="L16" i="1"/>
  <c r="I79" i="2"/>
  <c r="J287" i="2"/>
  <c r="L191" i="2"/>
  <c r="I33" i="1"/>
  <c r="I144" i="2"/>
  <c r="J40" i="1"/>
  <c r="L11" i="1"/>
  <c r="I244" i="2"/>
  <c r="J298" i="2"/>
  <c r="I45" i="2"/>
  <c r="I287" i="2"/>
  <c r="K262" i="2"/>
  <c r="L6" i="1"/>
  <c r="H87" i="2"/>
  <c r="K269" i="2"/>
  <c r="J307" i="2"/>
  <c r="K273" i="2"/>
  <c r="J66" i="2"/>
  <c r="G128" i="2"/>
  <c r="F119" i="2"/>
  <c r="I95" i="2"/>
  <c r="L323" i="2"/>
  <c r="I135" i="2"/>
  <c r="K32" i="1"/>
  <c r="D312" i="2"/>
  <c r="G111" i="2"/>
  <c r="K181" i="2"/>
  <c r="G207" i="2"/>
  <c r="D300" i="2"/>
  <c r="J300" i="2" s="1"/>
  <c r="K187" i="2"/>
  <c r="L67" i="2"/>
  <c r="K274" i="2"/>
  <c r="I223" i="2"/>
  <c r="K30" i="2"/>
  <c r="H158" i="2"/>
  <c r="I169" i="2"/>
  <c r="D51" i="1"/>
  <c r="D295" i="2"/>
  <c r="L31" i="1"/>
  <c r="K49" i="2"/>
  <c r="K312" i="2"/>
  <c r="L301" i="2"/>
  <c r="K160" i="2"/>
  <c r="L182" i="2"/>
  <c r="I56" i="1"/>
  <c r="L222" i="2"/>
  <c r="L68" i="2"/>
  <c r="J7" i="2"/>
  <c r="K237" i="2"/>
  <c r="K172" i="2"/>
  <c r="I337" i="2"/>
  <c r="L230" i="2"/>
  <c r="L13" i="1"/>
  <c r="K265" i="2"/>
  <c r="I298" i="2"/>
  <c r="J158" i="2"/>
  <c r="L243" i="2"/>
  <c r="L15" i="1"/>
  <c r="J7" i="1"/>
  <c r="J51" i="1"/>
  <c r="K311" i="2"/>
  <c r="L287" i="2"/>
  <c r="I16" i="1"/>
  <c r="J143" i="2"/>
  <c r="K158" i="2"/>
  <c r="L7" i="1"/>
  <c r="J4" i="1"/>
  <c r="I183" i="2"/>
  <c r="E120" i="2"/>
  <c r="I120" i="2" s="1"/>
  <c r="D41" i="2"/>
  <c r="J338" i="2"/>
  <c r="E61" i="1"/>
  <c r="J218" i="2"/>
  <c r="F252" i="2"/>
  <c r="J252" i="2" s="1"/>
  <c r="L146" i="2"/>
  <c r="I155" i="2"/>
  <c r="I273" i="2"/>
  <c r="L41" i="1"/>
  <c r="D186" i="2"/>
  <c r="L186" i="2" s="1"/>
  <c r="H251" i="2"/>
  <c r="I236" i="2"/>
  <c r="K90" i="2"/>
  <c r="F327" i="2"/>
  <c r="I186" i="2"/>
  <c r="E174" i="2"/>
  <c r="K152" i="2"/>
  <c r="L27" i="1"/>
  <c r="K325" i="2"/>
  <c r="H183" i="2"/>
  <c r="F326" i="2"/>
  <c r="G225" i="2"/>
  <c r="H221" i="2"/>
  <c r="K300" i="2"/>
  <c r="I80" i="2"/>
  <c r="I40" i="1"/>
  <c r="I18" i="1"/>
  <c r="D248" i="2"/>
  <c r="J204" i="2"/>
  <c r="J48" i="1"/>
  <c r="K91" i="2"/>
  <c r="J23" i="1"/>
  <c r="J33" i="1"/>
  <c r="I190" i="2"/>
  <c r="J278" i="2"/>
  <c r="K215" i="2"/>
  <c r="I230" i="2"/>
  <c r="K218" i="2"/>
  <c r="I9" i="1"/>
  <c r="J18" i="1"/>
  <c r="K15" i="1"/>
  <c r="L311" i="2"/>
  <c r="K53" i="2"/>
  <c r="K29" i="2"/>
  <c r="E329" i="2"/>
  <c r="J105" i="2"/>
  <c r="K278" i="2"/>
  <c r="L18" i="1"/>
  <c r="J177" i="2"/>
  <c r="L71" i="2"/>
  <c r="L47" i="2"/>
  <c r="K47" i="1"/>
  <c r="M8" i="3"/>
  <c r="K194" i="2"/>
  <c r="K54" i="1"/>
  <c r="I239" i="2"/>
  <c r="L142" i="2"/>
  <c r="K92" i="2"/>
  <c r="J14" i="2"/>
  <c r="J138" i="2"/>
  <c r="L138" i="2"/>
  <c r="K280" i="2"/>
  <c r="J280" i="2"/>
  <c r="L280" i="2"/>
  <c r="J50" i="2"/>
  <c r="I50" i="2"/>
  <c r="K50" i="2"/>
  <c r="K264" i="2"/>
  <c r="L60" i="1"/>
  <c r="I203" i="2"/>
  <c r="K203" i="2"/>
  <c r="K235" i="2"/>
  <c r="L235" i="2"/>
  <c r="I30" i="1"/>
  <c r="K30" i="1"/>
  <c r="I300" i="2"/>
  <c r="L300" i="2"/>
  <c r="L93" i="2"/>
  <c r="I93" i="2"/>
  <c r="J125" i="2"/>
  <c r="K125" i="2"/>
  <c r="K106" i="2"/>
  <c r="L106" i="2"/>
  <c r="K195" i="2"/>
  <c r="L195" i="2"/>
  <c r="I167" i="2"/>
  <c r="L167" i="2"/>
  <c r="K294" i="2"/>
  <c r="K217" i="2"/>
  <c r="I154" i="2"/>
  <c r="L334" i="2"/>
  <c r="I334" i="2"/>
  <c r="L130" i="2"/>
  <c r="I130" i="2"/>
  <c r="I129" i="2"/>
  <c r="L129" i="2"/>
  <c r="I180" i="2"/>
  <c r="K219" i="2"/>
  <c r="I219" i="2"/>
  <c r="K107" i="2"/>
  <c r="J127" i="2"/>
  <c r="I127" i="2"/>
  <c r="I90" i="2"/>
  <c r="J90" i="2"/>
  <c r="J56" i="2"/>
  <c r="L56" i="2"/>
  <c r="L247" i="2"/>
  <c r="I247" i="2"/>
  <c r="K229" i="2"/>
  <c r="L229" i="2"/>
  <c r="L271" i="2"/>
  <c r="I119" i="2"/>
  <c r="L119" i="2"/>
  <c r="L13" i="2"/>
  <c r="L118" i="2"/>
  <c r="K118" i="2"/>
  <c r="L277" i="2"/>
  <c r="I277" i="2"/>
  <c r="I228" i="2"/>
  <c r="K228" i="2"/>
  <c r="J228" i="2"/>
  <c r="L228" i="2"/>
  <c r="K337" i="2"/>
  <c r="J337" i="2"/>
  <c r="I22" i="2"/>
  <c r="L22" i="2"/>
  <c r="K22" i="2"/>
  <c r="L50" i="1"/>
  <c r="I50" i="1"/>
  <c r="J147" i="2"/>
  <c r="L147" i="2"/>
  <c r="I147" i="2"/>
  <c r="L161" i="2"/>
  <c r="J161" i="2"/>
  <c r="K161" i="2"/>
  <c r="I161" i="2"/>
  <c r="K293" i="2"/>
  <c r="I293" i="2"/>
  <c r="L293" i="2"/>
  <c r="K186" i="2"/>
  <c r="J186" i="2"/>
  <c r="I133" i="2"/>
  <c r="L133" i="2"/>
  <c r="J19" i="2"/>
  <c r="K19" i="2"/>
  <c r="L19" i="2"/>
  <c r="I327" i="2"/>
  <c r="L327" i="2"/>
  <c r="L57" i="1"/>
  <c r="I57" i="1"/>
  <c r="I69" i="2"/>
  <c r="I52" i="2"/>
  <c r="L52" i="2"/>
  <c r="K52" i="2"/>
  <c r="L52" i="1"/>
  <c r="K52" i="1"/>
  <c r="J8" i="1"/>
  <c r="K8" i="1"/>
  <c r="L105" i="2"/>
  <c r="K105" i="2"/>
  <c r="K110" i="2"/>
  <c r="I110" i="2"/>
  <c r="J110" i="2"/>
  <c r="I109" i="2"/>
  <c r="L25" i="2"/>
  <c r="I25" i="2"/>
  <c r="I108" i="2"/>
  <c r="J108" i="2"/>
  <c r="J5" i="2"/>
  <c r="L5" i="2"/>
  <c r="J141" i="2"/>
  <c r="L141" i="2"/>
  <c r="K141" i="2"/>
  <c r="I331" i="2"/>
  <c r="K331" i="2"/>
  <c r="J63" i="2"/>
  <c r="L63" i="2"/>
  <c r="I76" i="2"/>
  <c r="L76" i="2"/>
  <c r="K4" i="2"/>
  <c r="L4" i="2"/>
  <c r="I4" i="2"/>
  <c r="I240" i="2"/>
  <c r="L192" i="2"/>
  <c r="I192" i="2"/>
  <c r="K192" i="2"/>
  <c r="K212" i="2"/>
  <c r="I212" i="2"/>
  <c r="I40" i="2"/>
  <c r="L40" i="2"/>
  <c r="L26" i="2"/>
  <c r="I26" i="2"/>
  <c r="I5" i="1"/>
  <c r="J5" i="1"/>
  <c r="I64" i="2"/>
  <c r="K64" i="2"/>
  <c r="K208" i="2"/>
  <c r="L188" i="2"/>
  <c r="I188" i="2"/>
  <c r="I97" i="2"/>
  <c r="L97" i="2"/>
  <c r="K78" i="2"/>
  <c r="L78" i="2"/>
  <c r="J78" i="2"/>
  <c r="I78" i="2"/>
  <c r="L190" i="2"/>
  <c r="K190" i="2"/>
  <c r="K67" i="2"/>
  <c r="J67" i="2"/>
  <c r="K288" i="2"/>
  <c r="K198" i="2"/>
  <c r="I198" i="2"/>
  <c r="L198" i="2"/>
  <c r="L32" i="2"/>
  <c r="K332" i="2"/>
  <c r="I332" i="2"/>
  <c r="I285" i="2"/>
  <c r="L285" i="2"/>
  <c r="I323" i="2"/>
  <c r="K323" i="2"/>
  <c r="K146" i="2"/>
  <c r="J65" i="2"/>
  <c r="I262" i="2"/>
  <c r="L262" i="2"/>
  <c r="K209" i="2"/>
  <c r="L209" i="2"/>
  <c r="K79" i="2"/>
  <c r="L79" i="2"/>
  <c r="K120" i="2"/>
  <c r="L120" i="2"/>
  <c r="I61" i="1"/>
  <c r="K61" i="1"/>
  <c r="L136" i="2"/>
  <c r="K136" i="2"/>
  <c r="J136" i="2"/>
  <c r="I252" i="2"/>
  <c r="K252" i="2"/>
  <c r="L252" i="2"/>
  <c r="I137" i="2"/>
  <c r="L137" i="2"/>
  <c r="K238" i="2"/>
  <c r="J238" i="2"/>
  <c r="I26" i="1"/>
  <c r="L26" i="1"/>
  <c r="K227" i="2"/>
  <c r="I227" i="2"/>
  <c r="L227" i="2"/>
  <c r="K57" i="1"/>
  <c r="J57" i="1"/>
  <c r="K8" i="2"/>
  <c r="L8" i="2"/>
  <c r="I206" i="2"/>
  <c r="L276" i="2"/>
  <c r="K276" i="2"/>
  <c r="I213" i="2"/>
  <c r="K213" i="2"/>
  <c r="L213" i="2"/>
  <c r="L20" i="1"/>
  <c r="I20" i="1"/>
  <c r="K25" i="1"/>
  <c r="L25" i="1"/>
  <c r="I25" i="1"/>
  <c r="K333" i="2"/>
  <c r="I333" i="2"/>
  <c r="K201" i="2"/>
  <c r="I201" i="2"/>
  <c r="L201" i="2"/>
  <c r="I156" i="2"/>
  <c r="K156" i="2"/>
  <c r="I164" i="2"/>
  <c r="L164" i="2"/>
  <c r="K164" i="2"/>
  <c r="K289" i="2"/>
  <c r="L289" i="2"/>
  <c r="L95" i="2"/>
  <c r="K95" i="2"/>
  <c r="J30" i="2"/>
  <c r="K316" i="2"/>
  <c r="I24" i="2"/>
  <c r="L24" i="2"/>
  <c r="K24" i="2"/>
  <c r="J13" i="1"/>
  <c r="I13" i="1"/>
  <c r="L44" i="2"/>
  <c r="K44" i="2"/>
  <c r="I44" i="2"/>
  <c r="K108" i="2"/>
  <c r="L108" i="2"/>
  <c r="I309" i="2"/>
  <c r="K309" i="2"/>
  <c r="L309" i="2"/>
  <c r="I63" i="2"/>
  <c r="K63" i="2"/>
  <c r="J155" i="2"/>
  <c r="K14" i="1"/>
  <c r="I14" i="1"/>
  <c r="J77" i="2"/>
  <c r="I77" i="2"/>
  <c r="L77" i="2"/>
  <c r="K77" i="2"/>
  <c r="L336" i="2"/>
  <c r="K336" i="2"/>
  <c r="K17" i="1"/>
  <c r="L17" i="1"/>
  <c r="J17" i="1"/>
  <c r="J84" i="2"/>
  <c r="I84" i="2"/>
  <c r="K84" i="2"/>
  <c r="L321" i="2"/>
  <c r="J321" i="2"/>
  <c r="I321" i="2"/>
  <c r="K112" i="2"/>
  <c r="J112" i="2"/>
  <c r="K326" i="2"/>
  <c r="J325" i="2"/>
  <c r="I325" i="2"/>
  <c r="L325" i="2"/>
  <c r="I171" i="2"/>
  <c r="L171" i="2"/>
  <c r="J301" i="2"/>
  <c r="K301" i="2"/>
  <c r="I301" i="2"/>
  <c r="L241" i="2"/>
  <c r="K241" i="2"/>
  <c r="I32" i="1"/>
  <c r="L32" i="1"/>
  <c r="K204" i="2"/>
  <c r="I204" i="2"/>
  <c r="L204" i="2"/>
  <c r="L207" i="2"/>
  <c r="K191" i="2"/>
  <c r="I191" i="2"/>
  <c r="L233" i="2"/>
  <c r="I233" i="2"/>
  <c r="I96" i="2"/>
  <c r="K96" i="2"/>
  <c r="I98" i="2"/>
  <c r="K98" i="2"/>
  <c r="J98" i="2"/>
  <c r="K29" i="1"/>
  <c r="J29" i="1"/>
  <c r="L29" i="1"/>
  <c r="J205" i="2"/>
  <c r="K205" i="2"/>
  <c r="I205" i="2"/>
  <c r="L205" i="2"/>
  <c r="I12" i="1"/>
  <c r="L12" i="1"/>
  <c r="K12" i="1"/>
  <c r="I39" i="1"/>
  <c r="L39" i="1"/>
  <c r="I22" i="1"/>
  <c r="I32" i="2"/>
  <c r="J32" i="2"/>
  <c r="I218" i="2"/>
  <c r="L218" i="2"/>
  <c r="L319" i="2"/>
  <c r="J319" i="2"/>
  <c r="I319" i="2"/>
  <c r="L148" i="2"/>
  <c r="K148" i="2"/>
  <c r="I134" i="2"/>
  <c r="L134" i="2"/>
  <c r="I304" i="2"/>
  <c r="J304" i="2"/>
  <c r="K304" i="2"/>
  <c r="L304" i="2"/>
  <c r="I163" i="2"/>
  <c r="L163" i="2"/>
  <c r="J163" i="2"/>
  <c r="K163" i="2"/>
  <c r="J47" i="1"/>
  <c r="L47" i="1"/>
  <c r="L267" i="2"/>
  <c r="K267" i="2"/>
  <c r="J263" i="2"/>
  <c r="I263" i="2"/>
  <c r="K60" i="2"/>
  <c r="J60" i="2"/>
  <c r="L72" i="2"/>
  <c r="J72" i="2"/>
  <c r="I72" i="2"/>
  <c r="J41" i="1"/>
  <c r="K41" i="1"/>
  <c r="K185" i="2"/>
  <c r="L35" i="1"/>
  <c r="J35" i="1"/>
  <c r="I35" i="1"/>
  <c r="K35" i="1"/>
  <c r="K266" i="2"/>
  <c r="J266" i="2"/>
  <c r="L266" i="2"/>
  <c r="L298" i="2"/>
  <c r="K298" i="2"/>
  <c r="K197" i="2"/>
  <c r="L197" i="2"/>
  <c r="I197" i="2"/>
  <c r="K21" i="1"/>
  <c r="L21" i="1"/>
  <c r="J47" i="2"/>
  <c r="I47" i="2"/>
  <c r="K47" i="2"/>
  <c r="J45" i="2"/>
  <c r="L45" i="2"/>
  <c r="K122" i="2"/>
  <c r="L122" i="2"/>
  <c r="I3" i="2"/>
  <c r="J3" i="2"/>
  <c r="L3" i="2"/>
  <c r="K9" i="2"/>
  <c r="L9" i="2"/>
  <c r="J9" i="2"/>
  <c r="I9" i="2"/>
  <c r="K251" i="2"/>
  <c r="J251" i="2"/>
  <c r="J176" i="2"/>
  <c r="K176" i="2"/>
  <c r="L176" i="2"/>
  <c r="I173" i="2"/>
  <c r="J173" i="2"/>
  <c r="K173" i="2"/>
  <c r="I330" i="2"/>
  <c r="K330" i="2"/>
  <c r="J330" i="2"/>
  <c r="L330" i="2"/>
  <c r="J169" i="2"/>
  <c r="K169" i="2"/>
  <c r="L169" i="2"/>
  <c r="L48" i="1"/>
  <c r="I48" i="1"/>
  <c r="K48" i="1"/>
  <c r="L226" i="2"/>
  <c r="I226" i="2"/>
  <c r="J226" i="2"/>
  <c r="I311" i="2"/>
  <c r="J311" i="2"/>
  <c r="K26" i="1"/>
  <c r="J26" i="1"/>
  <c r="L5" i="1"/>
  <c r="K5" i="1"/>
  <c r="I113" i="2"/>
  <c r="K113" i="2"/>
  <c r="J113" i="2"/>
  <c r="L113" i="2"/>
  <c r="K140" i="2"/>
  <c r="L140" i="2"/>
  <c r="J140" i="2"/>
  <c r="I140" i="2"/>
  <c r="I291" i="2"/>
  <c r="L291" i="2"/>
  <c r="J291" i="2"/>
  <c r="K291" i="2"/>
  <c r="I162" i="2"/>
  <c r="L162" i="2"/>
  <c r="K162" i="2"/>
  <c r="J312" i="2"/>
  <c r="L312" i="2"/>
  <c r="I51" i="1"/>
  <c r="K51" i="1"/>
  <c r="L51" i="1"/>
  <c r="I295" i="2"/>
  <c r="J295" i="2"/>
  <c r="L295" i="2"/>
  <c r="K295" i="2"/>
  <c r="K41" i="2"/>
  <c r="L41" i="2"/>
  <c r="J41" i="2"/>
  <c r="I41" i="2"/>
  <c r="J61" i="1"/>
  <c r="L61" i="1"/>
  <c r="L174" i="2"/>
  <c r="K174" i="2"/>
  <c r="I174" i="2"/>
  <c r="L248" i="2"/>
  <c r="J248" i="2"/>
  <c r="I248" i="2"/>
  <c r="K248" i="2"/>
  <c r="J329" i="2"/>
  <c r="I329" i="2"/>
  <c r="L329" i="2"/>
  <c r="K329" i="2"/>
  <c r="J326" i="2" l="1"/>
  <c r="J293" i="2"/>
  <c r="L238" i="2"/>
  <c r="J103" i="2"/>
  <c r="K94" i="2"/>
  <c r="J237" i="2"/>
  <c r="J56" i="1"/>
  <c r="J327" i="2"/>
  <c r="I326" i="2"/>
  <c r="J229" i="2"/>
  <c r="K13" i="2"/>
  <c r="L36" i="1"/>
  <c r="I338" i="2"/>
  <c r="L54" i="1"/>
  <c r="J119" i="2"/>
  <c r="J69" i="2"/>
  <c r="L74" i="2"/>
  <c r="J271" i="2"/>
  <c r="I308" i="2"/>
  <c r="J129" i="2"/>
  <c r="K131" i="2"/>
  <c r="J42" i="1"/>
  <c r="J303" i="2"/>
  <c r="L155" i="2"/>
  <c r="J54" i="1"/>
  <c r="J265" i="2"/>
  <c r="J124" i="2"/>
  <c r="L239" i="2"/>
  <c r="J115" i="2"/>
  <c r="J68" i="2"/>
  <c r="J70" i="2"/>
  <c r="K253" i="2"/>
  <c r="I60" i="1"/>
  <c r="K284" i="2"/>
  <c r="J214" i="2"/>
  <c r="I185" i="2"/>
  <c r="L333" i="2"/>
  <c r="I65" i="2"/>
  <c r="I107" i="2"/>
  <c r="K202" i="2"/>
  <c r="K189" i="2"/>
  <c r="L231" i="2"/>
  <c r="K154" i="2"/>
  <c r="K138" i="2"/>
  <c r="L256" i="2"/>
  <c r="L307" i="2"/>
  <c r="J162" i="2"/>
  <c r="K82" i="2"/>
  <c r="K271" i="2"/>
  <c r="I264" i="2"/>
  <c r="I41" i="1"/>
  <c r="J9" i="1"/>
  <c r="I146" i="2"/>
  <c r="J81" i="2"/>
  <c r="I14" i="2"/>
  <c r="K157" i="2"/>
  <c r="J53" i="2"/>
  <c r="I142" i="2"/>
  <c r="J39" i="1"/>
  <c r="J174" i="2"/>
  <c r="J30" i="1"/>
  <c r="K32" i="2"/>
  <c r="J261" i="2"/>
  <c r="J92" i="2"/>
  <c r="J194" i="2"/>
  <c r="J86" i="2"/>
  <c r="L69" i="2"/>
  <c r="I207" i="2"/>
  <c r="L294" i="2"/>
  <c r="J171" i="2"/>
  <c r="L203" i="2"/>
  <c r="K296" i="2"/>
  <c r="J289" i="2"/>
  <c r="I30" i="2"/>
  <c r="K72" i="2"/>
  <c r="I280" i="2"/>
  <c r="I288" i="2"/>
  <c r="J209" i="2"/>
  <c r="K133" i="2"/>
  <c r="J29" i="2"/>
  <c r="L56" i="1"/>
  <c r="I58" i="2"/>
  <c r="K124" i="2"/>
  <c r="J217" i="2"/>
  <c r="I86" i="2"/>
  <c r="I312" i="2"/>
  <c r="I255" i="2"/>
  <c r="J316" i="2"/>
  <c r="L22" i="1"/>
  <c r="K178" i="2"/>
  <c r="I67" i="2"/>
  <c r="I6" i="1"/>
  <c r="L92" i="2"/>
  <c r="J91" i="2"/>
  <c r="L257" i="2"/>
  <c r="K132" i="2"/>
  <c r="I42" i="1"/>
  <c r="J104" i="2"/>
  <c r="L181" i="2"/>
  <c r="L150" i="2"/>
  <c r="J313" i="2"/>
  <c r="J153" i="2"/>
  <c r="K126" i="2"/>
  <c r="K39" i="1"/>
  <c r="L206" i="2"/>
  <c r="I208" i="2"/>
  <c r="K180" i="2"/>
  <c r="J139" i="2"/>
  <c r="J236" i="2"/>
  <c r="L109" i="2"/>
  <c r="K3" i="1"/>
  <c r="J49" i="2"/>
  <c r="K71" i="2"/>
  <c r="J24" i="2"/>
  <c r="J62" i="2"/>
  <c r="J25" i="1"/>
  <c r="J240" i="2"/>
  <c r="J130" i="2"/>
  <c r="K75" i="2"/>
  <c r="K324" i="2"/>
  <c r="K55" i="1"/>
  <c r="K285" i="2"/>
  <c r="J276" i="2"/>
  <c r="J114" i="2"/>
  <c r="J120" i="2"/>
  <c r="N8" i="3"/>
  <c r="O8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<sst xmlns="http://schemas.openxmlformats.org/spreadsheetml/2006/main" count="1334" uniqueCount="1255">
  <si>
    <t xml:space="preserve">Formula Description
</t>
  </si>
  <si>
    <t>grideasting(Latitude,Longitude,Projection)</t>
  </si>
  <si>
    <t>gridnorthing(Latitude,Longitude,Projection)</t>
  </si>
  <si>
    <t>gridzone(Latitude,Longitude,Projection)</t>
  </si>
  <si>
    <t>GridGridConLatitude,Longitude,Projection)</t>
  </si>
  <si>
    <t>GridPntScleFact(Latitude,Longitude,Projection)</t>
  </si>
  <si>
    <t>datumlat(Easting, Northing,Zone,Projection)</t>
  </si>
  <si>
    <t>datumlong(Easting, Northing,Zone,Projection)</t>
  </si>
  <si>
    <t>DatumPntScle(Easting, Northing,Zone,Projection)</t>
  </si>
  <si>
    <t>DatumGridConv(Easting, Northing,Zone,Projection)</t>
  </si>
  <si>
    <t>Project_Grid</t>
  </si>
  <si>
    <t>Eg. Latitude</t>
  </si>
  <si>
    <t>Eg. Longitude</t>
  </si>
  <si>
    <t>Easting</t>
  </si>
  <si>
    <t>Northing</t>
  </si>
  <si>
    <t>Zone</t>
  </si>
  <si>
    <t>Grid Convergence</t>
  </si>
  <si>
    <t>Point Scale Factor</t>
  </si>
  <si>
    <t>Latitude</t>
  </si>
  <si>
    <t>Longitude</t>
  </si>
  <si>
    <t>MGA2020</t>
  </si>
  <si>
    <t>S 31 48  7.06487</t>
  </si>
  <si>
    <t>E115 53  6.94375</t>
  </si>
  <si>
    <t>ALB2020</t>
  </si>
  <si>
    <t>S 35  1 21.36837</t>
  </si>
  <si>
    <t>E117 54 27.49802</t>
  </si>
  <si>
    <t>BCG2020</t>
  </si>
  <si>
    <t>S 33 39 45.57088</t>
  </si>
  <si>
    <t>E115 21 41.73008</t>
  </si>
  <si>
    <t>BIO2020</t>
  </si>
  <si>
    <t>S 20 49  9.57157</t>
  </si>
  <si>
    <t>E115 23 39.66157</t>
  </si>
  <si>
    <t>BRO2020</t>
  </si>
  <si>
    <t>S 18  0 14.30101</t>
  </si>
  <si>
    <t>E122 12 32.74179</t>
  </si>
  <si>
    <t>CARN2020</t>
  </si>
  <si>
    <t>S 24 51 33.88264</t>
  </si>
  <si>
    <t>E113 41  5.40036</t>
  </si>
  <si>
    <t>CIG2020</t>
  </si>
  <si>
    <t>S 10 27 37.10201</t>
  </si>
  <si>
    <t>E105 41 28.21094</t>
  </si>
  <si>
    <t>CKIG2020</t>
  </si>
  <si>
    <t>S 12 11 18.03578</t>
  </si>
  <si>
    <t>E96 50  2.32078</t>
  </si>
  <si>
    <t>COL2020</t>
  </si>
  <si>
    <t>S 33 56 22.68614</t>
  </si>
  <si>
    <t>E115 57 49.05725</t>
  </si>
  <si>
    <t>ESP2020</t>
  </si>
  <si>
    <t>S 33 22 12.21651</t>
  </si>
  <si>
    <t>E121 53 56.91197</t>
  </si>
  <si>
    <t>EXM2020</t>
  </si>
  <si>
    <t>S 21 58 34.93247</t>
  </si>
  <si>
    <t>E113 55 59.1598</t>
  </si>
  <si>
    <t>GCG2020</t>
  </si>
  <si>
    <t>S 28 46 46.20322</t>
  </si>
  <si>
    <t>E114 36 52.83602</t>
  </si>
  <si>
    <t>GOLD2020</t>
  </si>
  <si>
    <t>S 30 50 44.42871</t>
  </si>
  <si>
    <t>E121 30 28.19991</t>
  </si>
  <si>
    <t>JCG2020</t>
  </si>
  <si>
    <t>S 30 17 56.14676</t>
  </si>
  <si>
    <t>E115  4 30.74372</t>
  </si>
  <si>
    <t>KALB2020</t>
  </si>
  <si>
    <t>S 27 16 20.94329</t>
  </si>
  <si>
    <t>E114  1 36.46503</t>
  </si>
  <si>
    <t>KAR2020</t>
  </si>
  <si>
    <t>S 20 44 13.02258</t>
  </si>
  <si>
    <t>E116 49 17.58104</t>
  </si>
  <si>
    <t>KUN2020</t>
  </si>
  <si>
    <t>S 15 53 18.37443</t>
  </si>
  <si>
    <t>E128 47 23.52056</t>
  </si>
  <si>
    <t>LCG2020</t>
  </si>
  <si>
    <t>S 31  1 17.61669</t>
  </si>
  <si>
    <t>E115 19 57.10387</t>
  </si>
  <si>
    <t>MRCG2020</t>
  </si>
  <si>
    <t>S 33 58 29.03771</t>
  </si>
  <si>
    <t>E115  3 52.37757</t>
  </si>
  <si>
    <t>PCG2020</t>
  </si>
  <si>
    <t>S 31 48  7.06434</t>
  </si>
  <si>
    <t>E115 53  6.94332</t>
  </si>
  <si>
    <t>PHG2020</t>
  </si>
  <si>
    <t>S 20 23 32.82462</t>
  </si>
  <si>
    <t>E118 30 54.97558</t>
  </si>
  <si>
    <t>MGA94</t>
  </si>
  <si>
    <t>S 31 48 07.09684</t>
  </si>
  <si>
    <t>E115 53 06.88632</t>
  </si>
  <si>
    <t>ALB94</t>
  </si>
  <si>
    <t>S 35 01 21.40083</t>
  </si>
  <si>
    <t>E117 54 27.43886</t>
  </si>
  <si>
    <t>BCG94</t>
  </si>
  <si>
    <t>S 33 39 45.60330</t>
  </si>
  <si>
    <t>E115 21 41.67183</t>
  </si>
  <si>
    <t>BIO94</t>
  </si>
  <si>
    <t>S 20 49 09.60413</t>
  </si>
  <si>
    <t>E115 23 39.60973</t>
  </si>
  <si>
    <t>BRO94</t>
  </si>
  <si>
    <t>S 18 00 14.33350</t>
  </si>
  <si>
    <t>E122 12 32.69078</t>
  </si>
  <si>
    <t>CARN94</t>
  </si>
  <si>
    <t>S 24 51 33.91515</t>
  </si>
  <si>
    <t>E113 41 05.34693</t>
  </si>
  <si>
    <t>CIG94</t>
  </si>
  <si>
    <t>S 10 27 37.13457</t>
  </si>
  <si>
    <t>E105 41 28.16162</t>
  </si>
  <si>
    <t>CKIG94</t>
  </si>
  <si>
    <t>S 12 11 18.06832</t>
  </si>
  <si>
    <t>E 96 50 02.27115</t>
  </si>
  <si>
    <t>COL94</t>
  </si>
  <si>
    <t>S 33 56 22.71861</t>
  </si>
  <si>
    <t>E115 57 48.99885</t>
  </si>
  <si>
    <t>ESP94</t>
  </si>
  <si>
    <t>S 33 22 12.24897</t>
  </si>
  <si>
    <t>E121 53 56.85395</t>
  </si>
  <si>
    <t>EXM94</t>
  </si>
  <si>
    <t>S 21 58 34.96494</t>
  </si>
  <si>
    <t>E113 55 59.10748</t>
  </si>
  <si>
    <t>GCG94</t>
  </si>
  <si>
    <t>S 28 46 46.23571</t>
  </si>
  <si>
    <t>E114 36 52.78073</t>
  </si>
  <si>
    <t>GOLD94</t>
  </si>
  <si>
    <t>S 30 50 44.46118</t>
  </si>
  <si>
    <t>E121 30 28.14346</t>
  </si>
  <si>
    <t>JCG94</t>
  </si>
  <si>
    <t>S 30 17 56.17927</t>
  </si>
  <si>
    <t>E115 04 30.68762</t>
  </si>
  <si>
    <t>KALB94</t>
  </si>
  <si>
    <t>S 27 16 20.97566</t>
  </si>
  <si>
    <t>E 114 1 36.41041</t>
  </si>
  <si>
    <t>KAR94</t>
  </si>
  <si>
    <t>S 20 44 13.05506</t>
  </si>
  <si>
    <t>E116 49 17.52917</t>
  </si>
  <si>
    <t>KUN94</t>
  </si>
  <si>
    <t>S 15 53 18.40697</t>
  </si>
  <si>
    <t>E128 47 23.47014</t>
  </si>
  <si>
    <t>LCG94</t>
  </si>
  <si>
    <t>S 31 01 17.64914</t>
  </si>
  <si>
    <t>E115 19 57.04730</t>
  </si>
  <si>
    <t>MRCG94</t>
  </si>
  <si>
    <t>S 33 58 29.07011</t>
  </si>
  <si>
    <t>E115 03 52.31910</t>
  </si>
  <si>
    <t>PCG94</t>
  </si>
  <si>
    <t>PHG94</t>
  </si>
  <si>
    <t>S 20 23 32.85711</t>
  </si>
  <si>
    <t>E118 30 54.92383</t>
  </si>
  <si>
    <t>AMG84</t>
  </si>
  <si>
    <t>S 35 02 04.28500</t>
  </si>
  <si>
    <t>E117 24 29.04796</t>
  </si>
  <si>
    <t>ALB84</t>
  </si>
  <si>
    <t>BCG84</t>
  </si>
  <si>
    <t>BRO84</t>
  </si>
  <si>
    <t>CARN84</t>
  </si>
  <si>
    <t>CIG84</t>
  </si>
  <si>
    <t>CKIG84</t>
  </si>
  <si>
    <t>ESP84</t>
  </si>
  <si>
    <t>EXM84</t>
  </si>
  <si>
    <t>GCG84</t>
  </si>
  <si>
    <t>GOLD84</t>
  </si>
  <si>
    <t>JCG84</t>
  </si>
  <si>
    <t>KAR84</t>
  </si>
  <si>
    <t>KUN84</t>
  </si>
  <si>
    <t>LCG84</t>
  </si>
  <si>
    <t>MRCG84</t>
  </si>
  <si>
    <t>PCG84</t>
  </si>
  <si>
    <t>PHG84</t>
  </si>
  <si>
    <t>AGLIME2020</t>
  </si>
  <si>
    <t>S 31 32 30.16061</t>
  </si>
  <si>
    <t>E 116 26  4.50344</t>
  </si>
  <si>
    <t>AJANA2020</t>
  </si>
  <si>
    <t>S 27 50  4.94948</t>
  </si>
  <si>
    <t>E 114 43 34.31363</t>
  </si>
  <si>
    <t>AMBANIA2020</t>
  </si>
  <si>
    <t>S 28 38 38.5598</t>
  </si>
  <si>
    <t>E 115 17 42.91508</t>
  </si>
  <si>
    <t>AMELUP2020</t>
  </si>
  <si>
    <t>S 34  8 32.79757</t>
  </si>
  <si>
    <t>E 118 12 23.359</t>
  </si>
  <si>
    <t>ATLEY2020</t>
  </si>
  <si>
    <t>S 28  7 45.588</t>
  </si>
  <si>
    <t>E 119  3 20.29468</t>
  </si>
  <si>
    <t>AVONRIVER2020</t>
  </si>
  <si>
    <t>S 31 52  6.52613</t>
  </si>
  <si>
    <t>E 116 48 58.51321</t>
  </si>
  <si>
    <t>BAKER2020</t>
  </si>
  <si>
    <t>S 26 41 17.70698</t>
  </si>
  <si>
    <t>E 126  8  2.16604</t>
  </si>
  <si>
    <t>BALLA2020</t>
  </si>
  <si>
    <t>S 32 25  3.47765</t>
  </si>
  <si>
    <t>E 123 53 31.76264</t>
  </si>
  <si>
    <t>S 33 38 42.74045</t>
  </si>
  <si>
    <t>E 115 26 22.75818</t>
  </si>
  <si>
    <t>BENNETT2020</t>
  </si>
  <si>
    <t>S 22 57 14.13709</t>
  </si>
  <si>
    <t>E 117 56  3.29824</t>
  </si>
  <si>
    <t>BIDYADANGA2020</t>
  </si>
  <si>
    <t>S 18 41 17.80217</t>
  </si>
  <si>
    <t>E 121 57 25.02569</t>
  </si>
  <si>
    <t>BOHEMIA2020</t>
  </si>
  <si>
    <t>S 18 53 21.00908</t>
  </si>
  <si>
    <t>E 126  8  5.15231</t>
  </si>
  <si>
    <t>BOOLARDY2020</t>
  </si>
  <si>
    <t>S 26 46  3.33703</t>
  </si>
  <si>
    <t>E 116 35 26.15482</t>
  </si>
  <si>
    <t>BOONDI2020</t>
  </si>
  <si>
    <t>S 31 10 50.25562</t>
  </si>
  <si>
    <t>E 120 21 49.80283</t>
  </si>
  <si>
    <t>BOWGADA2020</t>
  </si>
  <si>
    <t>S 29 14 46.6062</t>
  </si>
  <si>
    <t>E 116 11 23.9977</t>
  </si>
  <si>
    <t>BOXWOOD2020</t>
  </si>
  <si>
    <t>S 34 23 43.26994</t>
  </si>
  <si>
    <t>E 118 45 14.72918</t>
  </si>
  <si>
    <t>BRDGETWN2020</t>
  </si>
  <si>
    <t>S 33 41 27.38944</t>
  </si>
  <si>
    <t>E 116 11 31.02893</t>
  </si>
  <si>
    <t>BROOKTON2020</t>
  </si>
  <si>
    <t>S 32 18 52.8926</t>
  </si>
  <si>
    <t>E 117  2 55.63352</t>
  </si>
  <si>
    <t>BROOME2020</t>
  </si>
  <si>
    <t>S 17 55 34.19951</t>
  </si>
  <si>
    <t>E 122 20 59.43962</t>
  </si>
  <si>
    <t>BULDANIA2020</t>
  </si>
  <si>
    <t>S 32  5 51.42361</t>
  </si>
  <si>
    <t>E 122  9  9.91948</t>
  </si>
  <si>
    <t>BULLA2020</t>
  </si>
  <si>
    <t>S 31  5 46.6426</t>
  </si>
  <si>
    <t>E 120 54 46.14214</t>
  </si>
  <si>
    <t>CARNOT2020</t>
  </si>
  <si>
    <t>S 17 17 59.52048</t>
  </si>
  <si>
    <t>E 122 29 16.98191</t>
  </si>
  <si>
    <t>CHALLA2020</t>
  </si>
  <si>
    <t>S 28  5 58.19424</t>
  </si>
  <si>
    <t>E 118 24  9.84254</t>
  </si>
  <si>
    <t>CHEELA2020</t>
  </si>
  <si>
    <t>S 22 58 28.36081</t>
  </si>
  <si>
    <t>E 117  1 18.4624</t>
  </si>
  <si>
    <t>CHICHESTER2020</t>
  </si>
  <si>
    <t>S 22  9  4.90381</t>
  </si>
  <si>
    <t>E 118 51 36.8509</t>
  </si>
  <si>
    <t>COOLAWANYA2020</t>
  </si>
  <si>
    <t>S 21 32 26.05193</t>
  </si>
  <si>
    <t>E 117 20  9.36373</t>
  </si>
  <si>
    <t>COOROW2020</t>
  </si>
  <si>
    <t>S 30  1  8.31659</t>
  </si>
  <si>
    <t>E 115 55 19.60244</t>
  </si>
  <si>
    <t>CORRIG2020</t>
  </si>
  <si>
    <t>S 32 22 40.93284</t>
  </si>
  <si>
    <t>E 117 35 16.12244</t>
  </si>
  <si>
    <t>COSMO2020</t>
  </si>
  <si>
    <t>S 28 14 45.69922</t>
  </si>
  <si>
    <t>E 122 43  9.15838</t>
  </si>
  <si>
    <t>CRANBK2020</t>
  </si>
  <si>
    <t>S 33 43 48.14537</t>
  </si>
  <si>
    <t>E 117 31 27.32092</t>
  </si>
  <si>
    <t>CUEMAG2020</t>
  </si>
  <si>
    <t>S 27 39 45.26053</t>
  </si>
  <si>
    <t>E 117 55 57.97348</t>
  </si>
  <si>
    <t>CULLINIA2020</t>
  </si>
  <si>
    <t>S 31 56 38.43388</t>
  </si>
  <si>
    <t>E 123  8  6.30312</t>
  </si>
  <si>
    <t>DANDARAGAN2020</t>
  </si>
  <si>
    <t>S 30 47 17.85844</t>
  </si>
  <si>
    <t>E 115 37 39.26266</t>
  </si>
  <si>
    <t>DEPOT2020</t>
  </si>
  <si>
    <t>S 27 55 10.37532</t>
  </si>
  <si>
    <t>E 120  4 25.40723</t>
  </si>
  <si>
    <t>DERBY2020</t>
  </si>
  <si>
    <t>S 17 33  6.35134</t>
  </si>
  <si>
    <t>E 123 42 31.30675</t>
  </si>
  <si>
    <t>DOCKERRIVER2020</t>
  </si>
  <si>
    <t>S 24 53 27.9272</t>
  </si>
  <si>
    <t>E 129  9 35.63118</t>
  </si>
  <si>
    <t>DOOLGUNNA2020</t>
  </si>
  <si>
    <t>S 26 14 14.02501</t>
  </si>
  <si>
    <t>E 119 30 48.53214</t>
  </si>
  <si>
    <t>DOWERIN2020</t>
  </si>
  <si>
    <t>S 30 44 35.07328</t>
  </si>
  <si>
    <t>E 116 56 13.70926</t>
  </si>
  <si>
    <t>DURACK2020</t>
  </si>
  <si>
    <t>S 15 35 26.83306</t>
  </si>
  <si>
    <t>E 127 48  0.91724</t>
  </si>
  <si>
    <t>EASTALB2020</t>
  </si>
  <si>
    <t>S 34 46 55.34846</t>
  </si>
  <si>
    <t>E 118 20  6.41126</t>
  </si>
  <si>
    <t>EDGAR2020</t>
  </si>
  <si>
    <t>S 21  7  8.0323</t>
  </si>
  <si>
    <t>E 120 14 56.03694</t>
  </si>
  <si>
    <t>ELLENBRAE2020</t>
  </si>
  <si>
    <t>S 16  3 26.89985</t>
  </si>
  <si>
    <t>E 126 55 52.80722</t>
  </si>
  <si>
    <t>EUCLA2020</t>
  </si>
  <si>
    <t>S 31 37  7.30776</t>
  </si>
  <si>
    <t>E 128 46 39.17752</t>
  </si>
  <si>
    <t>EXMXT2020</t>
  </si>
  <si>
    <t>S 23 15 45.86076</t>
  </si>
  <si>
    <t>E 114  4 56.43833</t>
  </si>
  <si>
    <t>FITZGERALD2020</t>
  </si>
  <si>
    <t>S 33 40  0.90757</t>
  </si>
  <si>
    <t>E 119 33 40.84261</t>
  </si>
  <si>
    <t>FITZROY2020</t>
  </si>
  <si>
    <t>S 18 18  4.63993</t>
  </si>
  <si>
    <t>E 125 34  6.60958</t>
  </si>
  <si>
    <t>FORTES2020</t>
  </si>
  <si>
    <t>S 21 24 57.25764</t>
  </si>
  <si>
    <t>E 115 59 47.34341</t>
  </si>
  <si>
    <t>FRANKLAND2020</t>
  </si>
  <si>
    <t>S 34 39 17.09939</t>
  </si>
  <si>
    <t>E 116 27 42.12752</t>
  </si>
  <si>
    <t>FRAZER2020</t>
  </si>
  <si>
    <t>S 32  0 38.4579</t>
  </si>
  <si>
    <t>E 122 32  8.51006</t>
  </si>
  <si>
    <t>GABYON2020</t>
  </si>
  <si>
    <t>S 28 28 55.70594</t>
  </si>
  <si>
    <t>E 116 21 31.04798</t>
  </si>
  <si>
    <t>GALVANS2020</t>
  </si>
  <si>
    <t>S 16 44 51.59994</t>
  </si>
  <si>
    <t>E 125 52 59.0435</t>
  </si>
  <si>
    <t>GASCOYNE2020</t>
  </si>
  <si>
    <t>S 25  2 23.07019</t>
  </si>
  <si>
    <t>E 115 19 19.0362</t>
  </si>
  <si>
    <t>GIBB22020</t>
  </si>
  <si>
    <t>S 17 11  1.62913</t>
  </si>
  <si>
    <t>E 124 36 32.53068</t>
  </si>
  <si>
    <t>GIBBRIVER2020</t>
  </si>
  <si>
    <t>S 16  9 49.48679</t>
  </si>
  <si>
    <t>E 126 22 32.98537</t>
  </si>
  <si>
    <t>GILES2020</t>
  </si>
  <si>
    <t>S 25 17 45.7102</t>
  </si>
  <si>
    <t>E 127 53 22.3859</t>
  </si>
  <si>
    <t>GIRALIA2020</t>
  </si>
  <si>
    <t>S 22 27 57.123</t>
  </si>
  <si>
    <t>E 114 44  6.06995</t>
  </si>
  <si>
    <t>H1BANWIL2020</t>
  </si>
  <si>
    <t>S 32 47 34.06261</t>
  </si>
  <si>
    <t>E 116 40 54.91409</t>
  </si>
  <si>
    <t>H6BOW2020</t>
  </si>
  <si>
    <t>S 16 53  1.89535</t>
  </si>
  <si>
    <t>E 128 10  8.90094</t>
  </si>
  <si>
    <t>H6ORD2020</t>
  </si>
  <si>
    <t>S 18 41 28.21124</t>
  </si>
  <si>
    <t>E 127 50 33.15624</t>
  </si>
  <si>
    <t>H9BRIVER2020</t>
  </si>
  <si>
    <t>S 34 43 50.72869</t>
  </si>
  <si>
    <t>E 117  0 27.98435</t>
  </si>
  <si>
    <t>HAHN2020</t>
  </si>
  <si>
    <t>S 33  6 14.75953</t>
  </si>
  <si>
    <t>E 120 20 41.66279</t>
  </si>
  <si>
    <t>HAMERSLEY2020</t>
  </si>
  <si>
    <t>S 21 54 56.07551</t>
  </si>
  <si>
    <t>E 117 42 59.70715</t>
  </si>
  <si>
    <t>HAMPTON2020</t>
  </si>
  <si>
    <t>S 31 45 35.52023</t>
  </si>
  <si>
    <t>E 128 10 17.74495</t>
  </si>
  <si>
    <t>HARMS2020</t>
  </si>
  <si>
    <t>S 32 13 30.6925</t>
  </si>
  <si>
    <t>E 123 19 51.36434</t>
  </si>
  <si>
    <t>HOMEVALLEY2020</t>
  </si>
  <si>
    <t>S 15 59 40.01284</t>
  </si>
  <si>
    <t>E 127 24 46.82056</t>
  </si>
  <si>
    <t>HOPETOUN2020</t>
  </si>
  <si>
    <t>S 33 49 14.47252</t>
  </si>
  <si>
    <t>E 120  6 33.41153</t>
  </si>
  <si>
    <t>HUG2020</t>
  </si>
  <si>
    <t>S 32  7  9.7559</t>
  </si>
  <si>
    <t>E 116 13 35.23289</t>
  </si>
  <si>
    <t>HYDEN2020</t>
  </si>
  <si>
    <t>S 32 29 38.24185</t>
  </si>
  <si>
    <t>E 119  2 42.39438</t>
  </si>
  <si>
    <t>ISDELL2020</t>
  </si>
  <si>
    <t>S 17  7 58.68926</t>
  </si>
  <si>
    <t>E 125 25 55.33381</t>
  </si>
  <si>
    <t>JERRATS2020</t>
  </si>
  <si>
    <t>S 34  2 12.61903</t>
  </si>
  <si>
    <t>E 118 54 33.94609</t>
  </si>
  <si>
    <t>JILLBUNDA2020</t>
  </si>
  <si>
    <t>S 31 59  8.4259</t>
  </si>
  <si>
    <t>E 125 45 13.046</t>
  </si>
  <si>
    <t>JOPE2020</t>
  </si>
  <si>
    <t>S 22 55 16.05925</t>
  </si>
  <si>
    <t>E 117 35 47.9355</t>
  </si>
  <si>
    <t>KALBARRI2020</t>
  </si>
  <si>
    <t>S 27 24 32.74798</t>
  </si>
  <si>
    <t>E 114 20 34.19912</t>
  </si>
  <si>
    <t>KALUWIRI2020</t>
  </si>
  <si>
    <t>S 28  0 56.45999</t>
  </si>
  <si>
    <t>E 119 39 14.56992</t>
  </si>
  <si>
    <t>KARIJINI2020</t>
  </si>
  <si>
    <t>S 22 36 32.35547</t>
  </si>
  <si>
    <t>E 118 26  9.23003</t>
  </si>
  <si>
    <t>KELLER2020</t>
  </si>
  <si>
    <t>S 31 21  9.42163</t>
  </si>
  <si>
    <t>E 117 41 46.82868</t>
  </si>
  <si>
    <t>KILLARA2020</t>
  </si>
  <si>
    <t>S 26 34 30.75622</t>
  </si>
  <si>
    <t>E 119  3 14.40335</t>
  </si>
  <si>
    <t>KOJON2020</t>
  </si>
  <si>
    <t>S 33 48 39.0285</t>
  </si>
  <si>
    <t>E 117  4 48.73152</t>
  </si>
  <si>
    <t>KONDININ2020</t>
  </si>
  <si>
    <t>S 32 21  7.8516</t>
  </si>
  <si>
    <t>E 118 13 47.37634</t>
  </si>
  <si>
    <t>KOORDA2020</t>
  </si>
  <si>
    <t>S 29 46 46.38464</t>
  </si>
  <si>
    <t>E 117 28 29.30365</t>
  </si>
  <si>
    <t>KUMARINA2020</t>
  </si>
  <si>
    <t>S 24 49  8.99202</t>
  </si>
  <si>
    <t>E 119 30 34.60288</t>
  </si>
  <si>
    <t>LAKEGRACE2020</t>
  </si>
  <si>
    <t>S 33 18 32.77145</t>
  </si>
  <si>
    <t>E 118 22 26.09404</t>
  </si>
  <si>
    <t>LAKEKING2020</t>
  </si>
  <si>
    <t>S 32 58 50.57141</t>
  </si>
  <si>
    <t>E 119 44 16.69232</t>
  </si>
  <si>
    <t>LAMBOO2020</t>
  </si>
  <si>
    <t>S 18 35 28.22042</t>
  </si>
  <si>
    <t>E 127 17 43.56254</t>
  </si>
  <si>
    <t>LAVERTON2020</t>
  </si>
  <si>
    <t>S 28 48 34.43184</t>
  </si>
  <si>
    <t>E 122  9 55.09894</t>
  </si>
  <si>
    <t>LEINSTER2020</t>
  </si>
  <si>
    <t>S 27 54 37.34377</t>
  </si>
  <si>
    <t>E 120 40 47.03714</t>
  </si>
  <si>
    <t>LEWIS2020</t>
  </si>
  <si>
    <t>S 19 46 44.62352</t>
  </si>
  <si>
    <t>E 128 50 17.66299</t>
  </si>
  <si>
    <t>LOGUE2020</t>
  </si>
  <si>
    <t>S 17 40 36.48011</t>
  </si>
  <si>
    <t>E 123  5  8.35084</t>
  </si>
  <si>
    <t>LOUISADOWNS2020</t>
  </si>
  <si>
    <t>S 18 49 33.27614</t>
  </si>
  <si>
    <t>E 126 41 34.96675</t>
  </si>
  <si>
    <t>MADURA2020</t>
  </si>
  <si>
    <t>S 31 53 53.90542</t>
  </si>
  <si>
    <t>E 127  2 42.64627</t>
  </si>
  <si>
    <t>MALCOLM2020</t>
  </si>
  <si>
    <t>S 32  4 20.27712</t>
  </si>
  <si>
    <t>E 122 45 55.58684</t>
  </si>
  <si>
    <t>MARBLE2020</t>
  </si>
  <si>
    <t>S 20 50 50.8015</t>
  </si>
  <si>
    <t>E 119 52 31.3999</t>
  </si>
  <si>
    <t>MARVEL2020</t>
  </si>
  <si>
    <t>S 31 11 15.03233</t>
  </si>
  <si>
    <t>E 119 39 53.4587</t>
  </si>
  <si>
    <t>MEDA2020</t>
  </si>
  <si>
    <t>S 17 35 38.48525</t>
  </si>
  <si>
    <t>E 124  6 56.4061</t>
  </si>
  <si>
    <t>MEEKA2020</t>
  </si>
  <si>
    <t>S 26 27 25.23596</t>
  </si>
  <si>
    <t>E 118 21 28.69243</t>
  </si>
  <si>
    <t>MENZIES2020</t>
  </si>
  <si>
    <t>S 29 39 41.26655</t>
  </si>
  <si>
    <t>E 121  8  6.20164</t>
  </si>
  <si>
    <t>MERREDIN2020</t>
  </si>
  <si>
    <t>S 31 23 47.25456</t>
  </si>
  <si>
    <t>E 118 22 12.37555</t>
  </si>
  <si>
    <t>MILLSTREAM2020</t>
  </si>
  <si>
    <t>S 21 13 37.33172</t>
  </si>
  <si>
    <t>E 117  7 35.71414</t>
  </si>
  <si>
    <t>MINGENEW2020</t>
  </si>
  <si>
    <t>S 29 11 53.45574</t>
  </si>
  <si>
    <t>E 115 23 11.59573</t>
  </si>
  <si>
    <t>MOONERA2020</t>
  </si>
  <si>
    <t>S 31 55 20.89524</t>
  </si>
  <si>
    <t>E 126 29 53.62782</t>
  </si>
  <si>
    <t>MORLEY2020</t>
  </si>
  <si>
    <t>S 34 53 35.81282</t>
  </si>
  <si>
    <t>E 117 29 27.16649</t>
  </si>
  <si>
    <t>MTHART2020</t>
  </si>
  <si>
    <t>S 16 59 31.71307</t>
  </si>
  <si>
    <t>E 125 11  7.54285</t>
  </si>
  <si>
    <t>MTMAGS2020</t>
  </si>
  <si>
    <t>S 28 43 32.13145</t>
  </si>
  <si>
    <t>E 117 51 47.56338</t>
  </si>
  <si>
    <t>MUCHEA2020</t>
  </si>
  <si>
    <t>S 31  9 36.29599</t>
  </si>
  <si>
    <t>E 115 59 40.38043</t>
  </si>
  <si>
    <t>MUELLER2020</t>
  </si>
  <si>
    <t>S 19 45 42.98648</t>
  </si>
  <si>
    <t>E 128 18  8.51447</t>
  </si>
  <si>
    <t>MUGGAN2020</t>
  </si>
  <si>
    <t>S 27  6  8.04953</t>
  </si>
  <si>
    <t>E 125 26 42.27864</t>
  </si>
  <si>
    <t>MUKINBUDIN2020</t>
  </si>
  <si>
    <t>S 30 52 15.93646</t>
  </si>
  <si>
    <t>E 118 21  8.80686</t>
  </si>
  <si>
    <t>MULGADOWNS2020</t>
  </si>
  <si>
    <t>S 22 12 55.9035</t>
  </si>
  <si>
    <t>E 118 32 12.8625</t>
  </si>
  <si>
    <t>MUNDRABILLA2020</t>
  </si>
  <si>
    <t>S 31 57  3.48311</t>
  </si>
  <si>
    <t>E 127 36 13.20527</t>
  </si>
  <si>
    <t>MUNG2020</t>
  </si>
  <si>
    <t>S 33 39 31.94809</t>
  </si>
  <si>
    <t>E 120 37 30.60462</t>
  </si>
  <si>
    <t>MURCHISON2020</t>
  </si>
  <si>
    <t>S 27  7 32.6874</t>
  </si>
  <si>
    <t>E 116  0 30.00964</t>
  </si>
  <si>
    <t>NANNINE2020</t>
  </si>
  <si>
    <t>S 26 55 31.0179</t>
  </si>
  <si>
    <t>E 118 18 47.3162</t>
  </si>
  <si>
    <t>NANU2020</t>
  </si>
  <si>
    <t>S 22 10 14.69222</t>
  </si>
  <si>
    <t>E 115 25 13.44461</t>
  </si>
  <si>
    <t>NAPIER2020</t>
  </si>
  <si>
    <t>S 17  5 41.3169</t>
  </si>
  <si>
    <t>E 125  0 55.64894</t>
  </si>
  <si>
    <t>NARROGIN2020</t>
  </si>
  <si>
    <t>S 32 54 58.68742</t>
  </si>
  <si>
    <t>E 117 11 32.73864</t>
  </si>
  <si>
    <t>NEWGATE2020</t>
  </si>
  <si>
    <t>S 33  5 30.48749</t>
  </si>
  <si>
    <t>E 119  3 31.41198</t>
  </si>
  <si>
    <t>NEWMAN2020</t>
  </si>
  <si>
    <t>S 23 47 10.47383</t>
  </si>
  <si>
    <t>E 119 43 19.13801</t>
  </si>
  <si>
    <t>NULL2020</t>
  </si>
  <si>
    <t>S 22  1 17.70226</t>
  </si>
  <si>
    <t>E 120  6 26.94686</t>
  </si>
  <si>
    <t>OAKOVER2020</t>
  </si>
  <si>
    <t>S 21 23 20.25352</t>
  </si>
  <si>
    <t>E 121  5  2.75611</t>
  </si>
  <si>
    <t>ONGERUP2020</t>
  </si>
  <si>
    <t>S 33 58 43.38822</t>
  </si>
  <si>
    <t>E 118 29 27.96378</t>
  </si>
  <si>
    <t>PAMELIA2020</t>
  </si>
  <si>
    <t>S 23  7 43.7677</t>
  </si>
  <si>
    <t>E 119 26 48.01963</t>
  </si>
  <si>
    <t>PARDOO2020</t>
  </si>
  <si>
    <t>S 20  0 39.62329</t>
  </si>
  <si>
    <t>E 119 57 24.64988</t>
  </si>
  <si>
    <t>PENDER2020</t>
  </si>
  <si>
    <t>S 16 42 26.37526</t>
  </si>
  <si>
    <t>E 122 53 58.54938</t>
  </si>
  <si>
    <t>PERUP2020</t>
  </si>
  <si>
    <t>S 34  8  9.63913</t>
  </si>
  <si>
    <t>E 116 32 48.84968</t>
  </si>
  <si>
    <t>PINDARTS2020</t>
  </si>
  <si>
    <t>S 28 33 30.29112</t>
  </si>
  <si>
    <t>E 115 48 50.553</t>
  </si>
  <si>
    <t>POINTA2020</t>
  </si>
  <si>
    <t>S 34 16 21.31122</t>
  </si>
  <si>
    <t>E 119 27 21.83969</t>
  </si>
  <si>
    <t>QUANBUN2020</t>
  </si>
  <si>
    <t>S 17 57 53.3705</t>
  </si>
  <si>
    <t>E 125  9 54.51962</t>
  </si>
  <si>
    <t>RAVENS2020</t>
  </si>
  <si>
    <t>S 33 24  3.37097</t>
  </si>
  <si>
    <t>E 120  3 52.50546</t>
  </si>
  <si>
    <t>RIPON2020</t>
  </si>
  <si>
    <t>S 21 21 43.69644</t>
  </si>
  <si>
    <t>E 120 32 12.63649</t>
  </si>
  <si>
    <t>SANDFIRE2020</t>
  </si>
  <si>
    <t>S 19 25 15.72244</t>
  </si>
  <si>
    <t>E 121 19  2.01148</t>
  </si>
  <si>
    <t>SCADDAN2020</t>
  </si>
  <si>
    <t>S 32 56  8.52893</t>
  </si>
  <si>
    <t>E 121 43 44.42275</t>
  </si>
  <si>
    <t>SCROSS2020</t>
  </si>
  <si>
    <t>S 31 13 54.67174</t>
  </si>
  <si>
    <t>E 119  3  7.28708</t>
  </si>
  <si>
    <t>SHANNON2020</t>
  </si>
  <si>
    <t>S 34 42 10.01822</t>
  </si>
  <si>
    <t>E 116 27 53.9487</t>
  </si>
  <si>
    <t>SHAWRVR2020</t>
  </si>
  <si>
    <t>S 20 35 21.73596</t>
  </si>
  <si>
    <t>E 119 15  5.84539</t>
  </si>
  <si>
    <t>SHERWOOD2020</t>
  </si>
  <si>
    <t>S 26 29 44.48616</t>
  </si>
  <si>
    <t>E 118 53 43.37452</t>
  </si>
  <si>
    <t>STOKES2020</t>
  </si>
  <si>
    <t>S 33 39 52.54675</t>
  </si>
  <si>
    <t>E 121 13  9.0755</t>
  </si>
  <si>
    <t>SUNDAY2020</t>
  </si>
  <si>
    <t>S 21 12 20.43842</t>
  </si>
  <si>
    <t>E 116 27 47.29302</t>
  </si>
  <si>
    <t>THROSSELL2020</t>
  </si>
  <si>
    <t>S 27 44  4.73622</t>
  </si>
  <si>
    <t>E 124  5 27.42497</t>
  </si>
  <si>
    <t>TIEBIN2020</t>
  </si>
  <si>
    <t>S 33 46  5.13833</t>
  </si>
  <si>
    <t>E 118 25 30.12312</t>
  </si>
  <si>
    <t>TJUKAYIRLA2020</t>
  </si>
  <si>
    <t>S 27 27  7.9529</t>
  </si>
  <si>
    <t>E 124 45  7.32251</t>
  </si>
  <si>
    <t>TOMPRICE2020</t>
  </si>
  <si>
    <t>S 22 25 33.1252</t>
  </si>
  <si>
    <t>E 117 46  2.79714</t>
  </si>
  <si>
    <t>URANDY2020</t>
  </si>
  <si>
    <t>S 22 34 57.3713</t>
  </si>
  <si>
    <t>E 115 56  4.87727</t>
  </si>
  <si>
    <t>VIRGINIA2020</t>
  </si>
  <si>
    <t>S 32 14 51.24203</t>
  </si>
  <si>
    <t>E 125 11 34.8634</t>
  </si>
  <si>
    <t>WALKAWAY2020</t>
  </si>
  <si>
    <t>S 28 49 47.75736</t>
  </si>
  <si>
    <t>E 114 50 24.09511</t>
  </si>
  <si>
    <t>WALLAL2020</t>
  </si>
  <si>
    <t>S 19 50 47.43773</t>
  </si>
  <si>
    <t>E 120 36 16.64629</t>
  </si>
  <si>
    <t>WALPOLE2020</t>
  </si>
  <si>
    <t>S 34 56 35.08415</t>
  </si>
  <si>
    <t>E 116 45  3.4591</t>
  </si>
  <si>
    <t>WANNAN2020</t>
  </si>
  <si>
    <t>S 25 43 17.6309</t>
  </si>
  <si>
    <t>E 127 15 50.94313</t>
  </si>
  <si>
    <t>WARAKURNA2020</t>
  </si>
  <si>
    <t>S 24 56 48.59945</t>
  </si>
  <si>
    <t>E 128 38 36.3215</t>
  </si>
  <si>
    <t>WARBURTON2020</t>
  </si>
  <si>
    <t>S 26  4 48.71111</t>
  </si>
  <si>
    <t>E 126 47 29.33722</t>
  </si>
  <si>
    <t>WARRAD2020</t>
  </si>
  <si>
    <t>S 29 56 37.52819</t>
  </si>
  <si>
    <t>E 115 19  6.74018</t>
  </si>
  <si>
    <t>WARREL2020</t>
  </si>
  <si>
    <t>S 20 48 22.87998</t>
  </si>
  <si>
    <t>E 119 39 26.6944</t>
  </si>
  <si>
    <t>WEEBO2020</t>
  </si>
  <si>
    <t>S 28 21 52.55176</t>
  </si>
  <si>
    <t>E 121  5 40.18078</t>
  </si>
  <si>
    <t>WESTANGELAS2020</t>
  </si>
  <si>
    <t>S 22 56  2.54789</t>
  </si>
  <si>
    <t>E 119  2  3.64027</t>
  </si>
  <si>
    <t>WHIMCRK2020</t>
  </si>
  <si>
    <t>S 20 51 32.07996</t>
  </si>
  <si>
    <t>E 117 47 21.20417</t>
  </si>
  <si>
    <t>WHIMEAST2020</t>
  </si>
  <si>
    <t>S 20 49  0.45343</t>
  </si>
  <si>
    <t>E 117 59 20.48546</t>
  </si>
  <si>
    <t>WHIMWEST2020</t>
  </si>
  <si>
    <t>S 20 52 12.82894</t>
  </si>
  <si>
    <t>E 117 35  6.05533</t>
  </si>
  <si>
    <t>WHITECLIFFS2020</t>
  </si>
  <si>
    <t>S 27 57 49.61437</t>
  </si>
  <si>
    <t>E 123 24  7.42342</t>
  </si>
  <si>
    <t>WILUNA2020</t>
  </si>
  <si>
    <t>S 26 38 10.37623</t>
  </si>
  <si>
    <t>E 120 16  4.06308</t>
  </si>
  <si>
    <t>WITTENOOM2020</t>
  </si>
  <si>
    <t>S 22 14 52.67094</t>
  </si>
  <si>
    <t>E 118  3 11.48508</t>
  </si>
  <si>
    <t>WOODSTOCK2020</t>
  </si>
  <si>
    <t>S 21 19 20.62898</t>
  </si>
  <si>
    <t>E 118 48 56.42874</t>
  </si>
  <si>
    <t>WOORLBA2020</t>
  </si>
  <si>
    <t>S 32 22 26.52006</t>
  </si>
  <si>
    <t>E 124 40 47.60735</t>
  </si>
  <si>
    <t>WUBIN2020</t>
  </si>
  <si>
    <t>S 29 59 12.89915</t>
  </si>
  <si>
    <t>E 116 44 49.09074</t>
  </si>
  <si>
    <t>WYLOO2020</t>
  </si>
  <si>
    <t>S 22 42 45.56977</t>
  </si>
  <si>
    <t>E 116 33  5.91037</t>
  </si>
  <si>
    <t>WYNDHAM2020</t>
  </si>
  <si>
    <t>S 15 53 37.03675</t>
  </si>
  <si>
    <t>E 128 11 12.49534</t>
  </si>
  <si>
    <t>YALGOO2020</t>
  </si>
  <si>
    <t>S 28 25 39.85194</t>
  </si>
  <si>
    <t>E 116 54 14.94875</t>
  </si>
  <si>
    <t>YANNARIE2020</t>
  </si>
  <si>
    <t>S 22 45 11.38453</t>
  </si>
  <si>
    <t>E 115  7  0.45178</t>
  </si>
  <si>
    <t>YARINGA2020</t>
  </si>
  <si>
    <t>S 26  5 46.38052</t>
  </si>
  <si>
    <t>E 114 26 12.63692</t>
  </si>
  <si>
    <t>YILGALONG2020</t>
  </si>
  <si>
    <t>S 21 15  0.39269</t>
  </si>
  <si>
    <t>E 120 47 10.70246</t>
  </si>
  <si>
    <t>YULE2020</t>
  </si>
  <si>
    <t>S 21 49 55.04977</t>
  </si>
  <si>
    <t>E 118 51 11.81707</t>
  </si>
  <si>
    <t>YUNA2020</t>
  </si>
  <si>
    <t>S 28 17 17.41553</t>
  </si>
  <si>
    <t>E 114 56 20.51333</t>
  </si>
  <si>
    <t>AGLIME94</t>
  </si>
  <si>
    <t>S 31 36 47.27372</t>
  </si>
  <si>
    <t>E 116 26 11.00123</t>
  </si>
  <si>
    <t>AJANA94</t>
  </si>
  <si>
    <t>S 27 49 34.48686</t>
  </si>
  <si>
    <t>E 114 40 53.31857</t>
  </si>
  <si>
    <t>AMBANIA94</t>
  </si>
  <si>
    <t>S 28 39 50.55815</t>
  </si>
  <si>
    <t>E 115 15  8.53538</t>
  </si>
  <si>
    <t>AMELUP94</t>
  </si>
  <si>
    <t>S 34 12 58.33087</t>
  </si>
  <si>
    <t>E 118 15 43.21112</t>
  </si>
  <si>
    <t>ATLEY94</t>
  </si>
  <si>
    <t>S 28  7 47.3322</t>
  </si>
  <si>
    <t>E 119  4 44.66424</t>
  </si>
  <si>
    <t>AVONRIVER94</t>
  </si>
  <si>
    <t>S 31 51 38.28316</t>
  </si>
  <si>
    <t>E 116 48 45.67781</t>
  </si>
  <si>
    <t>BAKER94</t>
  </si>
  <si>
    <t>S 26 43 33.54802</t>
  </si>
  <si>
    <t>E 126  8 10.80996</t>
  </si>
  <si>
    <t>BALLA94</t>
  </si>
  <si>
    <t>S 32 22 58.86494</t>
  </si>
  <si>
    <t>E 123 56 20.63764</t>
  </si>
  <si>
    <t>S 33 41 18.44804</t>
  </si>
  <si>
    <t>E 115 29  4.99398</t>
  </si>
  <si>
    <t>BENNETT94</t>
  </si>
  <si>
    <t>S 22 59 43.95264</t>
  </si>
  <si>
    <t>E 117 59 47.35388</t>
  </si>
  <si>
    <t>BIDYADANGA94</t>
  </si>
  <si>
    <t>S 18 39 55.95408</t>
  </si>
  <si>
    <t>E 121 58 53.86354</t>
  </si>
  <si>
    <t>BOHEMIA94</t>
  </si>
  <si>
    <t>S 18 53 39.754</t>
  </si>
  <si>
    <t>E 126  7 46.57206</t>
  </si>
  <si>
    <t>BOOLARDY94</t>
  </si>
  <si>
    <t>S 26 46 20.69188</t>
  </si>
  <si>
    <t>E 116 35 32.10695</t>
  </si>
  <si>
    <t>BOONDI94</t>
  </si>
  <si>
    <t>S 31  8 41.39783</t>
  </si>
  <si>
    <t>E 120 18 36.93683</t>
  </si>
  <si>
    <t>BOWGADA94</t>
  </si>
  <si>
    <t>S 29 18 38.66062</t>
  </si>
  <si>
    <t>E 116  8 54.21768</t>
  </si>
  <si>
    <t>BOXWOOD94</t>
  </si>
  <si>
    <t>S 34 21  4.7309</t>
  </si>
  <si>
    <t>E 118 48 40.49428</t>
  </si>
  <si>
    <t>BRDGETWN94</t>
  </si>
  <si>
    <t>S 33 40 52.2872</t>
  </si>
  <si>
    <t>E 116  9 32.39975</t>
  </si>
  <si>
    <t>BROOKTON94</t>
  </si>
  <si>
    <t>S 32 18 20.88281</t>
  </si>
  <si>
    <t>E 117  1 36.10672</t>
  </si>
  <si>
    <t>BROOME94</t>
  </si>
  <si>
    <t>S 17 57 33.13847</t>
  </si>
  <si>
    <t>E 122 21 27.95155</t>
  </si>
  <si>
    <t>BULDANIA94</t>
  </si>
  <si>
    <t>S 32  3  5.21996</t>
  </si>
  <si>
    <t>E 122  9 11.50358</t>
  </si>
  <si>
    <t>BULLA94</t>
  </si>
  <si>
    <t>S 31  4 49.68275</t>
  </si>
  <si>
    <t>E 120 52 56.13949</t>
  </si>
  <si>
    <t>CARNOT94</t>
  </si>
  <si>
    <t>S 17 19 11.23252</t>
  </si>
  <si>
    <t>E 122 30  8.79757</t>
  </si>
  <si>
    <t>CHALLA94</t>
  </si>
  <si>
    <t>S 28  3 57.59042</t>
  </si>
  <si>
    <t>E 118 24  4.7556</t>
  </si>
  <si>
    <t>CHEELA94</t>
  </si>
  <si>
    <t>S 22 57 30.5995</t>
  </si>
  <si>
    <t>E 117  3 33.49397</t>
  </si>
  <si>
    <t>CHICHESTER94</t>
  </si>
  <si>
    <t>S 22 13 13.39723</t>
  </si>
  <si>
    <t>E 118 55 31.09973</t>
  </si>
  <si>
    <t>COOLAWANYA94</t>
  </si>
  <si>
    <t>S 21 31 45.96704</t>
  </si>
  <si>
    <t>E 117 16 39.94684</t>
  </si>
  <si>
    <t>COOROW94</t>
  </si>
  <si>
    <t>S 30  1  6.82244</t>
  </si>
  <si>
    <t>E 115 55 48.15181</t>
  </si>
  <si>
    <t>CORRIG94</t>
  </si>
  <si>
    <t>S 32 20 52.04206</t>
  </si>
  <si>
    <t>E 117 35  0.14104</t>
  </si>
  <si>
    <t>COSMO94</t>
  </si>
  <si>
    <t>S 28 13 34.66895</t>
  </si>
  <si>
    <t>E 122 42 44.42616</t>
  </si>
  <si>
    <t>CRANBK94</t>
  </si>
  <si>
    <t>S 33 40 51.80588</t>
  </si>
  <si>
    <t>E 117 34 27.07601</t>
  </si>
  <si>
    <t>CUEMAG94</t>
  </si>
  <si>
    <t>S 27 39  8.43685</t>
  </si>
  <si>
    <t>E 117 57 51.77412</t>
  </si>
  <si>
    <t>CULLINIA94</t>
  </si>
  <si>
    <t>S 31 55 25.34156</t>
  </si>
  <si>
    <t>E 123  9 40.57819</t>
  </si>
  <si>
    <t>DANDARAGAN94</t>
  </si>
  <si>
    <t>S 30 47 31.13646</t>
  </si>
  <si>
    <t>E 115 42 19.61701</t>
  </si>
  <si>
    <t>DEPOT94</t>
  </si>
  <si>
    <t>S 27 55  5.70299</t>
  </si>
  <si>
    <t>E 120  3 53.47073</t>
  </si>
  <si>
    <t>DERBY94</t>
  </si>
  <si>
    <t>S 17 33 10.44317</t>
  </si>
  <si>
    <t>E 123 41 33.0823</t>
  </si>
  <si>
    <t>DOCKERRIVER94</t>
  </si>
  <si>
    <t>S 24 52  5.28654</t>
  </si>
  <si>
    <t>E 129 10 54.94508</t>
  </si>
  <si>
    <t>DOOLGUNNA94</t>
  </si>
  <si>
    <t>S 26 14 36.64655</t>
  </si>
  <si>
    <t>E 119 33 59.36414</t>
  </si>
  <si>
    <t>DOWERIN94</t>
  </si>
  <si>
    <t>S 30 45  0.87199</t>
  </si>
  <si>
    <t>E 116 53 24.83671</t>
  </si>
  <si>
    <t>DURACK94</t>
  </si>
  <si>
    <t>S 15 39 38.08174</t>
  </si>
  <si>
    <t>E 127 49  8.61618</t>
  </si>
  <si>
    <t>EASTALB94</t>
  </si>
  <si>
    <t>S 34 46 16.81705</t>
  </si>
  <si>
    <t>E 118 25 36.33514</t>
  </si>
  <si>
    <t>EDGAR94</t>
  </si>
  <si>
    <t>S 21 10 46.91777</t>
  </si>
  <si>
    <t>E 120 14 45.45272</t>
  </si>
  <si>
    <t>ELLENBRAE94</t>
  </si>
  <si>
    <t>S 16  0 39.01802</t>
  </si>
  <si>
    <t>E 126 57 38.85228</t>
  </si>
  <si>
    <t>EUCLA94</t>
  </si>
  <si>
    <t>S 31 36 19.33146</t>
  </si>
  <si>
    <t>E 128 48 17.18406</t>
  </si>
  <si>
    <t>EXMXT94</t>
  </si>
  <si>
    <t>S 23 14 54.65389</t>
  </si>
  <si>
    <t>E 114  3 27.06307</t>
  </si>
  <si>
    <t>FITZGERALD94</t>
  </si>
  <si>
    <t>S 33 43 51.08164</t>
  </si>
  <si>
    <t>E 119 30 56.02745</t>
  </si>
  <si>
    <t>FITZROY94</t>
  </si>
  <si>
    <t>S 18 17  1.83163</t>
  </si>
  <si>
    <t>E 125 38 37.46864</t>
  </si>
  <si>
    <t>FORTES94</t>
  </si>
  <si>
    <t>S 21 26 47.49133</t>
  </si>
  <si>
    <t>E 115 57 11.51201</t>
  </si>
  <si>
    <t>FRANKLAND94</t>
  </si>
  <si>
    <t>S 34 38 34.40677</t>
  </si>
  <si>
    <t>E 116 30 53.00075</t>
  </si>
  <si>
    <t>FRAZER94</t>
  </si>
  <si>
    <t>S 31 58 26.71194</t>
  </si>
  <si>
    <t>E 122 28 49.78762</t>
  </si>
  <si>
    <t>GABYON94</t>
  </si>
  <si>
    <t>S 28 27 23.76702</t>
  </si>
  <si>
    <t>E 116 26 50.9406</t>
  </si>
  <si>
    <t>GALVANS94</t>
  </si>
  <si>
    <t>S 16 46 30.11084</t>
  </si>
  <si>
    <t>E 125 49 51.57224</t>
  </si>
  <si>
    <t>GASCOYNE94</t>
  </si>
  <si>
    <t>S 25  3 56.12306</t>
  </si>
  <si>
    <t>E 115 17 43.53853</t>
  </si>
  <si>
    <t>GIBB294</t>
  </si>
  <si>
    <t>S 17 14  9.08052</t>
  </si>
  <si>
    <t>E 124 36 37.28462</t>
  </si>
  <si>
    <t>GIBBRIVER94</t>
  </si>
  <si>
    <t>S 16 11 31.92983</t>
  </si>
  <si>
    <t>E 126 23 52.05332</t>
  </si>
  <si>
    <t>GILES94</t>
  </si>
  <si>
    <t>S 25 16 50.71526</t>
  </si>
  <si>
    <t>E 127 53 55.83102</t>
  </si>
  <si>
    <t>GIRALIA94</t>
  </si>
  <si>
    <t>S 22 26 25.5367</t>
  </si>
  <si>
    <t>E 114 45 23.21226</t>
  </si>
  <si>
    <t>H1BANWIL94</t>
  </si>
  <si>
    <t>S 32 50 23.51069</t>
  </si>
  <si>
    <t>E 116 41 58.36247</t>
  </si>
  <si>
    <t>H6BOW94</t>
  </si>
  <si>
    <t>S 16 54 21.11515</t>
  </si>
  <si>
    <t>E 128 10  9.85098</t>
  </si>
  <si>
    <t>H6ORD94</t>
  </si>
  <si>
    <t>S 18 41 39.14549</t>
  </si>
  <si>
    <t>E 127 48 50.25344</t>
  </si>
  <si>
    <t>H9BRIVER94</t>
  </si>
  <si>
    <t>S 34 42 42.48713</t>
  </si>
  <si>
    <t>E 117  1 56.88671</t>
  </si>
  <si>
    <t>HAHN94</t>
  </si>
  <si>
    <t>S 33  7 59.43202</t>
  </si>
  <si>
    <t>E 120 20 57.49152</t>
  </si>
  <si>
    <t>HAMERSLEY94</t>
  </si>
  <si>
    <t>S 21 58 35.03633</t>
  </si>
  <si>
    <t>E 117 44 50.04895</t>
  </si>
  <si>
    <t>HAMPTON94</t>
  </si>
  <si>
    <t>S 31 43 47.64324</t>
  </si>
  <si>
    <t>E 128  9 56.71447</t>
  </si>
  <si>
    <t>HARMS94</t>
  </si>
  <si>
    <t>S 32 11 16.52057</t>
  </si>
  <si>
    <t>E 123 24 54.18936</t>
  </si>
  <si>
    <t>HOMEVALLEY94</t>
  </si>
  <si>
    <t>S 15 58  1.05442</t>
  </si>
  <si>
    <t>E 127 27  4.43754</t>
  </si>
  <si>
    <t>HOPETOUN94</t>
  </si>
  <si>
    <t>S 33 44 16.76454</t>
  </si>
  <si>
    <t>E 120  7 23.94361</t>
  </si>
  <si>
    <t>HUG94</t>
  </si>
  <si>
    <t>S 32  6 30.10979</t>
  </si>
  <si>
    <t>E 116 19 12.2925</t>
  </si>
  <si>
    <t>HYDEN94</t>
  </si>
  <si>
    <t>S 32 28 25.22096</t>
  </si>
  <si>
    <t>E 119  1 38.24724</t>
  </si>
  <si>
    <t>ISDELL94</t>
  </si>
  <si>
    <t>S 17  3 57.63528</t>
  </si>
  <si>
    <t>E 125 28  1.95694</t>
  </si>
  <si>
    <t>JERRATS94</t>
  </si>
  <si>
    <t>S 34  3 20.20446</t>
  </si>
  <si>
    <t>E 118 54  1.17479</t>
  </si>
  <si>
    <t>JILLBUNDA94</t>
  </si>
  <si>
    <t>S 32  1 23.93076</t>
  </si>
  <si>
    <t>E 125 43  5.75036</t>
  </si>
  <si>
    <t>JOPE94</t>
  </si>
  <si>
    <t>S 22 54 32.39453</t>
  </si>
  <si>
    <t>E 117 33 44.05212</t>
  </si>
  <si>
    <t>KALBARRI94</t>
  </si>
  <si>
    <t>S 27 24 42.77038</t>
  </si>
  <si>
    <t>E 114 21  7.63726</t>
  </si>
  <si>
    <t>KALUWIRI94</t>
  </si>
  <si>
    <t>S 28  0  7.56655</t>
  </si>
  <si>
    <t>E 119 40 44.72162</t>
  </si>
  <si>
    <t>KARIJINI94</t>
  </si>
  <si>
    <t>S 22 38  6.55505</t>
  </si>
  <si>
    <t>E 118 21 46.86048</t>
  </si>
  <si>
    <t>KELLER94</t>
  </si>
  <si>
    <t>S 31 24 45.54007</t>
  </si>
  <si>
    <t>E 117 41 49.27117</t>
  </si>
  <si>
    <t>KILLARA94</t>
  </si>
  <si>
    <t>S 26 35 17.16911</t>
  </si>
  <si>
    <t>E 119  1 59.81563</t>
  </si>
  <si>
    <t>KOJON94</t>
  </si>
  <si>
    <t>S 33 49 37.80592</t>
  </si>
  <si>
    <t>E 117  3 35.57732</t>
  </si>
  <si>
    <t>KONDININ94</t>
  </si>
  <si>
    <t>S 32 20 49.51853</t>
  </si>
  <si>
    <t>E 118 12 52.18265</t>
  </si>
  <si>
    <t>KOORDA94</t>
  </si>
  <si>
    <t>S 29 46 47.36921</t>
  </si>
  <si>
    <t>E 117 25 49.86296</t>
  </si>
  <si>
    <t>KUMARINA94</t>
  </si>
  <si>
    <t>S 24 50 46.40658</t>
  </si>
  <si>
    <t>E 119 30 31.76734</t>
  </si>
  <si>
    <t>LAKEGRACE94</t>
  </si>
  <si>
    <t>S 33 18 49.06879</t>
  </si>
  <si>
    <t>E 118 17 53.82593</t>
  </si>
  <si>
    <t>LAKEKING94</t>
  </si>
  <si>
    <t>S 32 58 50.54966</t>
  </si>
  <si>
    <t>E 119 42 28.26443</t>
  </si>
  <si>
    <t>LAMBOO94</t>
  </si>
  <si>
    <t>S 18 34 55.17505</t>
  </si>
  <si>
    <t>E 127 16  0.6011</t>
  </si>
  <si>
    <t>LAVERTON94</t>
  </si>
  <si>
    <t>S 28 51  8.94769</t>
  </si>
  <si>
    <t>E 122  8 16.60085</t>
  </si>
  <si>
    <t>LEINSTER94</t>
  </si>
  <si>
    <t>S 27 50 30.81408</t>
  </si>
  <si>
    <t>E 120 40 18.60244</t>
  </si>
  <si>
    <t>LEWIS94</t>
  </si>
  <si>
    <t>S 19 45 40.28105</t>
  </si>
  <si>
    <t>E 128 48 56.4336</t>
  </si>
  <si>
    <t>LOGUE94</t>
  </si>
  <si>
    <t>S 17 40 22.59779</t>
  </si>
  <si>
    <t>E 123  3 34.81366</t>
  </si>
  <si>
    <t>LOUISADOWNS94</t>
  </si>
  <si>
    <t>S 18 49 31.44288</t>
  </si>
  <si>
    <t>E 126 41 40.65756</t>
  </si>
  <si>
    <t>MADURA94</t>
  </si>
  <si>
    <t>S 31 53 41.52001</t>
  </si>
  <si>
    <t>E 127  5 15.42844</t>
  </si>
  <si>
    <t>MALCOLM94</t>
  </si>
  <si>
    <t>S 32  1  2.92271</t>
  </si>
  <si>
    <t>E 122 47 48.97684</t>
  </si>
  <si>
    <t>MARBLE94</t>
  </si>
  <si>
    <t>S 20 50 53.0282</t>
  </si>
  <si>
    <t>E 119 51  4.69238</t>
  </si>
  <si>
    <t>MARVEL94</t>
  </si>
  <si>
    <t>S 31 11  7.66511</t>
  </si>
  <si>
    <t>E 119 37 17.68721</t>
  </si>
  <si>
    <t>MEDA94</t>
  </si>
  <si>
    <t>S 17 31 59.58624</t>
  </si>
  <si>
    <t>E 124  6 15.05909</t>
  </si>
  <si>
    <t>MEEKA94</t>
  </si>
  <si>
    <t>S 26 31 20.85514</t>
  </si>
  <si>
    <t>E 118 18 24.92575</t>
  </si>
  <si>
    <t>MENZIES94</t>
  </si>
  <si>
    <t>S 29 37 27.17281</t>
  </si>
  <si>
    <t>E 121  6 11.47133</t>
  </si>
  <si>
    <t>MERREDIN94</t>
  </si>
  <si>
    <t>S 31 28 20.23716</t>
  </si>
  <si>
    <t>E 118 24 28.11017</t>
  </si>
  <si>
    <t>MILLSTREAM94</t>
  </si>
  <si>
    <t>S 21 12 43.53613</t>
  </si>
  <si>
    <t>E 117  5 10.2934</t>
  </si>
  <si>
    <t>MINGENEW94</t>
  </si>
  <si>
    <t>S 29 12 27.47304</t>
  </si>
  <si>
    <t>E 115 20 41.84491</t>
  </si>
  <si>
    <t>MOONERA94</t>
  </si>
  <si>
    <t>S 31 56  1.43041</t>
  </si>
  <si>
    <t>E 126 26 28.85129</t>
  </si>
  <si>
    <t>MORLEY94</t>
  </si>
  <si>
    <t>S 34 50 14.5379</t>
  </si>
  <si>
    <t>E 117 31 30.21035</t>
  </si>
  <si>
    <t>MTHART94</t>
  </si>
  <si>
    <t>S 16 59  0.09308</t>
  </si>
  <si>
    <t>E 125 12  0.77015</t>
  </si>
  <si>
    <t>MTMAGSTH</t>
  </si>
  <si>
    <t>S 28 43 41.57918</t>
  </si>
  <si>
    <t>E 117 48 36.44942</t>
  </si>
  <si>
    <t>MUCHEA94</t>
  </si>
  <si>
    <t>S 31 10 23.09603</t>
  </si>
  <si>
    <t>E 115 57 37.48666</t>
  </si>
  <si>
    <t>MUELLER94</t>
  </si>
  <si>
    <t>S 19 46 14.16695</t>
  </si>
  <si>
    <t>E 128 20 18.8835</t>
  </si>
  <si>
    <t>MUGGAN94</t>
  </si>
  <si>
    <t>S 27 10  2.83375</t>
  </si>
  <si>
    <t>E 125 27 27.42588</t>
  </si>
  <si>
    <t>MUKINBUDIN94</t>
  </si>
  <si>
    <t>S 30 54 41.95141</t>
  </si>
  <si>
    <t>E 118 21 55.95372</t>
  </si>
  <si>
    <t>MULGADOWNS94</t>
  </si>
  <si>
    <t>S 22 17 20.96981</t>
  </si>
  <si>
    <t>E 118 32 42.23778</t>
  </si>
  <si>
    <t>MUNDRABILLA94</t>
  </si>
  <si>
    <t>S 31 54 57.06076</t>
  </si>
  <si>
    <t>E 127 36 41.78862</t>
  </si>
  <si>
    <t>MUNG94</t>
  </si>
  <si>
    <t>S 33 39 57.06911</t>
  </si>
  <si>
    <t>E 120 36 20.81862</t>
  </si>
  <si>
    <t>MURCHISON94</t>
  </si>
  <si>
    <t>S 27  8 19.79272</t>
  </si>
  <si>
    <t>E 116  3 51.92006</t>
  </si>
  <si>
    <t>NANNINE94</t>
  </si>
  <si>
    <t>S 26 53 31.38252</t>
  </si>
  <si>
    <t>E 118 15  6.88054</t>
  </si>
  <si>
    <t>NANU94</t>
  </si>
  <si>
    <t>S 22  8 55.70711</t>
  </si>
  <si>
    <t>E 115 27  9.13716</t>
  </si>
  <si>
    <t>NAPIER94</t>
  </si>
  <si>
    <t>S 17  5 20.4616</t>
  </si>
  <si>
    <t>E 124 58 55.25306</t>
  </si>
  <si>
    <t>NARROGIN94</t>
  </si>
  <si>
    <t>S 32 52 47.94629</t>
  </si>
  <si>
    <t>E 117 11 26.41477</t>
  </si>
  <si>
    <t>NEWGATE94</t>
  </si>
  <si>
    <t>S 33  5  5.63417</t>
  </si>
  <si>
    <t>E 119  7 36.90862</t>
  </si>
  <si>
    <t>NEWMAN94</t>
  </si>
  <si>
    <t>S 23 44  6.57593</t>
  </si>
  <si>
    <t>E 119 43 16.09057</t>
  </si>
  <si>
    <t>NULL94</t>
  </si>
  <si>
    <t>S 22  1 16.69087</t>
  </si>
  <si>
    <t>E 120  7 35.67594</t>
  </si>
  <si>
    <t>OAKOVER94</t>
  </si>
  <si>
    <t>S 21 23  2.08046</t>
  </si>
  <si>
    <t>E 121  5 40.35804</t>
  </si>
  <si>
    <t>ONGERUP94</t>
  </si>
  <si>
    <t>S 33 59 50.14824</t>
  </si>
  <si>
    <t>E 118 29 25.13746</t>
  </si>
  <si>
    <t>PAMELIA94</t>
  </si>
  <si>
    <t>S 23 11 12.65305</t>
  </si>
  <si>
    <t>E 119 26  7.8868</t>
  </si>
  <si>
    <t>PARDOO94</t>
  </si>
  <si>
    <t>S 20  2 27.99614</t>
  </si>
  <si>
    <t>E 119 55 45.39436</t>
  </si>
  <si>
    <t>PENDER94</t>
  </si>
  <si>
    <t>S 16 42  6.74165</t>
  </si>
  <si>
    <t>E 122 56 18.68226</t>
  </si>
  <si>
    <t>PERUP94</t>
  </si>
  <si>
    <t>S 34  9 10.79312</t>
  </si>
  <si>
    <t>E 116 37 36.89166</t>
  </si>
  <si>
    <t>PINDARTS94</t>
  </si>
  <si>
    <t>S 28 38 19.9248</t>
  </si>
  <si>
    <t>E 115 48  5.27742</t>
  </si>
  <si>
    <t>POINTANN</t>
  </si>
  <si>
    <t>S 34 16 38.04665</t>
  </si>
  <si>
    <t>E 119 27 41.68955</t>
  </si>
  <si>
    <t>QUANBUN94</t>
  </si>
  <si>
    <t>S 17 53 53.68254</t>
  </si>
  <si>
    <t>E 125  6 44.20357</t>
  </si>
  <si>
    <t>RAVENS94</t>
  </si>
  <si>
    <t>S 33 25 35.93183</t>
  </si>
  <si>
    <t>E 120  4 12.81317</t>
  </si>
  <si>
    <t>RIPON94</t>
  </si>
  <si>
    <t>S 21 19  6.28716</t>
  </si>
  <si>
    <t>E 120 31 29.12196</t>
  </si>
  <si>
    <t>SANDFIRE94</t>
  </si>
  <si>
    <t>S 19 26 11.12287</t>
  </si>
  <si>
    <t>E 121 21 36.34513</t>
  </si>
  <si>
    <t>SCADDAN94</t>
  </si>
  <si>
    <t>S 32 55  3.05929</t>
  </si>
  <si>
    <t>E 121 43  2.37299</t>
  </si>
  <si>
    <t>SCROSS94</t>
  </si>
  <si>
    <t>S 31 12 19.45933</t>
  </si>
  <si>
    <t>E 119  2 31.9223</t>
  </si>
  <si>
    <t>SHANNON94</t>
  </si>
  <si>
    <t>S 34 45 56.525</t>
  </si>
  <si>
    <t>E 116 30  9.57265</t>
  </si>
  <si>
    <t>SHAWRVR94</t>
  </si>
  <si>
    <t>S 20 33  6.99527</t>
  </si>
  <si>
    <t>E 119 17 35.47867</t>
  </si>
  <si>
    <t>SHERWOOD94</t>
  </si>
  <si>
    <t>S 26 26 14.84797</t>
  </si>
  <si>
    <t>E 118 52 47.11055</t>
  </si>
  <si>
    <t>STOKES94</t>
  </si>
  <si>
    <t>S 33 38 39.43259</t>
  </si>
  <si>
    <t>E 121 12 27.14774</t>
  </si>
  <si>
    <t>SUNDAY94</t>
  </si>
  <si>
    <t>S 21  9 57.78875</t>
  </si>
  <si>
    <t>E 116 26 24.91174</t>
  </si>
  <si>
    <t>THROSSELL94</t>
  </si>
  <si>
    <t>S 27 40 42.95507</t>
  </si>
  <si>
    <t>E 124  5 38.15232</t>
  </si>
  <si>
    <t>TIEBIN94</t>
  </si>
  <si>
    <t>S 33 46 46.71458</t>
  </si>
  <si>
    <t>E 118 26 59.2201</t>
  </si>
  <si>
    <t>TJUKAYIRLA94</t>
  </si>
  <si>
    <t>S 27 29 29.43722</t>
  </si>
  <si>
    <t>E 124 42 52.35678</t>
  </si>
  <si>
    <t>TOMPRICE94</t>
  </si>
  <si>
    <t>S 22 22 31.42128</t>
  </si>
  <si>
    <t>E 117 47 42.38981</t>
  </si>
  <si>
    <t>URANDY94</t>
  </si>
  <si>
    <t>S 22 33 57.90726</t>
  </si>
  <si>
    <t>E 115 59 27.12818</t>
  </si>
  <si>
    <t>VIRGINIA94</t>
  </si>
  <si>
    <t>S 32 11 47.9981</t>
  </si>
  <si>
    <t>E 125 15 29.71904</t>
  </si>
  <si>
    <t>WALKAWAY94</t>
  </si>
  <si>
    <t>S 28 47 14.11555</t>
  </si>
  <si>
    <t>E 114 52 59.53469</t>
  </si>
  <si>
    <t>WALLAL94</t>
  </si>
  <si>
    <t>S 19 50 38.34992</t>
  </si>
  <si>
    <t>E 120 34 40.98562</t>
  </si>
  <si>
    <t>WALPOLE94</t>
  </si>
  <si>
    <t>S 34 59 27.54834</t>
  </si>
  <si>
    <t>E 116 41 41.80837</t>
  </si>
  <si>
    <t>WANNAN94</t>
  </si>
  <si>
    <t>S 25 44  3.70774</t>
  </si>
  <si>
    <t>E 127 20 12.24571</t>
  </si>
  <si>
    <t>WARAKURNA94</t>
  </si>
  <si>
    <t>S 24 57 15.2455</t>
  </si>
  <si>
    <t>E 128 41 56.648</t>
  </si>
  <si>
    <t>WARBURTON94</t>
  </si>
  <si>
    <t>S 26  5 27.00877</t>
  </si>
  <si>
    <t>E 126 48  6.33002</t>
  </si>
  <si>
    <t>WARRAD94</t>
  </si>
  <si>
    <t>S 30  1 56.5352</t>
  </si>
  <si>
    <t>E 115 19  0.84313</t>
  </si>
  <si>
    <t>WARREL94</t>
  </si>
  <si>
    <t>S 20 45 46.21626</t>
  </si>
  <si>
    <t>E 119 39 52.74886</t>
  </si>
  <si>
    <t>WEEBO94</t>
  </si>
  <si>
    <t>S 28 19 14.5754</t>
  </si>
  <si>
    <t>E 121  3  8.46058</t>
  </si>
  <si>
    <t>WESTANGELAS94</t>
  </si>
  <si>
    <t>S 22 52  7.21963</t>
  </si>
  <si>
    <t>E 119  2 29.14321</t>
  </si>
  <si>
    <t>WHIMCRK94</t>
  </si>
  <si>
    <t>S 20 51 51.99149</t>
  </si>
  <si>
    <t>E 117 46 39.17849</t>
  </si>
  <si>
    <t>WHIMEAST94</t>
  </si>
  <si>
    <t>S 20 48 21.41986</t>
  </si>
  <si>
    <t>E 117 56 30.03716</t>
  </si>
  <si>
    <t>WHIMWEST94</t>
  </si>
  <si>
    <t>S 20 51 56.95247</t>
  </si>
  <si>
    <t>E 117 36  8.42033</t>
  </si>
  <si>
    <t>WHITECLIFFS94</t>
  </si>
  <si>
    <t>S 27 57 51.73222</t>
  </si>
  <si>
    <t>E 123 21 43.63585</t>
  </si>
  <si>
    <t>WILUNA94</t>
  </si>
  <si>
    <t>S 26 39 30.49855</t>
  </si>
  <si>
    <t>E 120 13  5.37082</t>
  </si>
  <si>
    <t>WITTENOOM94</t>
  </si>
  <si>
    <t>S 22 12 24.08753</t>
  </si>
  <si>
    <t>E 118  7 38.35196</t>
  </si>
  <si>
    <t>WOODSTOCK94</t>
  </si>
  <si>
    <t>S 21 19 24.69616</t>
  </si>
  <si>
    <t>E 118 48 48.03376</t>
  </si>
  <si>
    <t>WOORLBA94</t>
  </si>
  <si>
    <t>S 32 20  7.15646</t>
  </si>
  <si>
    <t>E 124 43 16.51264</t>
  </si>
  <si>
    <t>WUBIN94</t>
  </si>
  <si>
    <t>S 30  1  9.5057</t>
  </si>
  <si>
    <t>E 116 42 14.28188</t>
  </si>
  <si>
    <t>WYLOO94</t>
  </si>
  <si>
    <t>S 22 45 11.20435</t>
  </si>
  <si>
    <t>E 116 31 42.45366</t>
  </si>
  <si>
    <t>WYNDHAM94</t>
  </si>
  <si>
    <t>S 15 51 56.55701</t>
  </si>
  <si>
    <t>E 128 10 28.07785</t>
  </si>
  <si>
    <t>YALGOO94</t>
  </si>
  <si>
    <t>S 28 28  5.9394</t>
  </si>
  <si>
    <t>E 116 52 46.94495</t>
  </si>
  <si>
    <t>YANNARIE94</t>
  </si>
  <si>
    <t>S 22 47  1.78195</t>
  </si>
  <si>
    <t>E 115  5 18.79753</t>
  </si>
  <si>
    <t>YARINGA94</t>
  </si>
  <si>
    <t>S 26  7 49.91797</t>
  </si>
  <si>
    <t>E 114 23  5.3493</t>
  </si>
  <si>
    <t>YILGALONG94</t>
  </si>
  <si>
    <t>S 21 17 50.34358</t>
  </si>
  <si>
    <t>E 120 51 37.45786</t>
  </si>
  <si>
    <t>YULE94</t>
  </si>
  <si>
    <t>S 21 49  5.31199</t>
  </si>
  <si>
    <t>E 118 52 48.60174</t>
  </si>
  <si>
    <t>YUNA94</t>
  </si>
  <si>
    <t>S 28 19 41.23474</t>
  </si>
  <si>
    <t>E 114 55 46.40941</t>
  </si>
  <si>
    <t>Formula Description</t>
  </si>
  <si>
    <t>geoaz(Latitude1,Longitude1,Latitude2,Longitude2)</t>
  </si>
  <si>
    <t>georevaz(Latitude1,Longitude1,Latitude2,Longitude2)</t>
  </si>
  <si>
    <t>sphdist(Latitude1,Longitude1,Latitude2,Longitude2)</t>
  </si>
  <si>
    <t>fwdlat(Latitude1,Longitude1,Latitude2,Longitude2)</t>
  </si>
  <si>
    <t>fwdlong(Latitude1,Longitude1,Latitude2,Longitude2)</t>
  </si>
  <si>
    <t>fwdrevaz(Latitude1,Longitude1,Latitude2,Longitude2)</t>
  </si>
  <si>
    <t>dd(HoursMinSec)</t>
  </si>
  <si>
    <t>hms(DecimalDegress,DecimalPlaces)</t>
  </si>
  <si>
    <t>Eg. Latitude 1</t>
  </si>
  <si>
    <t>Eg. Longitude 1</t>
  </si>
  <si>
    <t>Eg. Latitude 2</t>
  </si>
  <si>
    <t>Eg. Longitude 2</t>
  </si>
  <si>
    <t>Azimuth</t>
  </si>
  <si>
    <t>Reverse Azimuth</t>
  </si>
  <si>
    <t>Ellipsoidal Distance</t>
  </si>
  <si>
    <t>Forward Latitude</t>
  </si>
  <si>
    <t>Forward Longitude</t>
  </si>
  <si>
    <t>Convert HMS</t>
  </si>
  <si>
    <t>Convert DD</t>
  </si>
  <si>
    <t>EDM Dist</t>
  </si>
  <si>
    <t>Horizontal Dist</t>
  </si>
  <si>
    <t>Sph/Sea Lev. Dist</t>
  </si>
  <si>
    <t>GM-GM</t>
  </si>
  <si>
    <t>Coefficient of refraction
(k)</t>
  </si>
  <si>
    <t>At</t>
  </si>
  <si>
    <t>To</t>
  </si>
  <si>
    <r>
      <t>d</t>
    </r>
    <r>
      <rPr>
        <b/>
        <vertAlign val="subscript"/>
        <sz val="10"/>
        <rFont val="Arial"/>
        <family val="2"/>
      </rPr>
      <t>1</t>
    </r>
  </si>
  <si>
    <t>k</t>
  </si>
  <si>
    <t>At Latitude</t>
  </si>
  <si>
    <t>To Latitude</t>
  </si>
  <si>
    <t>R</t>
  </si>
  <si>
    <r>
      <t>K</t>
    </r>
    <r>
      <rPr>
        <vertAlign val="subscript"/>
        <sz val="10"/>
        <rFont val="Arial"/>
        <family val="2"/>
      </rPr>
      <t>1</t>
    </r>
  </si>
  <si>
    <r>
      <t>d</t>
    </r>
    <r>
      <rPr>
        <vertAlign val="subscript"/>
        <sz val="10"/>
        <rFont val="Arial"/>
        <family val="2"/>
      </rPr>
      <t>2=</t>
    </r>
    <r>
      <rPr>
        <b/>
        <sz val="10"/>
        <rFont val="Arial"/>
        <family val="2"/>
      </rPr>
      <t>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+</t>
    </r>
    <r>
      <rPr>
        <b/>
        <sz val="10"/>
        <rFont val="Arial"/>
        <family val="2"/>
      </rPr>
      <t>K</t>
    </r>
    <r>
      <rPr>
        <vertAlign val="subscript"/>
        <sz val="10"/>
        <rFont val="Arial"/>
        <family val="2"/>
      </rPr>
      <t>1</t>
    </r>
  </si>
  <si>
    <t>RL At</t>
  </si>
  <si>
    <t>Ht At</t>
  </si>
  <si>
    <r>
      <t>H</t>
    </r>
    <r>
      <rPr>
        <b/>
        <vertAlign val="subscript"/>
        <sz val="10"/>
        <rFont val="Arial"/>
        <family val="2"/>
      </rPr>
      <t>1</t>
    </r>
  </si>
  <si>
    <t>RL To</t>
  </si>
  <si>
    <t>Ht To</t>
  </si>
  <si>
    <r>
      <t>H</t>
    </r>
    <r>
      <rPr>
        <vertAlign val="subscript"/>
        <sz val="10"/>
        <rFont val="Arial"/>
        <family val="2"/>
      </rPr>
      <t>2</t>
    </r>
  </si>
  <si>
    <r>
      <t>H</t>
    </r>
    <r>
      <rPr>
        <vertAlign val="subscript"/>
        <sz val="10"/>
        <rFont val="Arial"/>
        <family val="2"/>
      </rPr>
      <t>M</t>
    </r>
  </si>
  <si>
    <r>
      <t>H</t>
    </r>
    <r>
      <rPr>
        <b/>
        <vertAlign val="subscript"/>
        <sz val="10"/>
        <rFont val="Arial"/>
        <family val="2"/>
      </rPr>
      <t>m</t>
    </r>
  </si>
  <si>
    <r>
      <t>K</t>
    </r>
    <r>
      <rPr>
        <b/>
        <vertAlign val="subscript"/>
        <sz val="10"/>
        <rFont val="Arial"/>
        <family val="2"/>
      </rPr>
      <t>2</t>
    </r>
  </si>
  <si>
    <r>
      <t>d</t>
    </r>
    <r>
      <rPr>
        <b/>
        <vertAlign val="subscript"/>
        <sz val="10"/>
        <rFont val="Arial"/>
        <family val="2"/>
      </rPr>
      <t>6=</t>
    </r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+K</t>
    </r>
    <r>
      <rPr>
        <b/>
        <vertAlign val="subscript"/>
        <sz val="10"/>
        <rFont val="Arial"/>
        <family val="2"/>
      </rPr>
      <t>2</t>
    </r>
  </si>
  <si>
    <r>
      <t>K</t>
    </r>
    <r>
      <rPr>
        <b/>
        <vertAlign val="subscript"/>
        <sz val="10"/>
        <rFont val="Arial"/>
        <family val="2"/>
      </rPr>
      <t>3</t>
    </r>
  </si>
  <si>
    <r>
      <t>d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=</t>
    </r>
    <r>
      <rPr>
        <b/>
        <sz val="10"/>
        <rFont val="Arial"/>
        <family val="2"/>
      </rPr>
      <t>d</t>
    </r>
    <r>
      <rPr>
        <vertAlign val="subscript"/>
        <sz val="10"/>
        <rFont val="Arial"/>
        <family val="2"/>
      </rPr>
      <t>6</t>
    </r>
    <r>
      <rPr>
        <sz val="10"/>
        <rFont val="Arial"/>
        <family val="2"/>
      </rPr>
      <t>+</t>
    </r>
    <r>
      <rPr>
        <b/>
        <sz val="10"/>
        <rFont val="Arial"/>
        <family val="2"/>
      </rPr>
      <t>K</t>
    </r>
    <r>
      <rPr>
        <vertAlign val="subscript"/>
        <sz val="10"/>
        <rFont val="Arial"/>
        <family val="2"/>
      </rPr>
      <t>3</t>
    </r>
  </si>
  <si>
    <r>
      <t>K</t>
    </r>
    <r>
      <rPr>
        <b/>
        <vertAlign val="subscript"/>
        <sz val="10"/>
        <rFont val="Arial"/>
        <family val="2"/>
      </rPr>
      <t>4</t>
    </r>
  </si>
  <si>
    <r>
      <t>d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>=d</t>
    </r>
    <r>
      <rPr>
        <b/>
        <vertAlign val="subscript"/>
        <sz val="10"/>
        <rFont val="Arial"/>
        <family val="2"/>
      </rPr>
      <t>3</t>
    </r>
    <r>
      <rPr>
        <b/>
        <sz val="10"/>
        <rFont val="Arial"/>
        <family val="2"/>
      </rPr>
      <t>+k</t>
    </r>
    <r>
      <rPr>
        <b/>
        <vertAlign val="subscript"/>
        <sz val="10"/>
        <rFont val="Arial"/>
        <family val="2"/>
      </rPr>
      <t>4</t>
    </r>
  </si>
  <si>
    <r>
      <t>K</t>
    </r>
    <r>
      <rPr>
        <vertAlign val="subscript"/>
        <sz val="10"/>
        <rFont val="Arial"/>
        <family val="2"/>
      </rPr>
      <t>2</t>
    </r>
  </si>
  <si>
    <r>
      <t>d</t>
    </r>
    <r>
      <rPr>
        <vertAlign val="subscript"/>
        <sz val="10"/>
        <rFont val="Arial"/>
        <family val="2"/>
      </rPr>
      <t xml:space="preserve">2 </t>
    </r>
  </si>
  <si>
    <t>Inland</t>
  </si>
  <si>
    <t>Coastal</t>
  </si>
  <si>
    <t>Night</t>
  </si>
  <si>
    <t>Parameters and test data sourced from the GDA2020 Interim Release Note http://www.icsm.gov.au/gda2020/InterimReleaseNoteV1.0.pdf</t>
  </si>
  <si>
    <t>LatSevenPara(FromDatum,ToDatum,Latitude,Longitude,EllipsoidalHeight)</t>
  </si>
  <si>
    <t>LngSevenPara(FromDatum,ToDatum,Latitude,Longitude,EllipsoidalHeight)</t>
  </si>
  <si>
    <t>HtSevenPara(FromDatum,ToDatum,Latitude,Longitude,EllipsoidalHeight)</t>
  </si>
  <si>
    <t>Datum</t>
  </si>
  <si>
    <t>Ellipsoidal Height (m)</t>
  </si>
  <si>
    <t>GDA94</t>
  </si>
  <si>
    <t>S 23 40 12.44601876</t>
  </si>
  <si>
    <t>E133 53 07.847844</t>
  </si>
  <si>
    <t>GDA2020</t>
  </si>
  <si>
    <t xml:space="preserve">GDA94 coordinates of Alice Springs (ALIC)
</t>
  </si>
  <si>
    <t>GDA2020 coordinates of Alice Springs (ALIC)</t>
  </si>
  <si>
    <t>A</t>
  </si>
  <si>
    <t>B</t>
  </si>
  <si>
    <t>S 31 48 07.04863</t>
  </si>
  <si>
    <t>S 31 48 21.35646</t>
  </si>
  <si>
    <t>Eg. h(Ellipse)2</t>
  </si>
  <si>
    <t>Eg. h(Ellipse)1</t>
  </si>
  <si>
    <t>Horizontal Distance</t>
  </si>
  <si>
    <t>HzDist(Latitude1,Longitude1,h(ellipse)1,Latitude2,Longitude2,h(ellipse)2)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</si>
</sst>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0"/>
    <numFmt numFmtId="166" formatCode="0.0000"/>
    <numFmt numFmtId="167" formatCode="0.00000"/>
  </numFmts>
  <fonts count="23" x14ac:knownFonts="1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3"/>
      <color theme="3"/>
      <name val="Calibri"/>
      <family val="2"/>
    </font>
    <font>
      <sz val="11"/>
      <color theme="1"/>
      <name val="Calibri"/>
      <family val="2"/>
    </font>
    <font>
      <b/>
      <sz val="11"/>
      <name val="Calibri"/>
      <family val="2"/>
    </font>
    <font>
      <b/>
      <sz val="11"/>
      <color rgb="FFFA7D00"/>
      <name val="Calibri"/>
      <family val="2"/>
    </font>
    <font>
      <sz val="11"/>
      <name val="Calibri"/>
      <family val="2"/>
    </font>
    <font>
      <b/>
      <sz val="11"/>
      <color rgb="FF3F3F76"/>
      <name val="Calibri"/>
      <family val="2"/>
    </font>
    <font>
      <sz val="11"/>
      <color rgb="FF3F3F76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theme="1"/>
      <name val="Aptos Narrow"/>
      <family val="2"/>
      <scheme val="minor"/>
    </font>
    <font>
      <b/>
      <sz val="10"/>
      <name val="Arial"/>
      <family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6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0"/>
      </patternFill>
    </fill>
    <fill>
      <patternFill patternType="solid">
        <fgColor theme="3" tint="0.899960325937681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lightUp">
        <fgColor indexed="9"/>
      </patternFill>
    </fill>
    <fill>
      <patternFill patternType="solid">
        <fgColor indexed="9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22"/>
      </right>
      <top/>
      <bottom style="thin">
        <color indexed="64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2" fillId="2" borderId="2" applyNumberFormat="0" applyAlignment="0" applyProtection="0"/>
    <xf numFmtId="0" fontId="3" fillId="3" borderId="2" applyNumberFormat="0" applyAlignment="0" applyProtection="0"/>
    <xf numFmtId="0" fontId="5" fillId="0" borderId="0"/>
    <xf numFmtId="0" fontId="14" fillId="0" borderId="0"/>
  </cellStyleXfs>
  <cellXfs count="98">
    <xf numFmtId="0" fontId="0" fillId="0" borderId="0" xfId="0"/>
    <xf numFmtId="0" fontId="4" fillId="0" borderId="0" xfId="0" applyFont="1" applyAlignment="1">
      <alignment wrapText="1"/>
    </xf>
    <xf numFmtId="0" fontId="0" fillId="0" borderId="0" xfId="0" applyAlignment="1">
      <alignment textRotation="60"/>
    </xf>
    <xf numFmtId="0" fontId="6" fillId="0" borderId="3" xfId="4" applyFont="1" applyBorder="1" applyAlignment="1">
      <alignment horizontal="center" textRotation="60"/>
    </xf>
    <xf numFmtId="0" fontId="1" fillId="4" borderId="4" xfId="1" applyFill="1" applyBorder="1" applyAlignment="1">
      <alignment horizontal="center"/>
    </xf>
    <xf numFmtId="164" fontId="3" fillId="3" borderId="8" xfId="3" applyNumberFormat="1" applyBorder="1" applyAlignment="1">
      <alignment wrapText="1"/>
    </xf>
    <xf numFmtId="164" fontId="3" fillId="3" borderId="8" xfId="3" applyNumberFormat="1" applyBorder="1"/>
    <xf numFmtId="0" fontId="3" fillId="3" borderId="8" xfId="3" applyBorder="1" applyAlignment="1">
      <alignment horizontal="center"/>
    </xf>
    <xf numFmtId="165" fontId="3" fillId="3" borderId="8" xfId="3" applyNumberFormat="1" applyBorder="1"/>
    <xf numFmtId="164" fontId="3" fillId="3" borderId="9" xfId="3" applyNumberFormat="1" applyBorder="1" applyAlignment="1">
      <alignment wrapText="1"/>
    </xf>
    <xf numFmtId="164" fontId="3" fillId="3" borderId="9" xfId="3" applyNumberFormat="1" applyBorder="1"/>
    <xf numFmtId="0" fontId="3" fillId="3" borderId="9" xfId="3" applyBorder="1" applyAlignment="1">
      <alignment horizontal="center"/>
    </xf>
    <xf numFmtId="165" fontId="3" fillId="3" borderId="9" xfId="3" applyNumberFormat="1" applyBorder="1"/>
    <xf numFmtId="0" fontId="2" fillId="2" borderId="9" xfId="2" applyBorder="1" applyAlignment="1">
      <alignment wrapText="1"/>
    </xf>
    <xf numFmtId="0" fontId="2" fillId="2" borderId="9" xfId="2" applyBorder="1"/>
    <xf numFmtId="0" fontId="8" fillId="0" borderId="0" xfId="0" applyFont="1"/>
    <xf numFmtId="0" fontId="9" fillId="5" borderId="5" xfId="2" applyFont="1" applyFill="1" applyBorder="1"/>
    <xf numFmtId="0" fontId="9" fillId="5" borderId="6" xfId="2" applyFont="1" applyFill="1" applyBorder="1"/>
    <xf numFmtId="164" fontId="10" fillId="3" borderId="6" xfId="3" applyNumberFormat="1" applyFont="1" applyBorder="1" applyAlignment="1">
      <alignment wrapText="1"/>
    </xf>
    <xf numFmtId="164" fontId="10" fillId="3" borderId="6" xfId="3" applyNumberFormat="1" applyFont="1" applyBorder="1"/>
    <xf numFmtId="0" fontId="10" fillId="3" borderId="6" xfId="3" applyFont="1" applyBorder="1" applyAlignment="1">
      <alignment horizontal="center"/>
    </xf>
    <xf numFmtId="165" fontId="10" fillId="3" borderId="6" xfId="3" applyNumberFormat="1" applyFont="1" applyBorder="1"/>
    <xf numFmtId="0" fontId="11" fillId="5" borderId="8" xfId="2" applyFont="1" applyFill="1" applyBorder="1" applyAlignment="1">
      <alignment wrapText="1"/>
    </xf>
    <xf numFmtId="0" fontId="11" fillId="5" borderId="8" xfId="2" applyFont="1" applyFill="1" applyBorder="1"/>
    <xf numFmtId="164" fontId="10" fillId="3" borderId="8" xfId="3" applyNumberFormat="1" applyFont="1" applyBorder="1" applyAlignment="1">
      <alignment wrapText="1"/>
    </xf>
    <xf numFmtId="164" fontId="10" fillId="3" borderId="8" xfId="3" applyNumberFormat="1" applyFont="1" applyBorder="1"/>
    <xf numFmtId="0" fontId="10" fillId="3" borderId="8" xfId="3" applyFont="1" applyBorder="1" applyAlignment="1">
      <alignment horizontal="center"/>
    </xf>
    <xf numFmtId="165" fontId="10" fillId="3" borderId="8" xfId="3" applyNumberFormat="1" applyFont="1" applyBorder="1"/>
    <xf numFmtId="0" fontId="11" fillId="5" borderId="9" xfId="2" applyFont="1" applyFill="1" applyBorder="1" applyAlignment="1">
      <alignment wrapText="1"/>
    </xf>
    <xf numFmtId="0" fontId="11" fillId="5" borderId="9" xfId="2" applyFont="1" applyFill="1" applyBorder="1"/>
    <xf numFmtId="164" fontId="10" fillId="3" borderId="9" xfId="3" applyNumberFormat="1" applyFont="1" applyBorder="1" applyAlignment="1">
      <alignment wrapText="1"/>
    </xf>
    <xf numFmtId="164" fontId="10" fillId="3" borderId="9" xfId="3" applyNumberFormat="1" applyFont="1" applyBorder="1"/>
    <xf numFmtId="0" fontId="10" fillId="3" borderId="9" xfId="3" applyFont="1" applyBorder="1" applyAlignment="1">
      <alignment horizontal="center"/>
    </xf>
    <xf numFmtId="165" fontId="10" fillId="3" borderId="9" xfId="3" applyNumberFormat="1" applyFont="1" applyBorder="1"/>
    <xf numFmtId="0" fontId="12" fillId="2" borderId="5" xfId="2" applyFont="1" applyBorder="1"/>
    <xf numFmtId="0" fontId="12" fillId="2" borderId="6" xfId="2" applyFont="1" applyBorder="1"/>
    <xf numFmtId="0" fontId="13" fillId="2" borderId="9" xfId="2" applyFont="1" applyBorder="1" applyAlignment="1">
      <alignment wrapText="1"/>
    </xf>
    <xf numFmtId="0" fontId="13" fillId="2" borderId="9" xfId="2" applyFont="1" applyBorder="1"/>
    <xf numFmtId="0" fontId="13" fillId="2" borderId="10" xfId="2" applyFont="1" applyBorder="1" applyAlignment="1">
      <alignment wrapText="1"/>
    </xf>
    <xf numFmtId="0" fontId="13" fillId="2" borderId="10" xfId="2" applyFont="1" applyBorder="1"/>
    <xf numFmtId="164" fontId="10" fillId="3" borderId="10" xfId="3" applyNumberFormat="1" applyFont="1" applyBorder="1" applyAlignment="1">
      <alignment wrapText="1"/>
    </xf>
    <xf numFmtId="164" fontId="10" fillId="3" borderId="10" xfId="3" applyNumberFormat="1" applyFont="1" applyBorder="1"/>
    <xf numFmtId="0" fontId="10" fillId="3" borderId="10" xfId="3" applyFont="1" applyBorder="1" applyAlignment="1">
      <alignment horizontal="center"/>
    </xf>
    <xf numFmtId="165" fontId="10" fillId="3" borderId="10" xfId="3" applyNumberFormat="1" applyFont="1" applyBorder="1"/>
    <xf numFmtId="0" fontId="12" fillId="2" borderId="5" xfId="2" applyFont="1" applyBorder="1" applyAlignment="1">
      <alignment wrapText="1"/>
    </xf>
    <xf numFmtId="0" fontId="13" fillId="2" borderId="8" xfId="2" applyFont="1" applyBorder="1" applyAlignment="1">
      <alignment wrapText="1"/>
    </xf>
    <xf numFmtId="0" fontId="13" fillId="2" borderId="8" xfId="2" applyFont="1" applyBorder="1"/>
    <xf numFmtId="0" fontId="7" fillId="6" borderId="4" xfId="1" applyFont="1" applyFill="1" applyBorder="1" applyAlignment="1">
      <alignment horizontal="center"/>
    </xf>
    <xf numFmtId="0" fontId="2" fillId="5" borderId="8" xfId="2" applyFill="1" applyBorder="1" applyAlignment="1">
      <alignment wrapText="1"/>
    </xf>
    <xf numFmtId="0" fontId="2" fillId="5" borderId="8" xfId="2" applyFill="1" applyBorder="1"/>
    <xf numFmtId="0" fontId="2" fillId="5" borderId="9" xfId="2" applyFill="1" applyBorder="1" applyAlignment="1">
      <alignment wrapText="1"/>
    </xf>
    <xf numFmtId="0" fontId="2" fillId="5" borderId="9" xfId="2" applyFill="1" applyBorder="1"/>
    <xf numFmtId="0" fontId="1" fillId="6" borderId="4" xfId="1" applyFill="1" applyBorder="1" applyAlignment="1">
      <alignment horizontal="center"/>
    </xf>
    <xf numFmtId="0" fontId="3" fillId="7" borderId="9" xfId="3" applyFill="1" applyBorder="1"/>
    <xf numFmtId="165" fontId="3" fillId="7" borderId="9" xfId="3" applyNumberFormat="1" applyFill="1" applyBorder="1"/>
    <xf numFmtId="0" fontId="3" fillId="7" borderId="9" xfId="3" applyFill="1" applyBorder="1" applyAlignment="1">
      <alignment horizontal="center"/>
    </xf>
    <xf numFmtId="0" fontId="3" fillId="7" borderId="8" xfId="3" applyFill="1" applyBorder="1"/>
    <xf numFmtId="165" fontId="3" fillId="7" borderId="8" xfId="3" applyNumberFormat="1" applyFill="1" applyBorder="1"/>
    <xf numFmtId="0" fontId="3" fillId="7" borderId="8" xfId="3" applyFill="1" applyBorder="1" applyAlignment="1">
      <alignment horizontal="center"/>
    </xf>
    <xf numFmtId="0" fontId="10" fillId="7" borderId="6" xfId="3" applyFont="1" applyFill="1" applyBorder="1"/>
    <xf numFmtId="165" fontId="10" fillId="7" borderId="6" xfId="3" applyNumberFormat="1" applyFont="1" applyFill="1" applyBorder="1"/>
    <xf numFmtId="0" fontId="10" fillId="7" borderId="7" xfId="3" applyFont="1" applyFill="1" applyBorder="1" applyAlignment="1">
      <alignment horizontal="center"/>
    </xf>
    <xf numFmtId="0" fontId="10" fillId="7" borderId="8" xfId="3" applyFont="1" applyFill="1" applyBorder="1"/>
    <xf numFmtId="165" fontId="10" fillId="7" borderId="8" xfId="3" applyNumberFormat="1" applyFont="1" applyFill="1" applyBorder="1"/>
    <xf numFmtId="0" fontId="10" fillId="7" borderId="8" xfId="3" applyFont="1" applyFill="1" applyBorder="1" applyAlignment="1">
      <alignment horizontal="center"/>
    </xf>
    <xf numFmtId="0" fontId="10" fillId="7" borderId="9" xfId="3" applyFont="1" applyFill="1" applyBorder="1"/>
    <xf numFmtId="165" fontId="10" fillId="7" borderId="9" xfId="3" applyNumberFormat="1" applyFont="1" applyFill="1" applyBorder="1"/>
    <xf numFmtId="0" fontId="10" fillId="7" borderId="9" xfId="3" applyFont="1" applyFill="1" applyBorder="1" applyAlignment="1">
      <alignment horizontal="center"/>
    </xf>
    <xf numFmtId="0" fontId="10" fillId="7" borderId="10" xfId="3" applyFont="1" applyFill="1" applyBorder="1"/>
    <xf numFmtId="165" fontId="10" fillId="7" borderId="10" xfId="3" applyNumberFormat="1" applyFont="1" applyFill="1" applyBorder="1"/>
    <xf numFmtId="0" fontId="10" fillId="7" borderId="10" xfId="3" applyFont="1" applyFill="1" applyBorder="1" applyAlignment="1">
      <alignment horizontal="center"/>
    </xf>
    <xf numFmtId="0" fontId="14" fillId="0" borderId="0" xfId="5"/>
    <xf numFmtId="164" fontId="15" fillId="0" borderId="0" xfId="5" applyNumberFormat="1" applyFont="1" applyAlignment="1">
      <alignment horizontal="center"/>
    </xf>
    <xf numFmtId="0" fontId="15" fillId="0" borderId="0" xfId="5" applyFont="1" applyAlignment="1">
      <alignment horizontal="center"/>
    </xf>
    <xf numFmtId="0" fontId="17" fillId="0" borderId="0" xfId="5" applyFont="1" applyAlignment="1">
      <alignment horizontal="center"/>
    </xf>
    <xf numFmtId="164" fontId="17" fillId="0" borderId="0" xfId="5" applyNumberFormat="1" applyFont="1" applyAlignment="1">
      <alignment horizontal="center"/>
    </xf>
    <xf numFmtId="0" fontId="17" fillId="0" borderId="11" xfId="5" applyFont="1" applyBorder="1" applyAlignment="1">
      <alignment horizontal="center"/>
    </xf>
    <xf numFmtId="0" fontId="20" fillId="0" borderId="0" xfId="5" applyFont="1"/>
    <xf numFmtId="0" fontId="21" fillId="8" borderId="0" xfId="5" applyFont="1" applyFill="1" applyAlignment="1" applyProtection="1">
      <alignment horizontal="center"/>
      <protection locked="0"/>
    </xf>
    <xf numFmtId="164" fontId="21" fillId="8" borderId="0" xfId="5" applyNumberFormat="1" applyFont="1" applyFill="1" applyAlignment="1" applyProtection="1">
      <alignment horizontal="center"/>
      <protection locked="0"/>
    </xf>
    <xf numFmtId="164" fontId="22" fillId="9" borderId="0" xfId="5" applyNumberFormat="1" applyFont="1" applyFill="1" applyAlignment="1">
      <alignment horizontal="center"/>
    </xf>
    <xf numFmtId="166" fontId="22" fillId="9" borderId="0" xfId="5" applyNumberFormat="1" applyFont="1" applyFill="1" applyAlignment="1">
      <alignment horizontal="center"/>
    </xf>
    <xf numFmtId="167" fontId="22" fillId="9" borderId="0" xfId="5" applyNumberFormat="1" applyFont="1" applyFill="1" applyAlignment="1">
      <alignment horizontal="center"/>
    </xf>
    <xf numFmtId="164" fontId="22" fillId="9" borderId="11" xfId="5" applyNumberFormat="1" applyFont="1" applyFill="1" applyBorder="1" applyAlignment="1">
      <alignment horizontal="center"/>
    </xf>
    <xf numFmtId="0" fontId="20" fillId="0" borderId="0" xfId="5" applyFont="1" applyAlignment="1">
      <alignment horizontal="center"/>
    </xf>
    <xf numFmtId="0" fontId="16" fillId="0" borderId="0" xfId="0" applyFont="1" applyAlignment="1">
      <alignment horizontal="center"/>
    </xf>
    <xf numFmtId="0" fontId="21" fillId="8" borderId="0" xfId="0" applyFont="1" applyFill="1" applyAlignment="1">
      <alignment horizontal="center"/>
    </xf>
    <xf numFmtId="164" fontId="14" fillId="10" borderId="0" xfId="5" applyNumberFormat="1" applyFill="1"/>
    <xf numFmtId="0" fontId="14" fillId="10" borderId="0" xfId="5" applyFill="1"/>
    <xf numFmtId="164" fontId="20" fillId="11" borderId="11" xfId="5" applyNumberFormat="1" applyFont="1" applyFill="1" applyBorder="1" applyAlignment="1">
      <alignment horizontal="center"/>
    </xf>
    <xf numFmtId="164" fontId="20" fillId="11" borderId="0" xfId="5" applyNumberFormat="1" applyFont="1" applyFill="1" applyAlignment="1">
      <alignment horizontal="center"/>
    </xf>
    <xf numFmtId="0" fontId="0" fillId="0" borderId="0" xfId="0" quotePrefix="1"/>
    <xf numFmtId="0" fontId="6" fillId="0" borderId="3" xfId="4" quotePrefix="1" applyFont="1" applyBorder="1" applyAlignment="1">
      <alignment horizontal="center" textRotation="75"/>
    </xf>
    <xf numFmtId="166" fontId="2" fillId="2" borderId="9" xfId="2" applyNumberFormat="1" applyBorder="1"/>
    <xf numFmtId="0" fontId="4" fillId="0" borderId="0" xfId="0" applyFont="1"/>
    <xf numFmtId="0" fontId="16" fillId="0" borderId="0" xfId="0" applyFont="1" applyAlignment="1">
      <alignment horizontal="center" wrapText="1"/>
    </xf>
    <xf numFmtId="0" fontId="4" fillId="0" borderId="12" xfId="0" applyFont="1" applyBorder="1" applyAlignment="1">
      <alignment horizontal="right" vertical="center"/>
    </xf>
    <xf numFmtId="0" fontId="4" fillId="0" borderId="13" xfId="0" applyFont="1" applyBorder="1" applyAlignment="1">
      <alignment horizontal="right" vertical="center"/>
    </xf>
  </cellXfs>
  <cellStyles count="6">
    <cellStyle name="Calculation" xfId="3" builtinId="22"/>
    <cellStyle name="Heading 2" xfId="1" builtinId="17"/>
    <cellStyle name="Input" xfId="2" builtinId="20"/>
    <cellStyle name="Normal" xfId="0" builtinId="0"/>
    <cellStyle name="Normal 2" xfId="5" xr:uid="{1BA1BA20-5678-4149-A8DE-61EDD2D33D36}"/>
    <cellStyle name="Normal_Sheet1" xfId="4" xr:uid="{A0F46673-43F2-4E0A-9703-403B0987581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15</xdr:row>
      <xdr:rowOff>142875</xdr:rowOff>
    </xdr:from>
    <xdr:to>
      <xdr:col>32</xdr:col>
      <xdr:colOff>57150</xdr:colOff>
      <xdr:row>39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FA1C6F5-0BD2-4B2D-91A7-83D062B36A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92250" y="3009900"/>
          <a:ext cx="3714750" cy="446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26</xdr:col>
      <xdr:colOff>447675</xdr:colOff>
      <xdr:row>4</xdr:row>
      <xdr:rowOff>0</xdr:rowOff>
    </xdr:from>
    <xdr:to>
      <xdr:col>31</xdr:col>
      <xdr:colOff>390525</xdr:colOff>
      <xdr:row>16</xdr:row>
      <xdr:rowOff>38100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CDE1051-EB02-45C4-95C1-1534BD3DA226}"/>
            </a:ext>
          </a:extLst>
        </xdr:cNvPr>
        <xdr:cNvSpPr>
          <a:spLocks noChangeArrowheads="1"/>
        </xdr:cNvSpPr>
      </xdr:nvSpPr>
      <xdr:spPr bwMode="auto">
        <a:xfrm>
          <a:off x="14639925" y="771525"/>
          <a:ext cx="2990850" cy="2324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First Arc-to-Chord Correction 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</a:t>
          </a: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Chord to Chord Correction K23 (d2 to d3)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The chord-to-chord correction is split into separate corrections, namely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1.the 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slope correction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 and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2.the 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sea level correction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 leading to: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endParaRPr lang="en-AU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Second Chord-to-Arc Correction 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</a:t>
          </a: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338667</xdr:colOff>
      <xdr:row>3</xdr:row>
      <xdr:rowOff>1016002</xdr:rowOff>
    </xdr:from>
    <xdr:to>
      <xdr:col>2</xdr:col>
      <xdr:colOff>1209675</xdr:colOff>
      <xdr:row>3</xdr:row>
      <xdr:rowOff>2400300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C5C1CBE-787C-4B3E-986B-04079B5D4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667" y="1587502"/>
          <a:ext cx="3480858" cy="138429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AssetsPCsAndSoftware\Software\Microsoft%20Templates\Geodetic-Calculations-v4.xlam" TargetMode="External"/><Relationship Id="rId1" Type="http://schemas.openxmlformats.org/officeDocument/2006/relationships/externalLinkPath" Target="file:///Z:\AssetsPCsAndSoftware\Software\Microsoft%20Templates\Geodetic-Calculations-v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d"/>
      <definedName name="fwdlat"/>
      <definedName name="fwdlong"/>
      <definedName name="fwdrevaz"/>
      <definedName name="geoaz"/>
      <definedName name="georevaz"/>
      <definedName name="hms"/>
      <definedName name="sphdis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71EAB-4A24-4FCA-8E92-2E203FD7A574}">
  <sheetPr codeName="Sheet1"/>
  <dimension ref="A1:L62"/>
  <sheetViews>
    <sheetView tabSelected="1" zoomScale="85" zoomScaleNormal="85" workbookViewId="0"/>
  </sheetViews>
  <sheetFormatPr defaultRowHeight="15" x14ac:dyDescent="0.25"/>
  <cols>
    <col min="1" max="1" width="25.28515625" customWidth="1"/>
    <col min="2" max="3" width="16.85546875" customWidth="1"/>
    <col min="4" max="4" width="10.5703125" bestFit="1" customWidth="1"/>
    <col min="5" max="5" width="11.5703125" bestFit="1" customWidth="1"/>
    <col min="6" max="6" width="10.42578125" customWidth="1"/>
    <col min="7" max="7" width="19.85546875" bestFit="1" customWidth="1"/>
    <col min="8" max="8" width="19.42578125" bestFit="1" customWidth="1"/>
    <col min="9" max="9" width="14.28515625" bestFit="1" customWidth="1"/>
    <col min="10" max="10" width="14.5703125" bestFit="1" customWidth="1"/>
    <col min="11" max="11" width="19.42578125" bestFit="1" customWidth="1"/>
    <col min="12" max="12" width="19.85546875" bestFit="1" customWidth="1"/>
  </cols>
  <sheetData>
    <row r="1" spans="1:12" ht="217.5" x14ac:dyDescent="0.25">
      <c r="A1" s="1" t="s">
        <v>0</v>
      </c>
      <c r="B1" s="2"/>
      <c r="C1" s="2"/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</row>
    <row r="2" spans="1:12" s="15" customFormat="1" ht="18" thickBot="1" x14ac:dyDescent="0.35">
      <c r="A2" s="47" t="s">
        <v>10</v>
      </c>
      <c r="B2" s="47" t="s">
        <v>11</v>
      </c>
      <c r="C2" s="47" t="s">
        <v>12</v>
      </c>
      <c r="D2" s="47" t="s">
        <v>13</v>
      </c>
      <c r="E2" s="47" t="s">
        <v>14</v>
      </c>
      <c r="F2" s="47" t="s">
        <v>15</v>
      </c>
      <c r="G2" s="47" t="s">
        <v>16</v>
      </c>
      <c r="H2" s="47" t="s">
        <v>17</v>
      </c>
      <c r="I2" s="47" t="s">
        <v>18</v>
      </c>
      <c r="J2" s="47" t="s">
        <v>19</v>
      </c>
      <c r="K2" s="47" t="s">
        <v>17</v>
      </c>
      <c r="L2" s="47" t="s">
        <v>16</v>
      </c>
    </row>
    <row r="3" spans="1:12" s="15" customFormat="1" ht="15.75" thickBot="1" x14ac:dyDescent="0.3">
      <c r="A3" s="16" t="s">
        <v>20</v>
      </c>
      <c r="B3" s="17" t="s">
        <v>21</v>
      </c>
      <c r="C3" s="17" t="s">
        <v>22</v>
      </c>
      <c r="D3" s="18">
        <f t="shared" ref="D3:D34" si="0">grideasting(B3,C3,A3)</f>
        <v>394478.38454647566</v>
      </c>
      <c r="E3" s="19">
        <f t="shared" ref="E3:E34" si="1">gridnorthing(B3,C3,A3)</f>
        <v>6480973.9353901688</v>
      </c>
      <c r="F3" s="20">
        <f t="shared" ref="F3:F34" si="2">gridzone(B3,C3,A3)</f>
        <v>50</v>
      </c>
      <c r="G3" s="20" t="str">
        <f t="shared" ref="G3:G34" si="3">GridGridCon(B3,C3,A3)</f>
        <v>0 35 15.02</v>
      </c>
      <c r="H3" s="21">
        <f t="shared" ref="H3:H34" si="4">GridPntScleFact(B3,C3,A3)</f>
        <v>0.99973732494035861</v>
      </c>
      <c r="I3" s="59" t="str">
        <f t="shared" ref="I3:I34" si="5">datumlat(D3,E3,F3,A3)</f>
        <v>-31 48 07.06487</v>
      </c>
      <c r="J3" s="59" t="str">
        <f t="shared" ref="J3:J34" si="6">datumlong(D3,E3,F3,A3)</f>
        <v>115 53 06.94375</v>
      </c>
      <c r="K3" s="60">
        <f t="shared" ref="K3:K34" si="7">DatumPntScle(D3,E3,F3,A3)</f>
        <v>0.99973732494032375</v>
      </c>
      <c r="L3" s="61" t="str">
        <f t="shared" ref="L3:L34" si="8">DatumGridConv(D3,E3,F3,A3)</f>
        <v>0 35 15.02</v>
      </c>
    </row>
    <row r="4" spans="1:12" s="15" customFormat="1" x14ac:dyDescent="0.25">
      <c r="A4" s="22" t="s">
        <v>23</v>
      </c>
      <c r="B4" s="23" t="s">
        <v>24</v>
      </c>
      <c r="C4" s="23" t="s">
        <v>25</v>
      </c>
      <c r="D4" s="24">
        <f t="shared" si="0"/>
        <v>52218.158970447555</v>
      </c>
      <c r="E4" s="25">
        <f t="shared" si="1"/>
        <v>222882.2494979687</v>
      </c>
      <c r="F4" s="26">
        <f t="shared" si="2"/>
        <v>1</v>
      </c>
      <c r="G4" s="26" t="str">
        <f t="shared" si="3"/>
        <v>0 00 50.22</v>
      </c>
      <c r="H4" s="27">
        <f t="shared" si="4"/>
        <v>1.0000044606129772</v>
      </c>
      <c r="I4" s="62" t="str">
        <f t="shared" si="5"/>
        <v>-35 01 21.36837</v>
      </c>
      <c r="J4" s="62" t="str">
        <f t="shared" si="6"/>
        <v>117 54 27.49802</v>
      </c>
      <c r="K4" s="63">
        <f t="shared" si="7"/>
        <v>1.0000044606129772</v>
      </c>
      <c r="L4" s="64" t="str">
        <f t="shared" si="8"/>
        <v>0 00 50.22</v>
      </c>
    </row>
    <row r="5" spans="1:12" s="15" customFormat="1" x14ac:dyDescent="0.25">
      <c r="A5" s="28" t="s">
        <v>26</v>
      </c>
      <c r="B5" s="29" t="s">
        <v>27</v>
      </c>
      <c r="C5" s="29" t="s">
        <v>28</v>
      </c>
      <c r="D5" s="30">
        <f t="shared" si="0"/>
        <v>43346.105333539177</v>
      </c>
      <c r="E5" s="31">
        <f t="shared" si="1"/>
        <v>273769.14123761328</v>
      </c>
      <c r="F5" s="32">
        <f t="shared" si="2"/>
        <v>1</v>
      </c>
      <c r="G5" s="32" t="str">
        <f t="shared" si="3"/>
        <v>0 02 23.16</v>
      </c>
      <c r="H5" s="33">
        <f t="shared" si="4"/>
        <v>0.99999646558783428</v>
      </c>
      <c r="I5" s="65" t="str">
        <f t="shared" si="5"/>
        <v>-33 39 45.57088</v>
      </c>
      <c r="J5" s="65" t="str">
        <f t="shared" si="6"/>
        <v>115 21 41.73008</v>
      </c>
      <c r="K5" s="66">
        <f t="shared" si="7"/>
        <v>0.99999646558783428</v>
      </c>
      <c r="L5" s="67" t="str">
        <f t="shared" si="8"/>
        <v>0 02 23.16</v>
      </c>
    </row>
    <row r="6" spans="1:12" s="15" customFormat="1" x14ac:dyDescent="0.25">
      <c r="A6" s="28" t="s">
        <v>29</v>
      </c>
      <c r="B6" s="29" t="s">
        <v>30</v>
      </c>
      <c r="C6" s="29" t="s">
        <v>31</v>
      </c>
      <c r="D6" s="30">
        <f t="shared" si="0"/>
        <v>75026.204136866014</v>
      </c>
      <c r="E6" s="31">
        <f t="shared" si="1"/>
        <v>396914.87564936932</v>
      </c>
      <c r="F6" s="32">
        <f t="shared" si="2"/>
        <v>1</v>
      </c>
      <c r="G6" s="32" t="str">
        <f t="shared" si="3"/>
        <v>0 03 04.70</v>
      </c>
      <c r="H6" s="33">
        <f t="shared" si="4"/>
        <v>1.0000049890891283</v>
      </c>
      <c r="I6" s="65" t="str">
        <f t="shared" si="5"/>
        <v>-20 49 09.57157</v>
      </c>
      <c r="J6" s="65" t="str">
        <f t="shared" si="6"/>
        <v>115 23 39.66157</v>
      </c>
      <c r="K6" s="66">
        <f t="shared" si="7"/>
        <v>1.0000049890891283</v>
      </c>
      <c r="L6" s="67" t="str">
        <f t="shared" si="8"/>
        <v>0 03 04.70</v>
      </c>
    </row>
    <row r="7" spans="1:12" s="15" customFormat="1" x14ac:dyDescent="0.25">
      <c r="A7" s="28" t="s">
        <v>32</v>
      </c>
      <c r="B7" s="29" t="s">
        <v>33</v>
      </c>
      <c r="C7" s="29" t="s">
        <v>34</v>
      </c>
      <c r="D7" s="30">
        <f t="shared" si="0"/>
        <v>36842.78231252078</v>
      </c>
      <c r="E7" s="31">
        <f t="shared" si="1"/>
        <v>308568.04347882234</v>
      </c>
      <c r="F7" s="32">
        <f t="shared" si="2"/>
        <v>1</v>
      </c>
      <c r="G7" s="32" t="str">
        <f t="shared" si="3"/>
        <v>0 02 18.24</v>
      </c>
      <c r="H7" s="33">
        <f t="shared" si="4"/>
        <v>1.0000051192953217</v>
      </c>
      <c r="I7" s="65" t="str">
        <f t="shared" si="5"/>
        <v>-18 00 14.30101</v>
      </c>
      <c r="J7" s="65" t="str">
        <f t="shared" si="6"/>
        <v>122 12 32.74179</v>
      </c>
      <c r="K7" s="66">
        <f t="shared" si="7"/>
        <v>1.0000051192953217</v>
      </c>
      <c r="L7" s="67" t="str">
        <f t="shared" si="8"/>
        <v>0 02 18.24</v>
      </c>
    </row>
    <row r="8" spans="1:12" s="15" customFormat="1" x14ac:dyDescent="0.25">
      <c r="A8" s="28" t="s">
        <v>35</v>
      </c>
      <c r="B8" s="29" t="s">
        <v>36</v>
      </c>
      <c r="C8" s="29" t="s">
        <v>37</v>
      </c>
      <c r="D8" s="30">
        <f t="shared" si="0"/>
        <v>51836.014319816837</v>
      </c>
      <c r="E8" s="31">
        <f t="shared" si="1"/>
        <v>299524.52834455855</v>
      </c>
      <c r="F8" s="32">
        <f t="shared" si="2"/>
        <v>1</v>
      </c>
      <c r="G8" s="32" t="str">
        <f t="shared" si="3"/>
        <v>0 00 27.49</v>
      </c>
      <c r="H8" s="33">
        <f t="shared" si="4"/>
        <v>0.99999800161253793</v>
      </c>
      <c r="I8" s="65" t="str">
        <f t="shared" si="5"/>
        <v>-24 51 33.88264</v>
      </c>
      <c r="J8" s="65" t="str">
        <f t="shared" si="6"/>
        <v>113 41 05.40036</v>
      </c>
      <c r="K8" s="66">
        <f t="shared" si="7"/>
        <v>0.99999800161253793</v>
      </c>
      <c r="L8" s="67" t="str">
        <f t="shared" si="8"/>
        <v>0 00 27.49</v>
      </c>
    </row>
    <row r="9" spans="1:12" s="15" customFormat="1" x14ac:dyDescent="0.25">
      <c r="A9" s="28" t="s">
        <v>38</v>
      </c>
      <c r="B9" s="29" t="s">
        <v>39</v>
      </c>
      <c r="C9" s="29" t="s">
        <v>40</v>
      </c>
      <c r="D9" s="30">
        <f t="shared" si="0"/>
        <v>57244.545121072792</v>
      </c>
      <c r="E9" s="31">
        <f t="shared" si="1"/>
        <v>243201.18275029841</v>
      </c>
      <c r="F9" s="32">
        <f t="shared" si="2"/>
        <v>1</v>
      </c>
      <c r="G9" s="32" t="str">
        <f t="shared" si="3"/>
        <v>0 00 43.25</v>
      </c>
      <c r="H9" s="33">
        <f t="shared" si="4"/>
        <v>1.000025789111217</v>
      </c>
      <c r="I9" s="65" t="str">
        <f t="shared" si="5"/>
        <v>-10 27 37.10201</v>
      </c>
      <c r="J9" s="65" t="str">
        <f t="shared" si="6"/>
        <v>105 41 28.21094</v>
      </c>
      <c r="K9" s="66">
        <f t="shared" si="7"/>
        <v>1.000025789111217</v>
      </c>
      <c r="L9" s="67" t="str">
        <f t="shared" si="8"/>
        <v>0 00 43.25</v>
      </c>
    </row>
    <row r="10" spans="1:12" s="15" customFormat="1" x14ac:dyDescent="0.25">
      <c r="A10" s="28" t="s">
        <v>41</v>
      </c>
      <c r="B10" s="29" t="s">
        <v>42</v>
      </c>
      <c r="C10" s="29" t="s">
        <v>43</v>
      </c>
      <c r="D10" s="30">
        <f t="shared" si="0"/>
        <v>45535.747314240689</v>
      </c>
      <c r="E10" s="31">
        <f t="shared" si="1"/>
        <v>252088.35109252925</v>
      </c>
      <c r="F10" s="32">
        <f t="shared" si="2"/>
        <v>1</v>
      </c>
      <c r="G10" s="32" t="str">
        <f t="shared" si="3"/>
        <v>0 00 31.18</v>
      </c>
      <c r="H10" s="33">
        <f t="shared" si="4"/>
        <v>0.99999411645658109</v>
      </c>
      <c r="I10" s="65" t="str">
        <f t="shared" si="5"/>
        <v>-12 11 18.03578</v>
      </c>
      <c r="J10" s="65" t="str">
        <f t="shared" si="6"/>
        <v>96 50 02.32078</v>
      </c>
      <c r="K10" s="66">
        <f t="shared" si="7"/>
        <v>0.99999411645658132</v>
      </c>
      <c r="L10" s="67" t="str">
        <f t="shared" si="8"/>
        <v>0 00 31.18</v>
      </c>
    </row>
    <row r="11" spans="1:12" s="15" customFormat="1" x14ac:dyDescent="0.25">
      <c r="A11" s="28" t="s">
        <v>44</v>
      </c>
      <c r="B11" s="29" t="s">
        <v>45</v>
      </c>
      <c r="C11" s="29" t="s">
        <v>46</v>
      </c>
      <c r="D11" s="30">
        <f t="shared" si="0"/>
        <v>42800.706585073363</v>
      </c>
      <c r="E11" s="31">
        <f t="shared" si="1"/>
        <v>342962.55476476857</v>
      </c>
      <c r="F11" s="32">
        <f t="shared" si="2"/>
        <v>1</v>
      </c>
      <c r="G11" s="32" t="str">
        <f t="shared" si="3"/>
        <v>0 01 00.89</v>
      </c>
      <c r="H11" s="33">
        <f t="shared" si="4"/>
        <v>1.0000190966522484</v>
      </c>
      <c r="I11" s="65" t="str">
        <f t="shared" si="5"/>
        <v>-33 56 22.68614</v>
      </c>
      <c r="J11" s="65" t="str">
        <f t="shared" si="6"/>
        <v>115 57 49.05725</v>
      </c>
      <c r="K11" s="66">
        <f t="shared" si="7"/>
        <v>1.0000190966522484</v>
      </c>
      <c r="L11" s="67" t="str">
        <f t="shared" si="8"/>
        <v>0 01 00.89</v>
      </c>
    </row>
    <row r="12" spans="1:12" s="15" customFormat="1" x14ac:dyDescent="0.25">
      <c r="A12" s="28" t="s">
        <v>47</v>
      </c>
      <c r="B12" s="29" t="s">
        <v>48</v>
      </c>
      <c r="C12" s="29" t="s">
        <v>49</v>
      </c>
      <c r="D12" s="30">
        <f t="shared" si="0"/>
        <v>51471.200505416578</v>
      </c>
      <c r="E12" s="31">
        <f t="shared" si="1"/>
        <v>356188.98967923829</v>
      </c>
      <c r="F12" s="32">
        <f t="shared" si="2"/>
        <v>1</v>
      </c>
      <c r="G12" s="32" t="str">
        <f t="shared" si="3"/>
        <v>0 00 31.30</v>
      </c>
      <c r="H12" s="33">
        <f t="shared" si="4"/>
        <v>1.0000055266734855</v>
      </c>
      <c r="I12" s="65" t="str">
        <f t="shared" si="5"/>
        <v>-33 22 12.21651</v>
      </c>
      <c r="J12" s="65" t="str">
        <f t="shared" si="6"/>
        <v>121 53 56.91197</v>
      </c>
      <c r="K12" s="66">
        <f t="shared" si="7"/>
        <v>1.0000055266734855</v>
      </c>
      <c r="L12" s="67" t="str">
        <f t="shared" si="8"/>
        <v>0 00 31.30</v>
      </c>
    </row>
    <row r="13" spans="1:12" s="15" customFormat="1" x14ac:dyDescent="0.25">
      <c r="A13" s="28" t="s">
        <v>50</v>
      </c>
      <c r="B13" s="29" t="s">
        <v>51</v>
      </c>
      <c r="C13" s="29" t="s">
        <v>52</v>
      </c>
      <c r="D13" s="30">
        <f t="shared" si="0"/>
        <v>36205.287774120807</v>
      </c>
      <c r="E13" s="31">
        <f t="shared" si="1"/>
        <v>318804.30567216873</v>
      </c>
      <c r="F13" s="32">
        <f t="shared" si="2"/>
        <v>1</v>
      </c>
      <c r="G13" s="32" t="str">
        <f t="shared" si="3"/>
        <v>0 02 59.94</v>
      </c>
      <c r="H13" s="33">
        <f t="shared" si="4"/>
        <v>1.0000047102235339</v>
      </c>
      <c r="I13" s="65" t="str">
        <f t="shared" si="5"/>
        <v>-21 58 34.93247</v>
      </c>
      <c r="J13" s="65" t="str">
        <f t="shared" si="6"/>
        <v>113 55 59.15980</v>
      </c>
      <c r="K13" s="66">
        <f t="shared" si="7"/>
        <v>1.0000047102235339</v>
      </c>
      <c r="L13" s="67" t="str">
        <f t="shared" si="8"/>
        <v>0 02 59.94</v>
      </c>
    </row>
    <row r="14" spans="1:12" s="15" customFormat="1" x14ac:dyDescent="0.25">
      <c r="A14" s="28" t="s">
        <v>53</v>
      </c>
      <c r="B14" s="29" t="s">
        <v>54</v>
      </c>
      <c r="C14" s="29" t="s">
        <v>55</v>
      </c>
      <c r="D14" s="30">
        <f t="shared" si="0"/>
        <v>53060.538977878503</v>
      </c>
      <c r="E14" s="31">
        <f t="shared" si="1"/>
        <v>265149.05894622998</v>
      </c>
      <c r="F14" s="32">
        <f t="shared" si="2"/>
        <v>1</v>
      </c>
      <c r="G14" s="32" t="str">
        <f t="shared" si="3"/>
        <v>0 00 54.32</v>
      </c>
      <c r="H14" s="33">
        <f t="shared" si="4"/>
        <v>1.0000063955430265</v>
      </c>
      <c r="I14" s="65" t="str">
        <f t="shared" si="5"/>
        <v>-28 46 46.20322</v>
      </c>
      <c r="J14" s="65" t="str">
        <f t="shared" si="6"/>
        <v>114 36 52.83602</v>
      </c>
      <c r="K14" s="66">
        <f t="shared" si="7"/>
        <v>1.0000063955430265</v>
      </c>
      <c r="L14" s="67" t="str">
        <f t="shared" si="8"/>
        <v>0 00 54.32</v>
      </c>
    </row>
    <row r="15" spans="1:12" s="15" customFormat="1" x14ac:dyDescent="0.25">
      <c r="A15" s="28" t="s">
        <v>56</v>
      </c>
      <c r="B15" s="29" t="s">
        <v>57</v>
      </c>
      <c r="C15" s="29" t="s">
        <v>58</v>
      </c>
      <c r="D15" s="30">
        <f t="shared" si="0"/>
        <v>60749.353492408038</v>
      </c>
      <c r="E15" s="31">
        <f t="shared" si="1"/>
        <v>385966.46347103966</v>
      </c>
      <c r="F15" s="32">
        <f t="shared" si="2"/>
        <v>1</v>
      </c>
      <c r="G15" s="32" t="str">
        <f t="shared" si="3"/>
        <v>0 00 14.46</v>
      </c>
      <c r="H15" s="33">
        <f t="shared" si="4"/>
        <v>1.0000494969234321</v>
      </c>
      <c r="I15" s="65" t="str">
        <f t="shared" si="5"/>
        <v>-30 50 44.42871</v>
      </c>
      <c r="J15" s="65" t="str">
        <f t="shared" si="6"/>
        <v>121 30 28.19991</v>
      </c>
      <c r="K15" s="66">
        <f t="shared" si="7"/>
        <v>1.0000494969234324</v>
      </c>
      <c r="L15" s="67" t="str">
        <f t="shared" si="8"/>
        <v>0 00 14.46</v>
      </c>
    </row>
    <row r="16" spans="1:12" s="15" customFormat="1" x14ac:dyDescent="0.25">
      <c r="A16" s="28" t="s">
        <v>59</v>
      </c>
      <c r="B16" s="29" t="s">
        <v>60</v>
      </c>
      <c r="C16" s="29" t="s">
        <v>61</v>
      </c>
      <c r="D16" s="30">
        <f t="shared" si="0"/>
        <v>58837.850275578472</v>
      </c>
      <c r="E16" s="31">
        <f t="shared" si="1"/>
        <v>296734.66112685762</v>
      </c>
      <c r="F16" s="32">
        <f t="shared" si="2"/>
        <v>1</v>
      </c>
      <c r="G16" s="32" t="str">
        <f t="shared" si="3"/>
        <v>0 02 46.86</v>
      </c>
      <c r="H16" s="33">
        <f t="shared" si="4"/>
        <v>1.0000041031859286</v>
      </c>
      <c r="I16" s="65" t="str">
        <f t="shared" si="5"/>
        <v>-30 17 56.14676</v>
      </c>
      <c r="J16" s="65" t="str">
        <f t="shared" si="6"/>
        <v>115 04 30.74372</v>
      </c>
      <c r="K16" s="66">
        <f t="shared" si="7"/>
        <v>1.0000041031859284</v>
      </c>
      <c r="L16" s="67" t="str">
        <f t="shared" si="8"/>
        <v>0 02 46.86</v>
      </c>
    </row>
    <row r="17" spans="1:12" s="15" customFormat="1" x14ac:dyDescent="0.25">
      <c r="A17" s="28" t="s">
        <v>62</v>
      </c>
      <c r="B17" s="29" t="s">
        <v>63</v>
      </c>
      <c r="C17" s="29" t="s">
        <v>64</v>
      </c>
      <c r="D17" s="30">
        <f t="shared" si="0"/>
        <v>26435.623934861334</v>
      </c>
      <c r="E17" s="31">
        <f t="shared" si="1"/>
        <v>682101.70557887526</v>
      </c>
      <c r="F17" s="32">
        <f t="shared" si="2"/>
        <v>1</v>
      </c>
      <c r="G17" s="32" t="str">
        <f t="shared" si="3"/>
        <v>0 07 55.88</v>
      </c>
      <c r="H17" s="33">
        <f t="shared" si="4"/>
        <v>1.0000240675036451</v>
      </c>
      <c r="I17" s="65" t="str">
        <f t="shared" si="5"/>
        <v>-27 16 20.94329</v>
      </c>
      <c r="J17" s="65" t="str">
        <f t="shared" si="6"/>
        <v>114 01 36.46503</v>
      </c>
      <c r="K17" s="66">
        <f t="shared" si="7"/>
        <v>1.0000240675036451</v>
      </c>
      <c r="L17" s="67" t="str">
        <f t="shared" si="8"/>
        <v>0 07 55.88</v>
      </c>
    </row>
    <row r="18" spans="1:12" s="15" customFormat="1" x14ac:dyDescent="0.25">
      <c r="A18" s="28" t="s">
        <v>65</v>
      </c>
      <c r="B18" s="29" t="s">
        <v>66</v>
      </c>
      <c r="C18" s="29" t="s">
        <v>67</v>
      </c>
      <c r="D18" s="30">
        <f t="shared" si="0"/>
        <v>38357.638770312231</v>
      </c>
      <c r="E18" s="31">
        <f t="shared" si="1"/>
        <v>256045.21969930222</v>
      </c>
      <c r="F18" s="32">
        <f t="shared" si="2"/>
        <v>1</v>
      </c>
      <c r="G18" s="32" t="str">
        <f t="shared" si="3"/>
        <v>0 02 22.49</v>
      </c>
      <c r="H18" s="33">
        <f t="shared" si="4"/>
        <v>1.0000005743755216</v>
      </c>
      <c r="I18" s="65" t="str">
        <f t="shared" si="5"/>
        <v>-20 44 13.02258</v>
      </c>
      <c r="J18" s="65" t="str">
        <f t="shared" si="6"/>
        <v>116 49 17.58104</v>
      </c>
      <c r="K18" s="66">
        <f t="shared" si="7"/>
        <v>1.0000005743755218</v>
      </c>
      <c r="L18" s="67" t="str">
        <f t="shared" si="8"/>
        <v>0 02 22.49</v>
      </c>
    </row>
    <row r="19" spans="1:12" s="15" customFormat="1" x14ac:dyDescent="0.25">
      <c r="A19" s="28" t="s">
        <v>68</v>
      </c>
      <c r="B19" s="29" t="s">
        <v>69</v>
      </c>
      <c r="C19" s="29" t="s">
        <v>70</v>
      </c>
      <c r="D19" s="30">
        <f t="shared" si="0"/>
        <v>54269.551231121477</v>
      </c>
      <c r="E19" s="31">
        <f t="shared" si="1"/>
        <v>342672.67833085661</v>
      </c>
      <c r="F19" s="32">
        <f t="shared" si="2"/>
        <v>1</v>
      </c>
      <c r="G19" s="32" t="str">
        <f t="shared" si="3"/>
        <v>0 00 39.29</v>
      </c>
      <c r="H19" s="33">
        <f t="shared" si="4"/>
        <v>1.0000167253309413</v>
      </c>
      <c r="I19" s="65" t="str">
        <f t="shared" si="5"/>
        <v>-15 53 18.37443</v>
      </c>
      <c r="J19" s="65" t="str">
        <f t="shared" si="6"/>
        <v>128 47 23.52056</v>
      </c>
      <c r="K19" s="66">
        <f t="shared" si="7"/>
        <v>1.0000167253309411</v>
      </c>
      <c r="L19" s="67" t="str">
        <f t="shared" si="8"/>
        <v>0 00 39.29</v>
      </c>
    </row>
    <row r="20" spans="1:12" s="15" customFormat="1" x14ac:dyDescent="0.25">
      <c r="A20" s="28" t="s">
        <v>71</v>
      </c>
      <c r="B20" s="29" t="s">
        <v>72</v>
      </c>
      <c r="C20" s="29" t="s">
        <v>73</v>
      </c>
      <c r="D20" s="30">
        <f t="shared" si="0"/>
        <v>46740.421816227339</v>
      </c>
      <c r="E20" s="31">
        <f t="shared" si="1"/>
        <v>316629.4148365492</v>
      </c>
      <c r="F20" s="32">
        <f t="shared" si="2"/>
        <v>1</v>
      </c>
      <c r="G20" s="32" t="str">
        <f t="shared" si="3"/>
        <v>0 01 03.34</v>
      </c>
      <c r="H20" s="33">
        <f t="shared" si="4"/>
        <v>1.0000017010013671</v>
      </c>
      <c r="I20" s="65" t="str">
        <f t="shared" si="5"/>
        <v>-31 01 17.61669</v>
      </c>
      <c r="J20" s="65" t="str">
        <f t="shared" si="6"/>
        <v>115 19 57.10387</v>
      </c>
      <c r="K20" s="66">
        <f t="shared" si="7"/>
        <v>1.0000017010013669</v>
      </c>
      <c r="L20" s="67" t="str">
        <f t="shared" si="8"/>
        <v>0 01 03.34</v>
      </c>
    </row>
    <row r="21" spans="1:12" s="15" customFormat="1" x14ac:dyDescent="0.25">
      <c r="A21" s="28" t="s">
        <v>74</v>
      </c>
      <c r="B21" s="29" t="s">
        <v>75</v>
      </c>
      <c r="C21" s="29" t="s">
        <v>76</v>
      </c>
      <c r="D21" s="30">
        <f t="shared" si="0"/>
        <v>40563.065063195842</v>
      </c>
      <c r="E21" s="31">
        <f t="shared" si="1"/>
        <v>289115.87735463958</v>
      </c>
      <c r="F21" s="32">
        <f t="shared" si="2"/>
        <v>1</v>
      </c>
      <c r="G21" s="32" t="str">
        <f t="shared" si="3"/>
        <v>0 03 25.44</v>
      </c>
      <c r="H21" s="33">
        <f t="shared" si="4"/>
        <v>1.0000065973401877</v>
      </c>
      <c r="I21" s="65" t="str">
        <f t="shared" si="5"/>
        <v>-33 58 29.03771</v>
      </c>
      <c r="J21" s="65" t="str">
        <f t="shared" si="6"/>
        <v>115 03 52.37757</v>
      </c>
      <c r="K21" s="66">
        <f t="shared" si="7"/>
        <v>1.0000065973401875</v>
      </c>
      <c r="L21" s="67" t="str">
        <f t="shared" si="8"/>
        <v>0 03 25.44</v>
      </c>
    </row>
    <row r="22" spans="1:12" s="15" customFormat="1" x14ac:dyDescent="0.25">
      <c r="A22" s="28" t="s">
        <v>77</v>
      </c>
      <c r="B22" s="29" t="s">
        <v>78</v>
      </c>
      <c r="C22" s="29" t="s">
        <v>79</v>
      </c>
      <c r="D22" s="30">
        <f t="shared" si="0"/>
        <v>56495.679399932582</v>
      </c>
      <c r="E22" s="31">
        <f t="shared" si="1"/>
        <v>380108.24947232148</v>
      </c>
      <c r="F22" s="32">
        <f t="shared" si="2"/>
        <v>1</v>
      </c>
      <c r="G22" s="32" t="str">
        <f t="shared" si="3"/>
        <v>0 02 10.14</v>
      </c>
      <c r="H22" s="33">
        <f t="shared" si="4"/>
        <v>0.99999958015493318</v>
      </c>
      <c r="I22" s="65" t="str">
        <f t="shared" si="5"/>
        <v>-31 48 07.06434</v>
      </c>
      <c r="J22" s="65" t="str">
        <f t="shared" si="6"/>
        <v>115 53 06.94332</v>
      </c>
      <c r="K22" s="66">
        <f t="shared" si="7"/>
        <v>0.9999995801549334</v>
      </c>
      <c r="L22" s="67" t="str">
        <f t="shared" si="8"/>
        <v>0 02 10.14</v>
      </c>
    </row>
    <row r="23" spans="1:12" s="15" customFormat="1" ht="15.75" thickBot="1" x14ac:dyDescent="0.3">
      <c r="A23" s="28" t="s">
        <v>80</v>
      </c>
      <c r="B23" s="29" t="s">
        <v>81</v>
      </c>
      <c r="C23" s="29" t="s">
        <v>82</v>
      </c>
      <c r="D23" s="30">
        <f t="shared" si="0"/>
        <v>41155.523246361648</v>
      </c>
      <c r="E23" s="31">
        <f t="shared" si="1"/>
        <v>244181.41549981525</v>
      </c>
      <c r="F23" s="32">
        <f t="shared" si="2"/>
        <v>1</v>
      </c>
      <c r="G23" s="32" t="str">
        <f t="shared" si="3"/>
        <v>0 01 46.29</v>
      </c>
      <c r="H23" s="33">
        <f t="shared" si="4"/>
        <v>1.0000023163554836</v>
      </c>
      <c r="I23" s="65" t="str">
        <f t="shared" si="5"/>
        <v>-20 23 32.82462</v>
      </c>
      <c r="J23" s="65" t="str">
        <f t="shared" si="6"/>
        <v>118 30 54.97558</v>
      </c>
      <c r="K23" s="66">
        <f t="shared" si="7"/>
        <v>1.0000023163554836</v>
      </c>
      <c r="L23" s="67" t="str">
        <f t="shared" si="8"/>
        <v>0 01 46.29</v>
      </c>
    </row>
    <row r="24" spans="1:12" s="15" customFormat="1" ht="15.75" thickBot="1" x14ac:dyDescent="0.3">
      <c r="A24" s="34" t="s">
        <v>83</v>
      </c>
      <c r="B24" s="35" t="s">
        <v>84</v>
      </c>
      <c r="C24" s="35" t="s">
        <v>85</v>
      </c>
      <c r="D24" s="18">
        <f t="shared" si="0"/>
        <v>394476.88445793919</v>
      </c>
      <c r="E24" s="19">
        <f t="shared" si="1"/>
        <v>6480972.9355089329</v>
      </c>
      <c r="F24" s="20">
        <f t="shared" si="2"/>
        <v>50</v>
      </c>
      <c r="G24" s="20" t="str">
        <f t="shared" si="3"/>
        <v>0 35 15.05</v>
      </c>
      <c r="H24" s="21">
        <f t="shared" si="4"/>
        <v>0.99973732884462252</v>
      </c>
      <c r="I24" s="59" t="str">
        <f t="shared" si="5"/>
        <v>-31 48 07.09684</v>
      </c>
      <c r="J24" s="59" t="str">
        <f t="shared" si="6"/>
        <v>115 53 06.88632</v>
      </c>
      <c r="K24" s="60">
        <f t="shared" si="7"/>
        <v>0.99973732884458788</v>
      </c>
      <c r="L24" s="61" t="str">
        <f t="shared" si="8"/>
        <v>0 35 15.05</v>
      </c>
    </row>
    <row r="25" spans="1:12" s="15" customFormat="1" x14ac:dyDescent="0.25">
      <c r="A25" s="36" t="s">
        <v>86</v>
      </c>
      <c r="B25" s="37" t="s">
        <v>87</v>
      </c>
      <c r="C25" s="37" t="s">
        <v>88</v>
      </c>
      <c r="D25" s="30">
        <f t="shared" si="0"/>
        <v>52216.658964149814</v>
      </c>
      <c r="E25" s="31">
        <f t="shared" si="1"/>
        <v>122881.24954061536</v>
      </c>
      <c r="F25" s="32">
        <f t="shared" si="2"/>
        <v>1</v>
      </c>
      <c r="G25" s="32" t="str">
        <f t="shared" si="3"/>
        <v>0 00 50.18</v>
      </c>
      <c r="H25" s="33">
        <f t="shared" si="4"/>
        <v>1.000004460531027</v>
      </c>
      <c r="I25" s="65" t="str">
        <f t="shared" si="5"/>
        <v>-35 01 21.40083</v>
      </c>
      <c r="J25" s="65" t="str">
        <f t="shared" si="6"/>
        <v>117 54 27.43886</v>
      </c>
      <c r="K25" s="66">
        <f t="shared" si="7"/>
        <v>1.000004460531027</v>
      </c>
      <c r="L25" s="67" t="str">
        <f t="shared" si="8"/>
        <v>0 00 50.18</v>
      </c>
    </row>
    <row r="26" spans="1:12" s="15" customFormat="1" x14ac:dyDescent="0.25">
      <c r="A26" s="36" t="s">
        <v>89</v>
      </c>
      <c r="B26" s="37" t="s">
        <v>90</v>
      </c>
      <c r="C26" s="37" t="s">
        <v>91</v>
      </c>
      <c r="D26" s="30">
        <f t="shared" si="0"/>
        <v>43344.605312348933</v>
      </c>
      <c r="E26" s="31">
        <f t="shared" si="1"/>
        <v>173768.14133671205</v>
      </c>
      <c r="F26" s="32">
        <f t="shared" si="2"/>
        <v>1</v>
      </c>
      <c r="G26" s="32" t="str">
        <f t="shared" si="3"/>
        <v>0 02 23.19</v>
      </c>
      <c r="H26" s="33">
        <f t="shared" si="4"/>
        <v>0.99999646583385027</v>
      </c>
      <c r="I26" s="65" t="str">
        <f t="shared" si="5"/>
        <v>-33 39 45.60330</v>
      </c>
      <c r="J26" s="65" t="str">
        <f t="shared" si="6"/>
        <v>115 21 41.67183</v>
      </c>
      <c r="K26" s="66">
        <f t="shared" si="7"/>
        <v>0.99999646583385027</v>
      </c>
      <c r="L26" s="67" t="str">
        <f t="shared" si="8"/>
        <v>0 02 23.19</v>
      </c>
    </row>
    <row r="27" spans="1:12" s="15" customFormat="1" x14ac:dyDescent="0.25">
      <c r="A27" s="36" t="s">
        <v>92</v>
      </c>
      <c r="B27" s="37" t="s">
        <v>93</v>
      </c>
      <c r="C27" s="37" t="s">
        <v>94</v>
      </c>
      <c r="D27" s="30">
        <f t="shared" si="0"/>
        <v>75024.704265366745</v>
      </c>
      <c r="E27" s="31">
        <f t="shared" si="1"/>
        <v>296913.87563412124</v>
      </c>
      <c r="F27" s="32">
        <f t="shared" si="2"/>
        <v>1</v>
      </c>
      <c r="G27" s="32" t="str">
        <f t="shared" si="3"/>
        <v>0 03 04.68</v>
      </c>
      <c r="H27" s="33">
        <f t="shared" si="4"/>
        <v>1.0000049885323545</v>
      </c>
      <c r="I27" s="65" t="str">
        <f t="shared" si="5"/>
        <v>-20 49 09.60413</v>
      </c>
      <c r="J27" s="65" t="str">
        <f t="shared" si="6"/>
        <v>115 23 39.60973</v>
      </c>
      <c r="K27" s="66">
        <f t="shared" si="7"/>
        <v>1.0000049885323543</v>
      </c>
      <c r="L27" s="67" t="str">
        <f t="shared" si="8"/>
        <v>0 03 04.68</v>
      </c>
    </row>
    <row r="28" spans="1:12" s="15" customFormat="1" x14ac:dyDescent="0.25">
      <c r="A28" s="36" t="s">
        <v>95</v>
      </c>
      <c r="B28" s="37" t="s">
        <v>96</v>
      </c>
      <c r="C28" s="37" t="s">
        <v>97</v>
      </c>
      <c r="D28" s="30">
        <f t="shared" si="0"/>
        <v>36841.282393554648</v>
      </c>
      <c r="E28" s="31">
        <f t="shared" si="1"/>
        <v>208567.04357725428</v>
      </c>
      <c r="F28" s="32">
        <f t="shared" si="2"/>
        <v>1</v>
      </c>
      <c r="G28" s="32" t="str">
        <f t="shared" si="3"/>
        <v>0 02 18.26</v>
      </c>
      <c r="H28" s="33">
        <f t="shared" si="4"/>
        <v>1.0000051197831048</v>
      </c>
      <c r="I28" s="65" t="str">
        <f t="shared" si="5"/>
        <v>-18 00 14.33350</v>
      </c>
      <c r="J28" s="65" t="str">
        <f t="shared" si="6"/>
        <v>122 12 32.69078</v>
      </c>
      <c r="K28" s="66">
        <f t="shared" si="7"/>
        <v>1.0000051197831048</v>
      </c>
      <c r="L28" s="67" t="str">
        <f t="shared" si="8"/>
        <v>0 02 18.26</v>
      </c>
    </row>
    <row r="29" spans="1:12" s="15" customFormat="1" x14ac:dyDescent="0.25">
      <c r="A29" s="36" t="s">
        <v>98</v>
      </c>
      <c r="B29" s="37" t="s">
        <v>99</v>
      </c>
      <c r="C29" s="37" t="s">
        <v>100</v>
      </c>
      <c r="D29" s="30">
        <f t="shared" si="0"/>
        <v>51834.514221646372</v>
      </c>
      <c r="E29" s="31">
        <f t="shared" si="1"/>
        <v>199523.52822458278</v>
      </c>
      <c r="F29" s="32">
        <f t="shared" si="2"/>
        <v>1</v>
      </c>
      <c r="G29" s="32" t="str">
        <f t="shared" si="3"/>
        <v>0 00 27.47</v>
      </c>
      <c r="H29" s="33">
        <f t="shared" si="4"/>
        <v>0.99999800154456742</v>
      </c>
      <c r="I29" s="65" t="str">
        <f t="shared" si="5"/>
        <v>-24 51 33.91515</v>
      </c>
      <c r="J29" s="65" t="str">
        <f t="shared" si="6"/>
        <v>113 41 05.34693</v>
      </c>
      <c r="K29" s="66">
        <f t="shared" si="7"/>
        <v>0.99999800154456742</v>
      </c>
      <c r="L29" s="67" t="str">
        <f t="shared" si="8"/>
        <v>0 00 27.47</v>
      </c>
    </row>
    <row r="30" spans="1:12" s="15" customFormat="1" x14ac:dyDescent="0.25">
      <c r="A30" s="36" t="s">
        <v>101</v>
      </c>
      <c r="B30" s="37" t="s">
        <v>102</v>
      </c>
      <c r="C30" s="37" t="s">
        <v>103</v>
      </c>
      <c r="D30" s="30">
        <f t="shared" si="0"/>
        <v>57243.044975559787</v>
      </c>
      <c r="E30" s="31">
        <f t="shared" si="1"/>
        <v>143200.18262498174</v>
      </c>
      <c r="F30" s="32">
        <f t="shared" si="2"/>
        <v>1</v>
      </c>
      <c r="G30" s="32" t="str">
        <f t="shared" si="3"/>
        <v>0 00 43.24</v>
      </c>
      <c r="H30" s="33">
        <f t="shared" si="4"/>
        <v>1.0000257888424182</v>
      </c>
      <c r="I30" s="65" t="str">
        <f t="shared" si="5"/>
        <v>-10 27 37.13457</v>
      </c>
      <c r="J30" s="65" t="str">
        <f t="shared" si="6"/>
        <v>105 41 28.16162</v>
      </c>
      <c r="K30" s="66">
        <f t="shared" si="7"/>
        <v>1.0000257888424182</v>
      </c>
      <c r="L30" s="67" t="str">
        <f t="shared" si="8"/>
        <v>0 00 43.24</v>
      </c>
    </row>
    <row r="31" spans="1:12" s="15" customFormat="1" x14ac:dyDescent="0.25">
      <c r="A31" s="36" t="s">
        <v>104</v>
      </c>
      <c r="B31" s="37" t="s">
        <v>105</v>
      </c>
      <c r="C31" s="37" t="s">
        <v>106</v>
      </c>
      <c r="D31" s="30">
        <f t="shared" si="0"/>
        <v>45534.247180593651</v>
      </c>
      <c r="E31" s="31">
        <f t="shared" si="1"/>
        <v>152087.35095548583</v>
      </c>
      <c r="F31" s="32">
        <f t="shared" si="2"/>
        <v>1</v>
      </c>
      <c r="G31" s="32" t="str">
        <f t="shared" si="3"/>
        <v>0 00 31.19</v>
      </c>
      <c r="H31" s="33">
        <f t="shared" si="4"/>
        <v>0.9999941166222438</v>
      </c>
      <c r="I31" s="65" t="str">
        <f t="shared" si="5"/>
        <v>-12 11 18.06832</v>
      </c>
      <c r="J31" s="65" t="str">
        <f t="shared" si="6"/>
        <v>96 50 02.27115</v>
      </c>
      <c r="K31" s="66">
        <f t="shared" si="7"/>
        <v>0.99999411662224358</v>
      </c>
      <c r="L31" s="67" t="str">
        <f t="shared" si="8"/>
        <v>0 00 31.19</v>
      </c>
    </row>
    <row r="32" spans="1:12" s="15" customFormat="1" x14ac:dyDescent="0.25">
      <c r="A32" s="36" t="s">
        <v>107</v>
      </c>
      <c r="B32" s="37" t="s">
        <v>108</v>
      </c>
      <c r="C32" s="37" t="s">
        <v>109</v>
      </c>
      <c r="D32" s="30">
        <f t="shared" si="0"/>
        <v>42799.206515509497</v>
      </c>
      <c r="E32" s="31">
        <f t="shared" si="1"/>
        <v>242961.55473984731</v>
      </c>
      <c r="F32" s="32">
        <f t="shared" si="2"/>
        <v>1</v>
      </c>
      <c r="G32" s="32" t="str">
        <f t="shared" si="3"/>
        <v>0 01 00.86</v>
      </c>
      <c r="H32" s="33">
        <f t="shared" si="4"/>
        <v>1.0000190965487414</v>
      </c>
      <c r="I32" s="65" t="str">
        <f t="shared" si="5"/>
        <v>-33 56 22.71861</v>
      </c>
      <c r="J32" s="65" t="str">
        <f t="shared" si="6"/>
        <v>115 57 48.99885</v>
      </c>
      <c r="K32" s="66">
        <f t="shared" si="7"/>
        <v>1.0000190965487414</v>
      </c>
      <c r="L32" s="67" t="str">
        <f t="shared" si="8"/>
        <v>0 01 00.86</v>
      </c>
    </row>
    <row r="33" spans="1:12" s="15" customFormat="1" x14ac:dyDescent="0.25">
      <c r="A33" s="36" t="s">
        <v>110</v>
      </c>
      <c r="B33" s="37" t="s">
        <v>111</v>
      </c>
      <c r="C33" s="37" t="s">
        <v>112</v>
      </c>
      <c r="D33" s="30">
        <f t="shared" si="0"/>
        <v>51469.700510194103</v>
      </c>
      <c r="E33" s="31">
        <f t="shared" si="1"/>
        <v>256187.98985317256</v>
      </c>
      <c r="F33" s="32">
        <f t="shared" si="2"/>
        <v>1</v>
      </c>
      <c r="G33" s="32" t="str">
        <f t="shared" si="3"/>
        <v>0 00 31.27</v>
      </c>
      <c r="H33" s="33">
        <f t="shared" si="4"/>
        <v>1.0000055266191219</v>
      </c>
      <c r="I33" s="65" t="str">
        <f t="shared" si="5"/>
        <v>-33 22 12.24897</v>
      </c>
      <c r="J33" s="65" t="str">
        <f t="shared" si="6"/>
        <v>121 53 56.85395</v>
      </c>
      <c r="K33" s="66">
        <f t="shared" si="7"/>
        <v>1.0000055266191219</v>
      </c>
      <c r="L33" s="67" t="str">
        <f t="shared" si="8"/>
        <v>0 00 31.27</v>
      </c>
    </row>
    <row r="34" spans="1:12" s="15" customFormat="1" x14ac:dyDescent="0.25">
      <c r="A34" s="36" t="s">
        <v>113</v>
      </c>
      <c r="B34" s="37" t="s">
        <v>114</v>
      </c>
      <c r="C34" s="37" t="s">
        <v>115</v>
      </c>
      <c r="D34" s="30">
        <f t="shared" si="0"/>
        <v>36203.787647254743</v>
      </c>
      <c r="E34" s="31">
        <f t="shared" si="1"/>
        <v>218803.3056356525</v>
      </c>
      <c r="F34" s="32">
        <f t="shared" si="2"/>
        <v>1</v>
      </c>
      <c r="G34" s="32" t="str">
        <f t="shared" si="3"/>
        <v>0 02 59.96</v>
      </c>
      <c r="H34" s="33">
        <f t="shared" si="4"/>
        <v>1.0000047107347156</v>
      </c>
      <c r="I34" s="65" t="str">
        <f t="shared" si="5"/>
        <v>-21 58 34.96494</v>
      </c>
      <c r="J34" s="65" t="str">
        <f t="shared" si="6"/>
        <v>113 55 59.10748</v>
      </c>
      <c r="K34" s="66">
        <f t="shared" si="7"/>
        <v>1.0000047107347156</v>
      </c>
      <c r="L34" s="67" t="str">
        <f t="shared" si="8"/>
        <v>0 02 59.96</v>
      </c>
    </row>
    <row r="35" spans="1:12" s="15" customFormat="1" x14ac:dyDescent="0.25">
      <c r="A35" s="36" t="s">
        <v>116</v>
      </c>
      <c r="B35" s="37" t="s">
        <v>117</v>
      </c>
      <c r="C35" s="37" t="s">
        <v>118</v>
      </c>
      <c r="D35" s="30">
        <f t="shared" ref="D35:D62" si="9">grideasting(B35,C35,A35)</f>
        <v>53059.039040889424</v>
      </c>
      <c r="E35" s="31">
        <f t="shared" ref="E35:E62" si="10">gridnorthing(B35,C35,A35)</f>
        <v>165148.05907471478</v>
      </c>
      <c r="F35" s="32">
        <f t="shared" ref="F35:F62" si="11">gridzone(B35,C35,A35)</f>
        <v>1</v>
      </c>
      <c r="G35" s="32" t="str">
        <f t="shared" ref="G35:G62" si="12">GridGridCon(B35,C35,A35)</f>
        <v>0 00 54.30</v>
      </c>
      <c r="H35" s="33">
        <f t="shared" ref="H35:H62" si="13">GridPntScleFact(B35,C35,A35)</f>
        <v>1.0000063954298013</v>
      </c>
      <c r="I35" s="65" t="str">
        <f t="shared" ref="I35:I62" si="14">datumlat(D35,E35,F35,A35)</f>
        <v>-28 46 46.23571</v>
      </c>
      <c r="J35" s="65" t="str">
        <f t="shared" ref="J35:J62" si="15">datumlong(D35,E35,F35,A35)</f>
        <v>114 36 52.78073</v>
      </c>
      <c r="K35" s="66">
        <f t="shared" ref="K35:K62" si="16">DatumPntScle(D35,E35,F35,A35)</f>
        <v>1.0000063954298013</v>
      </c>
      <c r="L35" s="67" t="str">
        <f t="shared" ref="L35:L62" si="17">DatumGridConv(D35,E35,F35,A35)</f>
        <v>0 00 54.30</v>
      </c>
    </row>
    <row r="36" spans="1:12" s="15" customFormat="1" x14ac:dyDescent="0.25">
      <c r="A36" s="36" t="s">
        <v>119</v>
      </c>
      <c r="B36" s="37" t="s">
        <v>120</v>
      </c>
      <c r="C36" s="37" t="s">
        <v>121</v>
      </c>
      <c r="D36" s="30">
        <f t="shared" si="9"/>
        <v>60747.853382031528</v>
      </c>
      <c r="E36" s="31">
        <f t="shared" si="10"/>
        <v>285965.46356950607</v>
      </c>
      <c r="F36" s="32">
        <f t="shared" si="11"/>
        <v>1</v>
      </c>
      <c r="G36" s="32" t="str">
        <f t="shared" si="12"/>
        <v>0 00 14.43</v>
      </c>
      <c r="H36" s="33">
        <f t="shared" si="13"/>
        <v>1.0000494968957403</v>
      </c>
      <c r="I36" s="65" t="str">
        <f t="shared" si="14"/>
        <v>-30 50 44.46118</v>
      </c>
      <c r="J36" s="65" t="str">
        <f t="shared" si="15"/>
        <v>121 30 28.14346</v>
      </c>
      <c r="K36" s="66">
        <f t="shared" si="16"/>
        <v>1.0000494968957403</v>
      </c>
      <c r="L36" s="67" t="str">
        <f t="shared" si="17"/>
        <v>0 00 14.43</v>
      </c>
    </row>
    <row r="37" spans="1:12" s="15" customFormat="1" x14ac:dyDescent="0.25">
      <c r="A37" s="36" t="s">
        <v>122</v>
      </c>
      <c r="B37" s="37" t="s">
        <v>123</v>
      </c>
      <c r="C37" s="37" t="s">
        <v>124</v>
      </c>
      <c r="D37" s="30">
        <f t="shared" si="9"/>
        <v>58836.350409072642</v>
      </c>
      <c r="E37" s="31">
        <f t="shared" si="10"/>
        <v>196733.66123090824</v>
      </c>
      <c r="F37" s="32">
        <f t="shared" si="11"/>
        <v>1</v>
      </c>
      <c r="G37" s="32" t="str">
        <f t="shared" si="12"/>
        <v>0 02 46.84</v>
      </c>
      <c r="H37" s="33">
        <f t="shared" si="13"/>
        <v>1.0000041028590307</v>
      </c>
      <c r="I37" s="65" t="str">
        <f t="shared" si="14"/>
        <v>-30 17 56.17927</v>
      </c>
      <c r="J37" s="65" t="str">
        <f t="shared" si="15"/>
        <v>115 04 30.68762</v>
      </c>
      <c r="K37" s="66">
        <f t="shared" si="16"/>
        <v>1.000004102859031</v>
      </c>
      <c r="L37" s="67" t="str">
        <f t="shared" si="17"/>
        <v>0 02 46.84</v>
      </c>
    </row>
    <row r="38" spans="1:12" s="15" customFormat="1" x14ac:dyDescent="0.25">
      <c r="A38" s="36" t="s">
        <v>125</v>
      </c>
      <c r="B38" s="37" t="s">
        <v>126</v>
      </c>
      <c r="C38" s="37" t="s">
        <v>127</v>
      </c>
      <c r="D38" s="30">
        <f t="shared" si="9"/>
        <v>26434.123931024362</v>
      </c>
      <c r="E38" s="31">
        <f t="shared" si="10"/>
        <v>582100.70574441459</v>
      </c>
      <c r="F38" s="32">
        <f t="shared" si="11"/>
        <v>1</v>
      </c>
      <c r="G38" s="32" t="str">
        <f t="shared" si="12"/>
        <v>0 07 55.91</v>
      </c>
      <c r="H38" s="33">
        <f t="shared" si="13"/>
        <v>1.0000240685610091</v>
      </c>
      <c r="I38" s="65" t="str">
        <f t="shared" si="14"/>
        <v>-27 16 20.97566</v>
      </c>
      <c r="J38" s="65" t="str">
        <f t="shared" si="15"/>
        <v>114 01 36.41041</v>
      </c>
      <c r="K38" s="66">
        <f t="shared" si="16"/>
        <v>1.0000240685610091</v>
      </c>
      <c r="L38" s="67" t="str">
        <f t="shared" si="17"/>
        <v>0 07 55.91</v>
      </c>
    </row>
    <row r="39" spans="1:12" s="15" customFormat="1" x14ac:dyDescent="0.25">
      <c r="A39" s="36" t="s">
        <v>128</v>
      </c>
      <c r="B39" s="37" t="s">
        <v>129</v>
      </c>
      <c r="C39" s="37" t="s">
        <v>130</v>
      </c>
      <c r="D39" s="30">
        <f t="shared" si="9"/>
        <v>38356.138810821823</v>
      </c>
      <c r="E39" s="31">
        <f t="shared" si="10"/>
        <v>156044.21977930609</v>
      </c>
      <c r="F39" s="32">
        <f t="shared" si="11"/>
        <v>1</v>
      </c>
      <c r="G39" s="32" t="str">
        <f t="shared" si="12"/>
        <v>0 02 22.51</v>
      </c>
      <c r="H39" s="33">
        <f t="shared" si="13"/>
        <v>1.0000005748069882</v>
      </c>
      <c r="I39" s="65" t="str">
        <f t="shared" si="14"/>
        <v>-20 44 13.05506</v>
      </c>
      <c r="J39" s="65" t="str">
        <f t="shared" si="15"/>
        <v>116 49 17.52917</v>
      </c>
      <c r="K39" s="66">
        <f t="shared" si="16"/>
        <v>1.0000005748069882</v>
      </c>
      <c r="L39" s="67" t="str">
        <f t="shared" si="17"/>
        <v>0 02 22.51</v>
      </c>
    </row>
    <row r="40" spans="1:12" s="15" customFormat="1" x14ac:dyDescent="0.25">
      <c r="A40" s="36" t="s">
        <v>131</v>
      </c>
      <c r="B40" s="37" t="s">
        <v>132</v>
      </c>
      <c r="C40" s="37" t="s">
        <v>133</v>
      </c>
      <c r="D40" s="30">
        <f t="shared" si="9"/>
        <v>54268.051110592263</v>
      </c>
      <c r="E40" s="31">
        <f t="shared" si="10"/>
        <v>242671.67837855895</v>
      </c>
      <c r="F40" s="32">
        <f t="shared" si="11"/>
        <v>1</v>
      </c>
      <c r="G40" s="32" t="str">
        <f t="shared" si="12"/>
        <v>0 00 39.28</v>
      </c>
      <c r="H40" s="33">
        <f t="shared" si="13"/>
        <v>1.0000167251726273</v>
      </c>
      <c r="I40" s="65" t="str">
        <f t="shared" si="14"/>
        <v>-15 53 18.40697</v>
      </c>
      <c r="J40" s="65" t="str">
        <f t="shared" si="15"/>
        <v>128 47 23.47014</v>
      </c>
      <c r="K40" s="66">
        <f t="shared" si="16"/>
        <v>1.0000167251726273</v>
      </c>
      <c r="L40" s="67" t="str">
        <f t="shared" si="17"/>
        <v>0 00 39.28</v>
      </c>
    </row>
    <row r="41" spans="1:12" s="15" customFormat="1" x14ac:dyDescent="0.25">
      <c r="A41" s="36" t="s">
        <v>134</v>
      </c>
      <c r="B41" s="37" t="s">
        <v>135</v>
      </c>
      <c r="C41" s="37" t="s">
        <v>136</v>
      </c>
      <c r="D41" s="30">
        <f t="shared" si="9"/>
        <v>46738.921715141842</v>
      </c>
      <c r="E41" s="31">
        <f t="shared" si="10"/>
        <v>216628.41500570066</v>
      </c>
      <c r="F41" s="32">
        <f t="shared" si="11"/>
        <v>1</v>
      </c>
      <c r="G41" s="32" t="str">
        <f t="shared" si="12"/>
        <v>0 01 03.36</v>
      </c>
      <c r="H41" s="33">
        <f t="shared" si="13"/>
        <v>1.0000017011219717</v>
      </c>
      <c r="I41" s="65" t="str">
        <f t="shared" si="14"/>
        <v>-31 01 17.64914</v>
      </c>
      <c r="J41" s="65" t="str">
        <f t="shared" si="15"/>
        <v>115 19 57.04730</v>
      </c>
      <c r="K41" s="66">
        <f t="shared" si="16"/>
        <v>1.0000017011219715</v>
      </c>
      <c r="L41" s="67" t="str">
        <f t="shared" si="17"/>
        <v>0 01 03.36</v>
      </c>
    </row>
    <row r="42" spans="1:12" s="15" customFormat="1" x14ac:dyDescent="0.25">
      <c r="A42" s="36" t="s">
        <v>137</v>
      </c>
      <c r="B42" s="37" t="s">
        <v>138</v>
      </c>
      <c r="C42" s="37" t="s">
        <v>139</v>
      </c>
      <c r="D42" s="30">
        <f t="shared" si="9"/>
        <v>40561.56512147015</v>
      </c>
      <c r="E42" s="31">
        <f t="shared" si="10"/>
        <v>189114.87755614519</v>
      </c>
      <c r="F42" s="32">
        <f t="shared" si="11"/>
        <v>1</v>
      </c>
      <c r="G42" s="32" t="str">
        <f t="shared" si="12"/>
        <v>0 03 25.47</v>
      </c>
      <c r="H42" s="33">
        <f t="shared" si="13"/>
        <v>1.000006597689044</v>
      </c>
      <c r="I42" s="65" t="str">
        <f t="shared" si="14"/>
        <v>-33 58 29.07011</v>
      </c>
      <c r="J42" s="65" t="str">
        <f t="shared" si="15"/>
        <v>115 03 52.31910</v>
      </c>
      <c r="K42" s="66">
        <f t="shared" si="16"/>
        <v>1.000006597689044</v>
      </c>
      <c r="L42" s="67" t="str">
        <f t="shared" si="17"/>
        <v>0 03 25.47</v>
      </c>
    </row>
    <row r="43" spans="1:12" s="15" customFormat="1" x14ac:dyDescent="0.25">
      <c r="A43" s="36" t="s">
        <v>140</v>
      </c>
      <c r="B43" s="37" t="s">
        <v>84</v>
      </c>
      <c r="C43" s="37" t="s">
        <v>85</v>
      </c>
      <c r="D43" s="30">
        <f t="shared" si="9"/>
        <v>56494.179421192617</v>
      </c>
      <c r="E43" s="31">
        <f t="shared" si="10"/>
        <v>280107.24938855181</v>
      </c>
      <c r="F43" s="32">
        <f t="shared" si="11"/>
        <v>1</v>
      </c>
      <c r="G43" s="32" t="str">
        <f t="shared" si="12"/>
        <v>0 02 10.11</v>
      </c>
      <c r="H43" s="33">
        <f t="shared" si="13"/>
        <v>0.99999957991473221</v>
      </c>
      <c r="I43" s="65" t="str">
        <f t="shared" si="14"/>
        <v>-31 48 07.09684</v>
      </c>
      <c r="J43" s="65" t="str">
        <f t="shared" si="15"/>
        <v>115 53 06.88632</v>
      </c>
      <c r="K43" s="66">
        <f t="shared" si="16"/>
        <v>0.99999957991473221</v>
      </c>
      <c r="L43" s="67" t="str">
        <f t="shared" si="17"/>
        <v>0 02 10.11</v>
      </c>
    </row>
    <row r="44" spans="1:12" s="15" customFormat="1" ht="15.75" thickBot="1" x14ac:dyDescent="0.3">
      <c r="A44" s="38" t="s">
        <v>141</v>
      </c>
      <c r="B44" s="39" t="s">
        <v>142</v>
      </c>
      <c r="C44" s="39" t="s">
        <v>143</v>
      </c>
      <c r="D44" s="40">
        <f t="shared" si="9"/>
        <v>41154.023219387062</v>
      </c>
      <c r="E44" s="41">
        <f t="shared" si="10"/>
        <v>144180.41557359044</v>
      </c>
      <c r="F44" s="42">
        <f t="shared" si="11"/>
        <v>1</v>
      </c>
      <c r="G44" s="42" t="str">
        <f t="shared" si="12"/>
        <v>0 01 46.30</v>
      </c>
      <c r="H44" s="43">
        <f t="shared" si="13"/>
        <v>1.0000023166832988</v>
      </c>
      <c r="I44" s="68" t="str">
        <f t="shared" si="14"/>
        <v>-20 23 32.85711</v>
      </c>
      <c r="J44" s="68" t="str">
        <f t="shared" si="15"/>
        <v>118 30 54.92383</v>
      </c>
      <c r="K44" s="69">
        <f t="shared" si="16"/>
        <v>1.000002316683299</v>
      </c>
      <c r="L44" s="70" t="str">
        <f t="shared" si="17"/>
        <v>0 01 46.30</v>
      </c>
    </row>
    <row r="45" spans="1:12" s="15" customFormat="1" ht="15.75" thickBot="1" x14ac:dyDescent="0.3">
      <c r="A45" s="44" t="s">
        <v>144</v>
      </c>
      <c r="B45" s="35" t="s">
        <v>145</v>
      </c>
      <c r="C45" s="35" t="s">
        <v>146</v>
      </c>
      <c r="D45" s="18">
        <f t="shared" si="9"/>
        <v>537221.55692560226</v>
      </c>
      <c r="E45" s="19">
        <f t="shared" si="10"/>
        <v>6123038.8367044292</v>
      </c>
      <c r="F45" s="20">
        <f t="shared" si="11"/>
        <v>50</v>
      </c>
      <c r="G45" s="20" t="str">
        <f t="shared" si="12"/>
        <v>0 14 03.35</v>
      </c>
      <c r="H45" s="21">
        <f t="shared" si="13"/>
        <v>0.99961707426259261</v>
      </c>
      <c r="I45" s="59" t="str">
        <f t="shared" si="14"/>
        <v>-35 02 04.28500</v>
      </c>
      <c r="J45" s="59" t="str">
        <f t="shared" si="15"/>
        <v>117 24 29.04796</v>
      </c>
      <c r="K45" s="60">
        <f t="shared" si="16"/>
        <v>0.99961707426259239</v>
      </c>
      <c r="L45" s="61" t="str">
        <f t="shared" si="17"/>
        <v>0 14 03.35</v>
      </c>
    </row>
    <row r="46" spans="1:12" s="15" customFormat="1" x14ac:dyDescent="0.25">
      <c r="A46" s="45" t="s">
        <v>147</v>
      </c>
      <c r="B46" s="46" t="s">
        <v>87</v>
      </c>
      <c r="C46" s="46" t="s">
        <v>88</v>
      </c>
      <c r="D46" s="24">
        <f t="shared" si="9"/>
        <v>49174.534606529851</v>
      </c>
      <c r="E46" s="25">
        <f t="shared" si="10"/>
        <v>122838.55722485064</v>
      </c>
      <c r="F46" s="26">
        <f t="shared" si="11"/>
        <v>1</v>
      </c>
      <c r="G46" s="26" t="str">
        <f t="shared" si="12"/>
        <v>0 00 18.69</v>
      </c>
      <c r="H46" s="27">
        <f t="shared" si="13"/>
        <v>1.0000120083940511</v>
      </c>
      <c r="I46" s="62" t="str">
        <f t="shared" si="14"/>
        <v>-35 01 21.40083</v>
      </c>
      <c r="J46" s="62" t="str">
        <f t="shared" si="15"/>
        <v>117 54 27.43886</v>
      </c>
      <c r="K46" s="63">
        <f t="shared" si="16"/>
        <v>1.0000120083940511</v>
      </c>
      <c r="L46" s="64" t="str">
        <f t="shared" si="17"/>
        <v>0 00 18.69</v>
      </c>
    </row>
    <row r="47" spans="1:12" s="15" customFormat="1" x14ac:dyDescent="0.25">
      <c r="A47" s="36" t="s">
        <v>148</v>
      </c>
      <c r="B47" s="37" t="s">
        <v>90</v>
      </c>
      <c r="C47" s="37" t="s">
        <v>91</v>
      </c>
      <c r="D47" s="30">
        <f t="shared" si="9"/>
        <v>43344.507404295473</v>
      </c>
      <c r="E47" s="31">
        <f t="shared" si="10"/>
        <v>173713.92709063133</v>
      </c>
      <c r="F47" s="32">
        <f t="shared" si="11"/>
        <v>1</v>
      </c>
      <c r="G47" s="32" t="str">
        <f t="shared" si="12"/>
        <v>0 02 23.19</v>
      </c>
      <c r="H47" s="33">
        <f t="shared" si="13"/>
        <v>1.00000754583996</v>
      </c>
      <c r="I47" s="65" t="str">
        <f t="shared" si="14"/>
        <v>-33 39 45.60330</v>
      </c>
      <c r="J47" s="65" t="str">
        <f t="shared" si="15"/>
        <v>115 21 41.67183</v>
      </c>
      <c r="K47" s="66">
        <f t="shared" si="16"/>
        <v>1.00000754583996</v>
      </c>
      <c r="L47" s="67" t="str">
        <f t="shared" si="17"/>
        <v>0 02 23.19</v>
      </c>
    </row>
    <row r="48" spans="1:12" s="15" customFormat="1" x14ac:dyDescent="0.25">
      <c r="A48" s="36" t="s">
        <v>149</v>
      </c>
      <c r="B48" s="37" t="s">
        <v>96</v>
      </c>
      <c r="C48" s="37" t="s">
        <v>97</v>
      </c>
      <c r="D48" s="30">
        <f t="shared" si="9"/>
        <v>36841.234577356052</v>
      </c>
      <c r="E48" s="31">
        <f t="shared" si="10"/>
        <v>208560.13134442153</v>
      </c>
      <c r="F48" s="32">
        <f t="shared" si="11"/>
        <v>1</v>
      </c>
      <c r="G48" s="32" t="str">
        <f t="shared" si="12"/>
        <v>0 02 18.26</v>
      </c>
      <c r="H48" s="33">
        <f t="shared" si="13"/>
        <v>1.0000051397834631</v>
      </c>
      <c r="I48" s="65" t="str">
        <f t="shared" si="14"/>
        <v>-18 00 14.33350</v>
      </c>
      <c r="J48" s="65" t="str">
        <f t="shared" si="15"/>
        <v>122 12 32.69078</v>
      </c>
      <c r="K48" s="66">
        <f t="shared" si="16"/>
        <v>1.0000051397834631</v>
      </c>
      <c r="L48" s="67" t="str">
        <f t="shared" si="17"/>
        <v>0 02 18.26</v>
      </c>
    </row>
    <row r="49" spans="1:12" s="15" customFormat="1" x14ac:dyDescent="0.25">
      <c r="A49" s="36" t="s">
        <v>150</v>
      </c>
      <c r="B49" s="37" t="s">
        <v>99</v>
      </c>
      <c r="C49" s="37" t="s">
        <v>100</v>
      </c>
      <c r="D49" s="30">
        <f t="shared" si="9"/>
        <v>51834.533778349127</v>
      </c>
      <c r="E49" s="31">
        <f t="shared" si="10"/>
        <v>299494.65407718439</v>
      </c>
      <c r="F49" s="32">
        <f t="shared" si="11"/>
        <v>1</v>
      </c>
      <c r="G49" s="32" t="str">
        <f t="shared" si="12"/>
        <v>0 00 27.47</v>
      </c>
      <c r="H49" s="33">
        <f t="shared" si="13"/>
        <v>1.0000050415448656</v>
      </c>
      <c r="I49" s="65" t="str">
        <f t="shared" si="14"/>
        <v>-24 51 33.91515</v>
      </c>
      <c r="J49" s="65" t="str">
        <f t="shared" si="15"/>
        <v>113 41 05.34693</v>
      </c>
      <c r="K49" s="66">
        <f t="shared" si="16"/>
        <v>1.0000050415448656</v>
      </c>
      <c r="L49" s="67" t="str">
        <f t="shared" si="17"/>
        <v>0 00 27.47</v>
      </c>
    </row>
    <row r="50" spans="1:12" s="15" customFormat="1" x14ac:dyDescent="0.25">
      <c r="A50" s="36" t="s">
        <v>151</v>
      </c>
      <c r="B50" s="37" t="s">
        <v>102</v>
      </c>
      <c r="C50" s="37" t="s">
        <v>103</v>
      </c>
      <c r="D50" s="30">
        <f t="shared" si="9"/>
        <v>57243.062856906712</v>
      </c>
      <c r="E50" s="31">
        <f t="shared" si="10"/>
        <v>143197.51521785953</v>
      </c>
      <c r="F50" s="32">
        <f t="shared" si="11"/>
        <v>1</v>
      </c>
      <c r="G50" s="32" t="str">
        <f t="shared" si="12"/>
        <v>0 00 43.24</v>
      </c>
      <c r="H50" s="33">
        <f t="shared" si="13"/>
        <v>1.000024648841781</v>
      </c>
      <c r="I50" s="65" t="str">
        <f t="shared" si="14"/>
        <v>-10 27 37.13457</v>
      </c>
      <c r="J50" s="65" t="str">
        <f t="shared" si="15"/>
        <v>105 41 28.16162</v>
      </c>
      <c r="K50" s="66">
        <f t="shared" si="16"/>
        <v>1.0000246488417808</v>
      </c>
      <c r="L50" s="67" t="str">
        <f t="shared" si="17"/>
        <v>0 00 43.24</v>
      </c>
    </row>
    <row r="51" spans="1:12" s="15" customFormat="1" x14ac:dyDescent="0.25">
      <c r="A51" s="36" t="s">
        <v>152</v>
      </c>
      <c r="B51" s="37" t="s">
        <v>105</v>
      </c>
      <c r="C51" s="37" t="s">
        <v>106</v>
      </c>
      <c r="D51" s="30">
        <f t="shared" si="9"/>
        <v>45534.203685339096</v>
      </c>
      <c r="E51" s="31">
        <f t="shared" si="10"/>
        <v>52074.442219478311</v>
      </c>
      <c r="F51" s="32">
        <f t="shared" si="11"/>
        <v>1</v>
      </c>
      <c r="G51" s="32" t="str">
        <f t="shared" si="12"/>
        <v>0 00 31.19</v>
      </c>
      <c r="H51" s="33">
        <f t="shared" si="13"/>
        <v>1.0000002466237938</v>
      </c>
      <c r="I51" s="65" t="str">
        <f t="shared" si="14"/>
        <v>-12 11 18.06832</v>
      </c>
      <c r="J51" s="65" t="str">
        <f t="shared" si="15"/>
        <v>96 50 02.27115</v>
      </c>
      <c r="K51" s="66">
        <f t="shared" si="16"/>
        <v>1.0000002466237938</v>
      </c>
      <c r="L51" s="67" t="str">
        <f t="shared" si="17"/>
        <v>0 00 31.19</v>
      </c>
    </row>
    <row r="52" spans="1:12" s="15" customFormat="1" x14ac:dyDescent="0.25">
      <c r="A52" s="36" t="s">
        <v>153</v>
      </c>
      <c r="B52" s="37" t="s">
        <v>111</v>
      </c>
      <c r="C52" s="37" t="s">
        <v>112</v>
      </c>
      <c r="D52" s="30">
        <f t="shared" si="9"/>
        <v>51469.715399123423</v>
      </c>
      <c r="E52" s="31">
        <f t="shared" si="10"/>
        <v>256151.16687111789</v>
      </c>
      <c r="F52" s="32">
        <f t="shared" si="11"/>
        <v>1</v>
      </c>
      <c r="G52" s="32" t="str">
        <f t="shared" si="12"/>
        <v>0 00 31.27</v>
      </c>
      <c r="H52" s="33">
        <f t="shared" si="13"/>
        <v>1.0000120266192978</v>
      </c>
      <c r="I52" s="65" t="str">
        <f t="shared" si="14"/>
        <v>-33 22 12.24897</v>
      </c>
      <c r="J52" s="65" t="str">
        <f t="shared" si="15"/>
        <v>121 53 56.85395</v>
      </c>
      <c r="K52" s="66">
        <f t="shared" si="16"/>
        <v>1.000012026619298</v>
      </c>
      <c r="L52" s="67" t="str">
        <f t="shared" si="17"/>
        <v>0 00 31.27</v>
      </c>
    </row>
    <row r="53" spans="1:12" s="15" customFormat="1" x14ac:dyDescent="0.25">
      <c r="A53" s="36" t="s">
        <v>154</v>
      </c>
      <c r="B53" s="37" t="s">
        <v>114</v>
      </c>
      <c r="C53" s="37" t="s">
        <v>115</v>
      </c>
      <c r="D53" s="30">
        <f t="shared" si="9"/>
        <v>46203.646133716196</v>
      </c>
      <c r="E53" s="31">
        <f t="shared" si="10"/>
        <v>318778.76337814191</v>
      </c>
      <c r="F53" s="32">
        <f t="shared" si="11"/>
        <v>1</v>
      </c>
      <c r="G53" s="32" t="str">
        <f t="shared" si="12"/>
        <v>0 02 59.96</v>
      </c>
      <c r="H53" s="33">
        <f t="shared" si="13"/>
        <v>1.0000113507506541</v>
      </c>
      <c r="I53" s="65" t="str">
        <f t="shared" si="14"/>
        <v>-21 58 34.96494</v>
      </c>
      <c r="J53" s="65" t="str">
        <f t="shared" si="15"/>
        <v>113 55 59.10748</v>
      </c>
      <c r="K53" s="66">
        <f t="shared" si="16"/>
        <v>1.0000113507506538</v>
      </c>
      <c r="L53" s="67" t="str">
        <f t="shared" si="17"/>
        <v>0 02 59.96</v>
      </c>
    </row>
    <row r="54" spans="1:12" s="15" customFormat="1" x14ac:dyDescent="0.25">
      <c r="A54" s="36" t="s">
        <v>155</v>
      </c>
      <c r="B54" s="37" t="s">
        <v>117</v>
      </c>
      <c r="C54" s="37" t="s">
        <v>118</v>
      </c>
      <c r="D54" s="30">
        <f t="shared" si="9"/>
        <v>44921.838810954301</v>
      </c>
      <c r="E54" s="31">
        <f t="shared" si="10"/>
        <v>165105.36767118517</v>
      </c>
      <c r="F54" s="32">
        <f t="shared" si="11"/>
        <v>1</v>
      </c>
      <c r="G54" s="32" t="str">
        <f t="shared" si="12"/>
        <v>0 01 30.13</v>
      </c>
      <c r="H54" s="33">
        <f t="shared" si="13"/>
        <v>1.0000163180926041</v>
      </c>
      <c r="I54" s="65" t="str">
        <f t="shared" si="14"/>
        <v>-28 46 46.23571</v>
      </c>
      <c r="J54" s="65" t="str">
        <f t="shared" si="15"/>
        <v>114 36 52.78073</v>
      </c>
      <c r="K54" s="66">
        <f t="shared" si="16"/>
        <v>1.0000163180926043</v>
      </c>
      <c r="L54" s="67" t="str">
        <f t="shared" si="17"/>
        <v>0 01 30.13</v>
      </c>
    </row>
    <row r="55" spans="1:12" s="15" customFormat="1" x14ac:dyDescent="0.25">
      <c r="A55" s="36" t="s">
        <v>156</v>
      </c>
      <c r="B55" s="37" t="s">
        <v>120</v>
      </c>
      <c r="C55" s="37" t="s">
        <v>121</v>
      </c>
      <c r="D55" s="30">
        <f t="shared" si="9"/>
        <v>65531.037637248519</v>
      </c>
      <c r="E55" s="31">
        <f t="shared" si="10"/>
        <v>585926.58993375348</v>
      </c>
      <c r="F55" s="32">
        <f t="shared" si="11"/>
        <v>1</v>
      </c>
      <c r="G55" s="32" t="str">
        <f t="shared" si="12"/>
        <v>0 01 46.72</v>
      </c>
      <c r="H55" s="33">
        <f t="shared" si="13"/>
        <v>1.0000573771853924</v>
      </c>
      <c r="I55" s="65" t="str">
        <f t="shared" si="14"/>
        <v>-30 50 44.46118</v>
      </c>
      <c r="J55" s="65" t="str">
        <f t="shared" si="15"/>
        <v>121 30 28.14346</v>
      </c>
      <c r="K55" s="66">
        <f t="shared" si="16"/>
        <v>1.0000573771853924</v>
      </c>
      <c r="L55" s="67" t="str">
        <f t="shared" si="17"/>
        <v>0 01 46.72</v>
      </c>
    </row>
    <row r="56" spans="1:12" s="15" customFormat="1" x14ac:dyDescent="0.25">
      <c r="A56" s="36" t="s">
        <v>157</v>
      </c>
      <c r="B56" s="37" t="s">
        <v>123</v>
      </c>
      <c r="C56" s="37" t="s">
        <v>124</v>
      </c>
      <c r="D56" s="30">
        <f t="shared" si="9"/>
        <v>58836.443073254501</v>
      </c>
      <c r="E56" s="31">
        <f t="shared" si="10"/>
        <v>196699.04016295634</v>
      </c>
      <c r="F56" s="32">
        <f t="shared" si="11"/>
        <v>1</v>
      </c>
      <c r="G56" s="32" t="str">
        <f t="shared" si="12"/>
        <v>0 02 46.84</v>
      </c>
      <c r="H56" s="33">
        <f t="shared" si="13"/>
        <v>1.0000109628657532</v>
      </c>
      <c r="I56" s="65" t="str">
        <f t="shared" si="14"/>
        <v>-30 17 56.17927</v>
      </c>
      <c r="J56" s="65" t="str">
        <f t="shared" si="15"/>
        <v>115 04 30.68762</v>
      </c>
      <c r="K56" s="66">
        <f t="shared" si="16"/>
        <v>1.0000109628657532</v>
      </c>
      <c r="L56" s="67" t="str">
        <f t="shared" si="17"/>
        <v>0 02 46.84</v>
      </c>
    </row>
    <row r="57" spans="1:12" s="15" customFormat="1" x14ac:dyDescent="0.25">
      <c r="A57" s="36" t="s">
        <v>158</v>
      </c>
      <c r="B57" s="37" t="s">
        <v>129</v>
      </c>
      <c r="C57" s="37" t="s">
        <v>130</v>
      </c>
      <c r="D57" s="30">
        <f t="shared" si="9"/>
        <v>38356.037320064599</v>
      </c>
      <c r="E57" s="31">
        <f t="shared" si="10"/>
        <v>156024.5984215322</v>
      </c>
      <c r="F57" s="32">
        <f t="shared" si="11"/>
        <v>1</v>
      </c>
      <c r="G57" s="32" t="str">
        <f t="shared" si="12"/>
        <v>0 02 22.51</v>
      </c>
      <c r="H57" s="33">
        <f t="shared" si="13"/>
        <v>1.0000056748157686</v>
      </c>
      <c r="I57" s="65" t="str">
        <f t="shared" si="14"/>
        <v>-20 44 13.05506</v>
      </c>
      <c r="J57" s="65" t="str">
        <f t="shared" si="15"/>
        <v>116 49 17.52917</v>
      </c>
      <c r="K57" s="66">
        <f t="shared" si="16"/>
        <v>1.0000056748157686</v>
      </c>
      <c r="L57" s="67" t="str">
        <f t="shared" si="17"/>
        <v>0 02 22.51</v>
      </c>
    </row>
    <row r="58" spans="1:12" s="15" customFormat="1" x14ac:dyDescent="0.25">
      <c r="A58" s="36" t="s">
        <v>159</v>
      </c>
      <c r="B58" s="37" t="s">
        <v>132</v>
      </c>
      <c r="C58" s="37" t="s">
        <v>133</v>
      </c>
      <c r="D58" s="30">
        <f t="shared" si="9"/>
        <v>54268.055857383835</v>
      </c>
      <c r="E58" s="31">
        <f t="shared" si="10"/>
        <v>242670.01013131998</v>
      </c>
      <c r="F58" s="32">
        <f t="shared" si="11"/>
        <v>1</v>
      </c>
      <c r="G58" s="32" t="str">
        <f t="shared" si="12"/>
        <v>0 00 39.28</v>
      </c>
      <c r="H58" s="33">
        <f t="shared" si="13"/>
        <v>1.0000142251720983</v>
      </c>
      <c r="I58" s="65" t="str">
        <f t="shared" si="14"/>
        <v>-15 53 18.40697</v>
      </c>
      <c r="J58" s="65" t="str">
        <f t="shared" si="15"/>
        <v>128 47 23.47014</v>
      </c>
      <c r="K58" s="66">
        <f t="shared" si="16"/>
        <v>1.0000142251720983</v>
      </c>
      <c r="L58" s="67" t="str">
        <f t="shared" si="17"/>
        <v>0 00 39.28</v>
      </c>
    </row>
    <row r="59" spans="1:12" s="15" customFormat="1" x14ac:dyDescent="0.25">
      <c r="A59" s="36" t="s">
        <v>160</v>
      </c>
      <c r="B59" s="37" t="s">
        <v>135</v>
      </c>
      <c r="C59" s="37" t="s">
        <v>136</v>
      </c>
      <c r="D59" s="30">
        <f t="shared" si="9"/>
        <v>46738.888916484226</v>
      </c>
      <c r="E59" s="31">
        <f t="shared" si="10"/>
        <v>216594.43985163886</v>
      </c>
      <c r="F59" s="32">
        <f t="shared" si="11"/>
        <v>1</v>
      </c>
      <c r="G59" s="32" t="str">
        <f t="shared" si="12"/>
        <v>0 01 03.36</v>
      </c>
      <c r="H59" s="33">
        <f t="shared" si="13"/>
        <v>1.0000081311228306</v>
      </c>
      <c r="I59" s="65" t="str">
        <f t="shared" si="14"/>
        <v>-31 01 17.64914</v>
      </c>
      <c r="J59" s="65" t="str">
        <f t="shared" si="15"/>
        <v>115 19 57.04730</v>
      </c>
      <c r="K59" s="66">
        <f t="shared" si="16"/>
        <v>1.0000081311228304</v>
      </c>
      <c r="L59" s="67" t="str">
        <f t="shared" si="17"/>
        <v>0 01 03.36</v>
      </c>
    </row>
    <row r="60" spans="1:12" s="15" customFormat="1" x14ac:dyDescent="0.25">
      <c r="A60" s="36" t="s">
        <v>161</v>
      </c>
      <c r="B60" s="37" t="s">
        <v>138</v>
      </c>
      <c r="C60" s="37" t="s">
        <v>139</v>
      </c>
      <c r="D60" s="30">
        <f t="shared" si="9"/>
        <v>46722.369133141852</v>
      </c>
      <c r="E60" s="31">
        <f t="shared" si="10"/>
        <v>289073.99507967336</v>
      </c>
      <c r="F60" s="32">
        <f t="shared" si="11"/>
        <v>1</v>
      </c>
      <c r="G60" s="32" t="str">
        <f t="shared" si="12"/>
        <v>0 01 11.35</v>
      </c>
      <c r="H60" s="33">
        <f t="shared" si="13"/>
        <v>1.0000141323709177</v>
      </c>
      <c r="I60" s="65" t="str">
        <f t="shared" si="14"/>
        <v>-33 58 29.07011</v>
      </c>
      <c r="J60" s="65" t="str">
        <f t="shared" si="15"/>
        <v>115 03 52.31910</v>
      </c>
      <c r="K60" s="66">
        <f t="shared" si="16"/>
        <v>1.0000141323709175</v>
      </c>
      <c r="L60" s="67" t="str">
        <f t="shared" si="17"/>
        <v>0 01 11.35</v>
      </c>
    </row>
    <row r="61" spans="1:12" s="15" customFormat="1" x14ac:dyDescent="0.25">
      <c r="A61" s="36" t="s">
        <v>162</v>
      </c>
      <c r="B61" s="37" t="s">
        <v>84</v>
      </c>
      <c r="C61" s="37" t="s">
        <v>85</v>
      </c>
      <c r="D61" s="30">
        <f t="shared" si="9"/>
        <v>44915.971305470353</v>
      </c>
      <c r="E61" s="31">
        <f t="shared" si="10"/>
        <v>280071.49362915382</v>
      </c>
      <c r="F61" s="32">
        <f t="shared" si="11"/>
        <v>1</v>
      </c>
      <c r="G61" s="32" t="str">
        <f t="shared" si="12"/>
        <v>0 01 38.49</v>
      </c>
      <c r="H61" s="33">
        <f t="shared" si="13"/>
        <v>1.0000062979175621</v>
      </c>
      <c r="I61" s="65" t="str">
        <f t="shared" si="14"/>
        <v>-31 48 07.09684</v>
      </c>
      <c r="J61" s="65" t="str">
        <f t="shared" si="15"/>
        <v>115 53 06.88632</v>
      </c>
      <c r="K61" s="66">
        <f t="shared" si="16"/>
        <v>1.0000062979175621</v>
      </c>
      <c r="L61" s="67" t="str">
        <f t="shared" si="17"/>
        <v>0 01 38.49</v>
      </c>
    </row>
    <row r="62" spans="1:12" s="15" customFormat="1" x14ac:dyDescent="0.25">
      <c r="A62" s="36" t="s">
        <v>163</v>
      </c>
      <c r="B62" s="37" t="s">
        <v>142</v>
      </c>
      <c r="C62" s="37" t="s">
        <v>143</v>
      </c>
      <c r="D62" s="30">
        <f t="shared" si="9"/>
        <v>42893.737063435037</v>
      </c>
      <c r="E62" s="31">
        <f t="shared" si="10"/>
        <v>144167.45642130123</v>
      </c>
      <c r="F62" s="32">
        <f t="shared" si="11"/>
        <v>1</v>
      </c>
      <c r="G62" s="32" t="str">
        <f t="shared" si="12"/>
        <v>0 01 25.40</v>
      </c>
      <c r="H62" s="33">
        <f t="shared" si="13"/>
        <v>1.000004623836694</v>
      </c>
      <c r="I62" s="65" t="str">
        <f t="shared" si="14"/>
        <v>-20 23 32.85711</v>
      </c>
      <c r="J62" s="65" t="str">
        <f t="shared" si="15"/>
        <v>118 30 54.92383</v>
      </c>
      <c r="K62" s="66">
        <f t="shared" si="16"/>
        <v>1.000004623836694</v>
      </c>
      <c r="L62" s="67" t="str">
        <f t="shared" si="17"/>
        <v>0 01 25.40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B9C41-5367-46EC-8D35-BFEAF160C66E}">
  <sheetPr codeName="Sheet2"/>
  <dimension ref="A1:M342"/>
  <sheetViews>
    <sheetView workbookViewId="0">
      <selection activeCell="K52" sqref="K52"/>
    </sheetView>
  </sheetViews>
  <sheetFormatPr defaultRowHeight="15" x14ac:dyDescent="0.25"/>
  <cols>
    <col min="1" max="1" width="20.5703125" customWidth="1"/>
    <col min="2" max="3" width="16.7109375" customWidth="1"/>
    <col min="4" max="5" width="10.5703125" bestFit="1" customWidth="1"/>
    <col min="6" max="6" width="11" customWidth="1"/>
    <col min="7" max="7" width="19.85546875" bestFit="1" customWidth="1"/>
    <col min="8" max="8" width="19.42578125" bestFit="1" customWidth="1"/>
    <col min="9" max="10" width="15.42578125" bestFit="1" customWidth="1"/>
    <col min="11" max="11" width="19.42578125" bestFit="1" customWidth="1"/>
    <col min="12" max="12" width="19.85546875" bestFit="1" customWidth="1"/>
  </cols>
  <sheetData>
    <row r="1" spans="1:13" ht="217.5" x14ac:dyDescent="0.25">
      <c r="A1" s="1" t="s">
        <v>0</v>
      </c>
      <c r="B1" s="2"/>
      <c r="C1" s="2"/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  <c r="M1" s="2"/>
    </row>
    <row r="2" spans="1:13" ht="18" thickBot="1" x14ac:dyDescent="0.35">
      <c r="A2" s="52" t="s">
        <v>10</v>
      </c>
      <c r="B2" s="52" t="s">
        <v>11</v>
      </c>
      <c r="C2" s="52" t="s">
        <v>12</v>
      </c>
      <c r="D2" s="52" t="s">
        <v>13</v>
      </c>
      <c r="E2" s="52" t="s">
        <v>14</v>
      </c>
      <c r="F2" s="52" t="s">
        <v>15</v>
      </c>
      <c r="G2" s="52" t="s">
        <v>16</v>
      </c>
      <c r="H2" s="52" t="s">
        <v>17</v>
      </c>
      <c r="I2" s="52" t="s">
        <v>18</v>
      </c>
      <c r="J2" s="52" t="s">
        <v>19</v>
      </c>
      <c r="K2" s="52" t="s">
        <v>17</v>
      </c>
      <c r="L2" s="52" t="s">
        <v>16</v>
      </c>
    </row>
    <row r="3" spans="1:13" x14ac:dyDescent="0.25">
      <c r="A3" s="48" t="s">
        <v>164</v>
      </c>
      <c r="B3" s="49" t="s">
        <v>165</v>
      </c>
      <c r="C3" s="49" t="s">
        <v>166</v>
      </c>
      <c r="D3" s="5">
        <f t="shared" ref="D3:D66" si="0">grideasting(B3,C3,A3)</f>
        <v>51701.513587587891</v>
      </c>
      <c r="E3" s="6">
        <f t="shared" ref="E3:E66" si="1">gridnorthing(B3,C3,A3)</f>
        <v>358852.96218406362</v>
      </c>
      <c r="F3" s="7">
        <f t="shared" ref="F3:F66" si="2">gridzone(B3,C3,A3)</f>
        <v>1</v>
      </c>
      <c r="G3" s="7" t="str">
        <f t="shared" ref="G3:G66" si="3">GridGridCon(B3,C3,A3)</f>
        <v>0 00 33.74</v>
      </c>
      <c r="H3" s="8">
        <f t="shared" ref="H3:H66" si="4">GridPntScleFact(B3,C3,A3)</f>
        <v>1.0000317756914197</v>
      </c>
      <c r="I3" s="56" t="str">
        <f t="shared" ref="I3:I66" si="5">datumlat(D3,E3,F3,A3)</f>
        <v>-31 32 30.16061</v>
      </c>
      <c r="J3" s="56" t="str">
        <f t="shared" ref="J3:J66" si="6">datumlong(D3,E3,F3,A3)</f>
        <v>116 26 04.50344</v>
      </c>
      <c r="K3" s="57">
        <f t="shared" ref="K3:K66" si="7">DatumPntScle(D3,E3,F3,A3)</f>
        <v>1.0000317756914199</v>
      </c>
      <c r="L3" s="58" t="str">
        <f t="shared" ref="L3:L66" si="8">DatumGridConv(D3,E3,F3,A3)</f>
        <v>0 00 33.74</v>
      </c>
    </row>
    <row r="4" spans="1:13" x14ac:dyDescent="0.25">
      <c r="A4" s="50" t="s">
        <v>167</v>
      </c>
      <c r="B4" s="51" t="s">
        <v>168</v>
      </c>
      <c r="C4" s="51" t="s">
        <v>169</v>
      </c>
      <c r="D4" s="9">
        <f t="shared" si="0"/>
        <v>55043.756763615107</v>
      </c>
      <c r="E4" s="10">
        <f>gridnorthing(B4,C4,A4)</f>
        <v>303789.42435495835</v>
      </c>
      <c r="F4" s="11">
        <f t="shared" si="2"/>
        <v>1</v>
      </c>
      <c r="G4" s="11" t="str">
        <f t="shared" si="3"/>
        <v>0 01 26.06</v>
      </c>
      <c r="H4" s="12">
        <f t="shared" si="4"/>
        <v>1.0000279438535877</v>
      </c>
      <c r="I4" s="53" t="str">
        <f t="shared" si="5"/>
        <v>-27 50 04.94948</v>
      </c>
      <c r="J4" s="53" t="str">
        <f t="shared" si="6"/>
        <v>114 43 34.31363</v>
      </c>
      <c r="K4" s="54">
        <f t="shared" si="7"/>
        <v>1.0000279438535875</v>
      </c>
      <c r="L4" s="55" t="str">
        <f t="shared" si="8"/>
        <v>0 01 26.06</v>
      </c>
    </row>
    <row r="5" spans="1:13" x14ac:dyDescent="0.25">
      <c r="A5" s="50" t="s">
        <v>170</v>
      </c>
      <c r="B5" s="51" t="s">
        <v>171</v>
      </c>
      <c r="C5" s="51" t="s">
        <v>172</v>
      </c>
      <c r="D5" s="9">
        <f t="shared" si="0"/>
        <v>54424.677302602795</v>
      </c>
      <c r="E5" s="10">
        <f t="shared" si="1"/>
        <v>380083.77798051108</v>
      </c>
      <c r="F5" s="11">
        <f t="shared" si="2"/>
        <v>1</v>
      </c>
      <c r="G5" s="11" t="str">
        <f t="shared" si="3"/>
        <v>0 01 18.10</v>
      </c>
      <c r="H5" s="12">
        <f t="shared" si="4"/>
        <v>1.0000310414971869</v>
      </c>
      <c r="I5" s="53" t="str">
        <f t="shared" si="5"/>
        <v>-28 38 38.55980</v>
      </c>
      <c r="J5" s="53" t="str">
        <f t="shared" si="6"/>
        <v>115 17 42.91508</v>
      </c>
      <c r="K5" s="54">
        <f t="shared" si="7"/>
        <v>1.0000310414971871</v>
      </c>
      <c r="L5" s="55" t="str">
        <f t="shared" si="8"/>
        <v>0 01 18.10</v>
      </c>
    </row>
    <row r="6" spans="1:13" x14ac:dyDescent="0.25">
      <c r="A6" s="50" t="s">
        <v>173</v>
      </c>
      <c r="B6" s="51" t="s">
        <v>174</v>
      </c>
      <c r="C6" s="51" t="s">
        <v>175</v>
      </c>
      <c r="D6" s="9">
        <f t="shared" si="0"/>
        <v>39837.840785939639</v>
      </c>
      <c r="E6" s="10">
        <f t="shared" si="1"/>
        <v>320383.02117316471</v>
      </c>
      <c r="F6" s="11">
        <f t="shared" si="2"/>
        <v>1</v>
      </c>
      <c r="G6" s="11" t="str">
        <f t="shared" si="3"/>
        <v>0 03 42.62</v>
      </c>
      <c r="H6" s="12">
        <f t="shared" si="4"/>
        <v>1.0000408723914107</v>
      </c>
      <c r="I6" s="53" t="str">
        <f t="shared" si="5"/>
        <v>-34 08 32.79757</v>
      </c>
      <c r="J6" s="53" t="str">
        <f t="shared" si="6"/>
        <v>118 12 23.35900</v>
      </c>
      <c r="K6" s="54">
        <f t="shared" si="7"/>
        <v>1.0000408723914107</v>
      </c>
      <c r="L6" s="55" t="str">
        <f t="shared" si="8"/>
        <v>0 03 42.62</v>
      </c>
    </row>
    <row r="7" spans="1:13" x14ac:dyDescent="0.25">
      <c r="A7" s="50" t="s">
        <v>176</v>
      </c>
      <c r="B7" s="51" t="s">
        <v>177</v>
      </c>
      <c r="C7" s="51" t="s">
        <v>178</v>
      </c>
      <c r="D7" s="9">
        <f t="shared" si="0"/>
        <v>50444.718894004094</v>
      </c>
      <c r="E7" s="10">
        <f t="shared" si="1"/>
        <v>323972.0453732186</v>
      </c>
      <c r="F7" s="11">
        <f t="shared" si="2"/>
        <v>1</v>
      </c>
      <c r="G7" s="11" t="str">
        <f t="shared" si="3"/>
        <v>0 00 07.68</v>
      </c>
      <c r="H7" s="12">
        <f t="shared" si="4"/>
        <v>1.0000815324397301</v>
      </c>
      <c r="I7" s="53" t="str">
        <f t="shared" si="5"/>
        <v>-28 07 45.58800</v>
      </c>
      <c r="J7" s="53" t="str">
        <f t="shared" si="6"/>
        <v>119 03 20.29468</v>
      </c>
      <c r="K7" s="54">
        <f t="shared" si="7"/>
        <v>1.0000815324397301</v>
      </c>
      <c r="L7" s="55" t="str">
        <f t="shared" si="8"/>
        <v>0 00 07.68</v>
      </c>
    </row>
    <row r="8" spans="1:13" x14ac:dyDescent="0.25">
      <c r="A8" s="50" t="s">
        <v>179</v>
      </c>
      <c r="B8" s="51" t="s">
        <v>180</v>
      </c>
      <c r="C8" s="51" t="s">
        <v>181</v>
      </c>
      <c r="D8" s="9">
        <f t="shared" si="0"/>
        <v>50486.642482036164</v>
      </c>
      <c r="E8" s="10">
        <f t="shared" si="1"/>
        <v>334632.56555761583</v>
      </c>
      <c r="F8" s="11">
        <f t="shared" si="2"/>
        <v>1</v>
      </c>
      <c r="G8" s="11" t="str">
        <f t="shared" si="3"/>
        <v>0 00 09.77</v>
      </c>
      <c r="H8" s="12">
        <f t="shared" si="4"/>
        <v>1.0000279929193416</v>
      </c>
      <c r="I8" s="53" t="str">
        <f t="shared" si="5"/>
        <v>-31 52 06.52613</v>
      </c>
      <c r="J8" s="53" t="str">
        <f t="shared" si="6"/>
        <v>116 48 58.51321</v>
      </c>
      <c r="K8" s="54">
        <f t="shared" si="7"/>
        <v>1.0000279929193416</v>
      </c>
      <c r="L8" s="55" t="str">
        <f t="shared" si="8"/>
        <v>0 00 09.77</v>
      </c>
    </row>
    <row r="9" spans="1:13" x14ac:dyDescent="0.25">
      <c r="A9" s="50" t="s">
        <v>182</v>
      </c>
      <c r="B9" s="51" t="s">
        <v>183</v>
      </c>
      <c r="C9" s="51" t="s">
        <v>184</v>
      </c>
      <c r="D9" s="9">
        <f t="shared" si="0"/>
        <v>50529.904659905143</v>
      </c>
      <c r="E9" s="10">
        <f t="shared" si="1"/>
        <v>290732.28486699937</v>
      </c>
      <c r="F9" s="11">
        <f t="shared" si="2"/>
        <v>1</v>
      </c>
      <c r="G9" s="11" t="str">
        <f t="shared" si="3"/>
        <v>0 00 08.61</v>
      </c>
      <c r="H9" s="12">
        <f t="shared" si="4"/>
        <v>1.0000607634649323</v>
      </c>
      <c r="I9" s="53" t="str">
        <f t="shared" si="5"/>
        <v>-26 41 17.70698</v>
      </c>
      <c r="J9" s="53" t="str">
        <f t="shared" si="6"/>
        <v>126 08 02.16604</v>
      </c>
      <c r="K9" s="54">
        <f t="shared" si="7"/>
        <v>1.0000607634649323</v>
      </c>
      <c r="L9" s="55" t="str">
        <f t="shared" si="8"/>
        <v>0 00 08.61</v>
      </c>
    </row>
    <row r="10" spans="1:13" x14ac:dyDescent="0.25">
      <c r="A10" s="50" t="s">
        <v>185</v>
      </c>
      <c r="B10" s="51" t="s">
        <v>186</v>
      </c>
      <c r="C10" s="51" t="s">
        <v>187</v>
      </c>
      <c r="D10" s="9">
        <f t="shared" si="0"/>
        <v>50829.923447380977</v>
      </c>
      <c r="E10" s="10">
        <f t="shared" si="1"/>
        <v>411767.83530558087</v>
      </c>
      <c r="F10" s="11">
        <f t="shared" si="2"/>
        <v>1</v>
      </c>
      <c r="G10" s="11" t="str">
        <f t="shared" si="3"/>
        <v>0 00 17.03</v>
      </c>
      <c r="H10" s="12">
        <f t="shared" si="4"/>
        <v>1.0000190184897433</v>
      </c>
      <c r="I10" s="53" t="str">
        <f t="shared" si="5"/>
        <v>-32 25 03.47765</v>
      </c>
      <c r="J10" s="53" t="str">
        <f t="shared" si="6"/>
        <v>123 53 31.76264</v>
      </c>
      <c r="K10" s="54">
        <f t="shared" si="7"/>
        <v>1.0000190184897433</v>
      </c>
      <c r="L10" s="55" t="str">
        <f t="shared" si="8"/>
        <v>0 00 17.03</v>
      </c>
    </row>
    <row r="11" spans="1:13" x14ac:dyDescent="0.25">
      <c r="A11" s="50" t="s">
        <v>26</v>
      </c>
      <c r="B11" s="51" t="s">
        <v>188</v>
      </c>
      <c r="C11" s="51" t="s">
        <v>189</v>
      </c>
      <c r="D11" s="9">
        <f t="shared" si="0"/>
        <v>50586.44493777211</v>
      </c>
      <c r="E11" s="10">
        <f t="shared" si="1"/>
        <v>275707.2326887683</v>
      </c>
      <c r="F11" s="11">
        <f t="shared" si="2"/>
        <v>1</v>
      </c>
      <c r="G11" s="11" t="str">
        <f t="shared" si="3"/>
        <v>0 00 12.61</v>
      </c>
      <c r="H11" s="12">
        <f t="shared" si="4"/>
        <v>0.9999959242380777</v>
      </c>
      <c r="I11" s="53" t="str">
        <f t="shared" si="5"/>
        <v>-33 38 42.74045</v>
      </c>
      <c r="J11" s="53" t="str">
        <f t="shared" si="6"/>
        <v>115 26 22.75818</v>
      </c>
      <c r="K11" s="54">
        <f t="shared" si="7"/>
        <v>0.9999959242380777</v>
      </c>
      <c r="L11" s="55" t="str">
        <f t="shared" si="8"/>
        <v>0 00 12.61</v>
      </c>
    </row>
    <row r="12" spans="1:13" x14ac:dyDescent="0.25">
      <c r="A12" s="50" t="s">
        <v>190</v>
      </c>
      <c r="B12" s="51" t="s">
        <v>191</v>
      </c>
      <c r="C12" s="51" t="s">
        <v>192</v>
      </c>
      <c r="D12" s="9">
        <f t="shared" si="0"/>
        <v>53171.001405746065</v>
      </c>
      <c r="E12" s="10">
        <f t="shared" si="1"/>
        <v>360306.78477061726</v>
      </c>
      <c r="F12" s="11">
        <f t="shared" si="2"/>
        <v>1</v>
      </c>
      <c r="G12" s="11" t="str">
        <f t="shared" si="3"/>
        <v>0 00 43.41</v>
      </c>
      <c r="H12" s="12">
        <f t="shared" si="4"/>
        <v>1.0001015641547761</v>
      </c>
      <c r="I12" s="53" t="str">
        <f t="shared" si="5"/>
        <v>-22 57 14.13709</v>
      </c>
      <c r="J12" s="53" t="str">
        <f t="shared" si="6"/>
        <v>117 56 03.29824</v>
      </c>
      <c r="K12" s="54">
        <f t="shared" si="7"/>
        <v>1.0001015641547761</v>
      </c>
      <c r="L12" s="55" t="str">
        <f t="shared" si="8"/>
        <v>0 00 43.41</v>
      </c>
    </row>
    <row r="13" spans="1:13" x14ac:dyDescent="0.25">
      <c r="A13" s="50" t="s">
        <v>193</v>
      </c>
      <c r="B13" s="51" t="s">
        <v>194</v>
      </c>
      <c r="C13" s="51" t="s">
        <v>195</v>
      </c>
      <c r="D13" s="9">
        <f t="shared" si="0"/>
        <v>52843.04836493334</v>
      </c>
      <c r="E13" s="10">
        <f t="shared" si="1"/>
        <v>319821.81272623083</v>
      </c>
      <c r="F13" s="11">
        <f t="shared" si="2"/>
        <v>1</v>
      </c>
      <c r="G13" s="11" t="str">
        <f t="shared" si="3"/>
        <v>0 00 31.09</v>
      </c>
      <c r="H13" s="12">
        <f t="shared" si="4"/>
        <v>1.0000070598775124</v>
      </c>
      <c r="I13" s="53" t="str">
        <f t="shared" si="5"/>
        <v>-18 41 17.80217</v>
      </c>
      <c r="J13" s="53" t="str">
        <f t="shared" si="6"/>
        <v>121 57 25.02569</v>
      </c>
      <c r="K13" s="54">
        <f t="shared" si="7"/>
        <v>1.0000070598775124</v>
      </c>
      <c r="L13" s="55" t="str">
        <f t="shared" si="8"/>
        <v>0 00 31.09</v>
      </c>
    </row>
    <row r="14" spans="1:13" x14ac:dyDescent="0.25">
      <c r="A14" s="50" t="s">
        <v>196</v>
      </c>
      <c r="B14" s="51" t="s">
        <v>197</v>
      </c>
      <c r="C14" s="51" t="s">
        <v>198</v>
      </c>
      <c r="D14" s="9">
        <f t="shared" si="0"/>
        <v>51409.332369508797</v>
      </c>
      <c r="E14" s="10">
        <f t="shared" si="1"/>
        <v>316519.21645826497</v>
      </c>
      <c r="F14" s="11">
        <f t="shared" si="2"/>
        <v>1</v>
      </c>
      <c r="G14" s="11" t="str">
        <f t="shared" si="3"/>
        <v>0 00 15.59</v>
      </c>
      <c r="H14" s="12">
        <f t="shared" si="4"/>
        <v>1.0000386145414315</v>
      </c>
      <c r="I14" s="53" t="str">
        <f t="shared" si="5"/>
        <v>-18 53 21.00908</v>
      </c>
      <c r="J14" s="53" t="str">
        <f t="shared" si="6"/>
        <v>126 08 05.15231</v>
      </c>
      <c r="K14" s="54">
        <f t="shared" si="7"/>
        <v>1.0000386145414313</v>
      </c>
      <c r="L14" s="55" t="str">
        <f t="shared" si="8"/>
        <v>0 00 15.59</v>
      </c>
    </row>
    <row r="15" spans="1:13" x14ac:dyDescent="0.25">
      <c r="A15" s="50" t="s">
        <v>199</v>
      </c>
      <c r="B15" s="51" t="s">
        <v>200</v>
      </c>
      <c r="C15" s="51" t="s">
        <v>201</v>
      </c>
      <c r="D15" s="9">
        <f t="shared" si="0"/>
        <v>100722.62537961788</v>
      </c>
      <c r="E15" s="10">
        <f t="shared" si="1"/>
        <v>290958.83913754579</v>
      </c>
      <c r="F15" s="11">
        <f t="shared" si="2"/>
        <v>1</v>
      </c>
      <c r="G15" s="11" t="str">
        <f t="shared" si="3"/>
        <v>0 00 11.78</v>
      </c>
      <c r="H15" s="12">
        <f t="shared" si="4"/>
        <v>1.0000546564435009</v>
      </c>
      <c r="I15" s="53" t="str">
        <f t="shared" si="5"/>
        <v>-26 46 03.33703</v>
      </c>
      <c r="J15" s="53" t="str">
        <f t="shared" si="6"/>
        <v>116 35 26.15482</v>
      </c>
      <c r="K15" s="54">
        <f t="shared" si="7"/>
        <v>1.0000546564435009</v>
      </c>
      <c r="L15" s="55" t="str">
        <f t="shared" si="8"/>
        <v>0 00 11.78</v>
      </c>
    </row>
    <row r="16" spans="1:13" x14ac:dyDescent="0.25">
      <c r="A16" s="50" t="s">
        <v>202</v>
      </c>
      <c r="B16" s="51" t="s">
        <v>203</v>
      </c>
      <c r="C16" s="51" t="s">
        <v>204</v>
      </c>
      <c r="D16" s="9">
        <f t="shared" si="0"/>
        <v>57674.129896488892</v>
      </c>
      <c r="E16" s="10">
        <f t="shared" si="1"/>
        <v>338776.2192309564</v>
      </c>
      <c r="F16" s="11">
        <f t="shared" si="2"/>
        <v>1</v>
      </c>
      <c r="G16" s="11" t="str">
        <f t="shared" si="3"/>
        <v>0 02 30.04</v>
      </c>
      <c r="H16" s="12">
        <f t="shared" si="4"/>
        <v>1.0000645960557943</v>
      </c>
      <c r="I16" s="53" t="str">
        <f t="shared" si="5"/>
        <v>-31 10 50.25562</v>
      </c>
      <c r="J16" s="53" t="str">
        <f t="shared" si="6"/>
        <v>120 21 49.80283</v>
      </c>
      <c r="K16" s="54">
        <f t="shared" si="7"/>
        <v>1.0000645960557943</v>
      </c>
      <c r="L16" s="55" t="str">
        <f t="shared" si="8"/>
        <v>0 02 30.04</v>
      </c>
    </row>
    <row r="17" spans="1:12" x14ac:dyDescent="0.25">
      <c r="A17" s="50" t="s">
        <v>205</v>
      </c>
      <c r="B17" s="51" t="s">
        <v>206</v>
      </c>
      <c r="C17" s="51" t="s">
        <v>207</v>
      </c>
      <c r="D17" s="9">
        <f t="shared" si="0"/>
        <v>54143.292725345622</v>
      </c>
      <c r="E17" s="10">
        <f t="shared" si="1"/>
        <v>355296.424037233</v>
      </c>
      <c r="F17" s="11">
        <f t="shared" si="2"/>
        <v>1</v>
      </c>
      <c r="G17" s="11" t="str">
        <f t="shared" si="3"/>
        <v>0 01 14.96</v>
      </c>
      <c r="H17" s="12">
        <f t="shared" si="4"/>
        <v>1.0000423617304528</v>
      </c>
      <c r="I17" s="53" t="str">
        <f t="shared" si="5"/>
        <v>-29 14 46.60620</v>
      </c>
      <c r="J17" s="53" t="str">
        <f t="shared" si="6"/>
        <v>116 11 23.99770</v>
      </c>
      <c r="K17" s="54">
        <f t="shared" si="7"/>
        <v>1.0000423617304526</v>
      </c>
      <c r="L17" s="55" t="str">
        <f t="shared" si="8"/>
        <v>0 01 14.96</v>
      </c>
    </row>
    <row r="18" spans="1:12" x14ac:dyDescent="0.25">
      <c r="A18" s="50" t="s">
        <v>208</v>
      </c>
      <c r="B18" s="51" t="s">
        <v>209</v>
      </c>
      <c r="C18" s="51" t="s">
        <v>210</v>
      </c>
      <c r="D18" s="9">
        <f t="shared" si="0"/>
        <v>50376.230712539225</v>
      </c>
      <c r="E18" s="10">
        <f t="shared" si="1"/>
        <v>292441.78177535674</v>
      </c>
      <c r="F18" s="11">
        <f t="shared" si="2"/>
        <v>1</v>
      </c>
      <c r="G18" s="11" t="str">
        <f t="shared" si="3"/>
        <v>0 00 08.32</v>
      </c>
      <c r="H18" s="12">
        <f t="shared" si="4"/>
        <v>1.0000110017439965</v>
      </c>
      <c r="I18" s="53" t="str">
        <f t="shared" si="5"/>
        <v>-34 23 43.26994</v>
      </c>
      <c r="J18" s="53" t="str">
        <f t="shared" si="6"/>
        <v>118 45 14.72918</v>
      </c>
      <c r="K18" s="54">
        <f t="shared" si="7"/>
        <v>1.0000110017439965</v>
      </c>
      <c r="L18" s="55" t="str">
        <f t="shared" si="8"/>
        <v>0 00 08.32</v>
      </c>
    </row>
    <row r="19" spans="1:12" x14ac:dyDescent="0.25">
      <c r="A19" s="50" t="s">
        <v>211</v>
      </c>
      <c r="B19" s="51" t="s">
        <v>212</v>
      </c>
      <c r="C19" s="51" t="s">
        <v>213</v>
      </c>
      <c r="D19" s="9">
        <f t="shared" si="0"/>
        <v>53889.884183767295</v>
      </c>
      <c r="E19" s="10">
        <f t="shared" si="1"/>
        <v>370490.68026720639</v>
      </c>
      <c r="F19" s="11">
        <f t="shared" si="2"/>
        <v>1</v>
      </c>
      <c r="G19" s="11" t="str">
        <f t="shared" si="3"/>
        <v>0 01 23.78</v>
      </c>
      <c r="H19" s="12">
        <f t="shared" si="4"/>
        <v>1.0000344364519158</v>
      </c>
      <c r="I19" s="53" t="str">
        <f t="shared" si="5"/>
        <v>-33 41 27.38944</v>
      </c>
      <c r="J19" s="53" t="str">
        <f t="shared" si="6"/>
        <v>116 11 31.02893</v>
      </c>
      <c r="K19" s="54">
        <f t="shared" si="7"/>
        <v>1.000034436451916</v>
      </c>
      <c r="L19" s="55" t="str">
        <f t="shared" si="8"/>
        <v>0 01 23.78</v>
      </c>
    </row>
    <row r="20" spans="1:12" x14ac:dyDescent="0.25">
      <c r="A20" s="50" t="s">
        <v>214</v>
      </c>
      <c r="B20" s="51" t="s">
        <v>215</v>
      </c>
      <c r="C20" s="51" t="s">
        <v>216</v>
      </c>
      <c r="D20" s="9">
        <f t="shared" si="0"/>
        <v>54594.420309098634</v>
      </c>
      <c r="E20" s="10">
        <f t="shared" si="1"/>
        <v>323102.62586640008</v>
      </c>
      <c r="F20" s="11">
        <f t="shared" si="2"/>
        <v>1</v>
      </c>
      <c r="G20" s="11" t="str">
        <f t="shared" si="3"/>
        <v>0 01 33.89</v>
      </c>
      <c r="H20" s="12">
        <f t="shared" si="4"/>
        <v>1.0000415801834874</v>
      </c>
      <c r="I20" s="53" t="str">
        <f t="shared" si="5"/>
        <v>-32 18 52.89260</v>
      </c>
      <c r="J20" s="53" t="str">
        <f t="shared" si="6"/>
        <v>117 02 55.63352</v>
      </c>
      <c r="K20" s="54">
        <f t="shared" si="7"/>
        <v>1.0000415801834874</v>
      </c>
      <c r="L20" s="55" t="str">
        <f t="shared" si="8"/>
        <v>0 01 33.89</v>
      </c>
    </row>
    <row r="21" spans="1:12" x14ac:dyDescent="0.25">
      <c r="A21" s="50" t="s">
        <v>217</v>
      </c>
      <c r="B21" s="51" t="s">
        <v>218</v>
      </c>
      <c r="C21" s="51" t="s">
        <v>219</v>
      </c>
      <c r="D21" s="9">
        <f t="shared" si="0"/>
        <v>51749.329253254007</v>
      </c>
      <c r="E21" s="10">
        <f t="shared" si="1"/>
        <v>317183.96485735732</v>
      </c>
      <c r="F21" s="11">
        <f t="shared" si="2"/>
        <v>1</v>
      </c>
      <c r="G21" s="11" t="str">
        <f t="shared" si="3"/>
        <v>0 00 18.29</v>
      </c>
      <c r="H21" s="12">
        <f t="shared" si="4"/>
        <v>1.0000030178172743</v>
      </c>
      <c r="I21" s="53" t="str">
        <f t="shared" si="5"/>
        <v>-17 55 34.19951</v>
      </c>
      <c r="J21" s="53" t="str">
        <f t="shared" si="6"/>
        <v>122 20 59.43962</v>
      </c>
      <c r="K21" s="54">
        <f t="shared" si="7"/>
        <v>1.0000030178172743</v>
      </c>
      <c r="L21" s="55" t="str">
        <f t="shared" si="8"/>
        <v>0 00 18.29</v>
      </c>
    </row>
    <row r="22" spans="1:12" x14ac:dyDescent="0.25">
      <c r="A22" s="50" t="s">
        <v>220</v>
      </c>
      <c r="B22" s="51" t="s">
        <v>221</v>
      </c>
      <c r="C22" s="51" t="s">
        <v>222</v>
      </c>
      <c r="D22" s="9">
        <f t="shared" si="0"/>
        <v>53406.667651516502</v>
      </c>
      <c r="E22" s="10">
        <f t="shared" si="1"/>
        <v>327169.45763601875</v>
      </c>
      <c r="F22" s="11">
        <f t="shared" si="2"/>
        <v>1</v>
      </c>
      <c r="G22" s="11" t="str">
        <f t="shared" si="3"/>
        <v>0 01 09.03</v>
      </c>
      <c r="H22" s="12">
        <f t="shared" si="4"/>
        <v>1.0000431930529983</v>
      </c>
      <c r="I22" s="53" t="str">
        <f t="shared" si="5"/>
        <v>-32 05 51.42361</v>
      </c>
      <c r="J22" s="53" t="str">
        <f t="shared" si="6"/>
        <v>122 09 09.91948</v>
      </c>
      <c r="K22" s="54">
        <f t="shared" si="7"/>
        <v>1.0000431930529985</v>
      </c>
      <c r="L22" s="55" t="str">
        <f t="shared" si="8"/>
        <v>0 01 09.03</v>
      </c>
    </row>
    <row r="23" spans="1:12" x14ac:dyDescent="0.25">
      <c r="A23" s="50" t="s">
        <v>223</v>
      </c>
      <c r="B23" s="51" t="s">
        <v>224</v>
      </c>
      <c r="C23" s="51" t="s">
        <v>225</v>
      </c>
      <c r="D23" s="9">
        <f t="shared" si="0"/>
        <v>54403.418222676963</v>
      </c>
      <c r="E23" s="10">
        <f t="shared" si="1"/>
        <v>328134.51642138464</v>
      </c>
      <c r="F23" s="11">
        <f t="shared" si="2"/>
        <v>1</v>
      </c>
      <c r="G23" s="11" t="str">
        <f t="shared" si="3"/>
        <v>0 01 25.81</v>
      </c>
      <c r="H23" s="12">
        <f t="shared" si="4"/>
        <v>1.0000625890560781</v>
      </c>
      <c r="I23" s="53" t="str">
        <f t="shared" si="5"/>
        <v>-31 05 46.64260</v>
      </c>
      <c r="J23" s="53" t="str">
        <f t="shared" si="6"/>
        <v>120 54 46.14214</v>
      </c>
      <c r="K23" s="54">
        <f t="shared" si="7"/>
        <v>1.0000625890560781</v>
      </c>
      <c r="L23" s="55" t="str">
        <f t="shared" si="8"/>
        <v>0 01 25.81</v>
      </c>
    </row>
    <row r="24" spans="1:12" x14ac:dyDescent="0.25">
      <c r="A24" s="50" t="s">
        <v>226</v>
      </c>
      <c r="B24" s="51" t="s">
        <v>227</v>
      </c>
      <c r="C24" s="51" t="s">
        <v>228</v>
      </c>
      <c r="D24" s="9">
        <f t="shared" si="0"/>
        <v>51387.50428173301</v>
      </c>
      <c r="E24" s="10">
        <f t="shared" si="1"/>
        <v>331455.73279795353</v>
      </c>
      <c r="F24" s="11">
        <f t="shared" si="2"/>
        <v>1</v>
      </c>
      <c r="G24" s="11" t="str">
        <f t="shared" si="3"/>
        <v>0 00 13.97</v>
      </c>
      <c r="H24" s="12">
        <f t="shared" si="4"/>
        <v>1.0000264337926204</v>
      </c>
      <c r="I24" s="53" t="str">
        <f t="shared" si="5"/>
        <v>-17 17 59.52048</v>
      </c>
      <c r="J24" s="53" t="str">
        <f t="shared" si="6"/>
        <v>122 29 16.98191</v>
      </c>
      <c r="K24" s="54">
        <f t="shared" si="7"/>
        <v>1.0000264337926204</v>
      </c>
      <c r="L24" s="55" t="str">
        <f t="shared" si="8"/>
        <v>0 00 13.97</v>
      </c>
    </row>
    <row r="25" spans="1:12" x14ac:dyDescent="0.25">
      <c r="A25" s="50" t="s">
        <v>229</v>
      </c>
      <c r="B25" s="51" t="s">
        <v>230</v>
      </c>
      <c r="C25" s="51" t="s">
        <v>231</v>
      </c>
      <c r="D25" s="9">
        <f t="shared" si="0"/>
        <v>51469.875792093109</v>
      </c>
      <c r="E25" s="10">
        <f t="shared" si="1"/>
        <v>344312.78675619094</v>
      </c>
      <c r="F25" s="11">
        <f t="shared" si="2"/>
        <v>1</v>
      </c>
      <c r="G25" s="11" t="str">
        <f t="shared" si="3"/>
        <v>0 00 25.36</v>
      </c>
      <c r="H25" s="12">
        <f t="shared" si="4"/>
        <v>1.0000704366525772</v>
      </c>
      <c r="I25" s="53" t="str">
        <f t="shared" si="5"/>
        <v>-28 05 58.19424</v>
      </c>
      <c r="J25" s="53" t="str">
        <f t="shared" si="6"/>
        <v>118 24 09.84254</v>
      </c>
      <c r="K25" s="54">
        <f t="shared" si="7"/>
        <v>1.0000704366525774</v>
      </c>
      <c r="L25" s="55" t="str">
        <f t="shared" si="8"/>
        <v>0 00 25.36</v>
      </c>
    </row>
    <row r="26" spans="1:12" x14ac:dyDescent="0.25">
      <c r="A26" s="50" t="s">
        <v>232</v>
      </c>
      <c r="B26" s="51" t="s">
        <v>233</v>
      </c>
      <c r="C26" s="51" t="s">
        <v>234</v>
      </c>
      <c r="D26" s="9">
        <f t="shared" si="0"/>
        <v>52235.021941217201</v>
      </c>
      <c r="E26" s="10">
        <f t="shared" si="1"/>
        <v>358356.69080691133</v>
      </c>
      <c r="F26" s="11">
        <f t="shared" si="2"/>
        <v>1</v>
      </c>
      <c r="G26" s="11" t="str">
        <f t="shared" si="3"/>
        <v>0 00 30.63</v>
      </c>
      <c r="H26" s="12">
        <f t="shared" si="4"/>
        <v>1.0000506516814702</v>
      </c>
      <c r="I26" s="53" t="str">
        <f t="shared" si="5"/>
        <v>-22 58 28.36081</v>
      </c>
      <c r="J26" s="53" t="str">
        <f t="shared" si="6"/>
        <v>117 01 18.46240</v>
      </c>
      <c r="K26" s="54">
        <f t="shared" si="7"/>
        <v>1.0000506516814704</v>
      </c>
      <c r="L26" s="55" t="str">
        <f t="shared" si="8"/>
        <v>0 00 30.63</v>
      </c>
    </row>
    <row r="27" spans="1:12" x14ac:dyDescent="0.25">
      <c r="A27" s="50" t="s">
        <v>235</v>
      </c>
      <c r="B27" s="51" t="s">
        <v>236</v>
      </c>
      <c r="C27" s="51" t="s">
        <v>237</v>
      </c>
      <c r="D27" s="9">
        <f t="shared" si="0"/>
        <v>50196.314598546749</v>
      </c>
      <c r="E27" s="10">
        <f t="shared" si="1"/>
        <v>349275.71097389609</v>
      </c>
      <c r="F27" s="11">
        <f t="shared" si="2"/>
        <v>1</v>
      </c>
      <c r="G27" s="11" t="str">
        <f t="shared" si="3"/>
        <v>0 00 02.58</v>
      </c>
      <c r="H27" s="12">
        <f t="shared" si="4"/>
        <v>1.0000666304759362</v>
      </c>
      <c r="I27" s="53" t="str">
        <f t="shared" si="5"/>
        <v>-22 09 04.90381</v>
      </c>
      <c r="J27" s="53" t="str">
        <f t="shared" si="6"/>
        <v>118 51 36.85090</v>
      </c>
      <c r="K27" s="54">
        <f t="shared" si="7"/>
        <v>1.0000666304759362</v>
      </c>
      <c r="L27" s="55" t="str">
        <f t="shared" si="8"/>
        <v>0 00 02.58</v>
      </c>
    </row>
    <row r="28" spans="1:12" x14ac:dyDescent="0.25">
      <c r="A28" s="50" t="s">
        <v>238</v>
      </c>
      <c r="B28" s="51" t="s">
        <v>239</v>
      </c>
      <c r="C28" s="51" t="s">
        <v>240</v>
      </c>
      <c r="D28" s="9">
        <f t="shared" si="0"/>
        <v>50269.45750381457</v>
      </c>
      <c r="E28" s="10">
        <f t="shared" si="1"/>
        <v>336961.20535049587</v>
      </c>
      <c r="F28" s="11">
        <f t="shared" si="2"/>
        <v>1</v>
      </c>
      <c r="G28" s="11" t="str">
        <f t="shared" si="3"/>
        <v>0 00 03.44</v>
      </c>
      <c r="H28" s="12">
        <f t="shared" si="4"/>
        <v>1.0000460408967591</v>
      </c>
      <c r="I28" s="53" t="str">
        <f t="shared" si="5"/>
        <v>-21 32 26.05193</v>
      </c>
      <c r="J28" s="53" t="str">
        <f t="shared" si="6"/>
        <v>117 20 09.36373</v>
      </c>
      <c r="K28" s="54">
        <f t="shared" si="7"/>
        <v>1.0000460408967591</v>
      </c>
      <c r="L28" s="55" t="str">
        <f t="shared" si="8"/>
        <v>0 00 03.44</v>
      </c>
    </row>
    <row r="29" spans="1:12" x14ac:dyDescent="0.25">
      <c r="A29" s="50" t="s">
        <v>241</v>
      </c>
      <c r="B29" s="51" t="s">
        <v>242</v>
      </c>
      <c r="C29" s="51" t="s">
        <v>243</v>
      </c>
      <c r="D29" s="9">
        <f t="shared" si="0"/>
        <v>50525.298006614285</v>
      </c>
      <c r="E29" s="10">
        <f t="shared" si="1"/>
        <v>377666.54810246592</v>
      </c>
      <c r="F29" s="11">
        <f t="shared" si="2"/>
        <v>1</v>
      </c>
      <c r="G29" s="11" t="str">
        <f t="shared" si="3"/>
        <v>0 00 09.81</v>
      </c>
      <c r="H29" s="12">
        <f t="shared" si="4"/>
        <v>1.0000350434028213</v>
      </c>
      <c r="I29" s="53" t="str">
        <f t="shared" si="5"/>
        <v>-30 01 08.31659</v>
      </c>
      <c r="J29" s="53" t="str">
        <f t="shared" si="6"/>
        <v>115 55 19.60244</v>
      </c>
      <c r="K29" s="54">
        <f t="shared" si="7"/>
        <v>1.0000350434028213</v>
      </c>
      <c r="L29" s="55" t="str">
        <f t="shared" si="8"/>
        <v>0 00 09.81</v>
      </c>
    </row>
    <row r="30" spans="1:12" x14ac:dyDescent="0.25">
      <c r="A30" s="50" t="s">
        <v>244</v>
      </c>
      <c r="B30" s="51" t="s">
        <v>245</v>
      </c>
      <c r="C30" s="51" t="s">
        <v>246</v>
      </c>
      <c r="D30" s="9">
        <f t="shared" si="0"/>
        <v>50421.454963550539</v>
      </c>
      <c r="E30" s="10">
        <f t="shared" si="1"/>
        <v>366081.13855759241</v>
      </c>
      <c r="F30" s="11">
        <f t="shared" si="2"/>
        <v>1</v>
      </c>
      <c r="G30" s="11" t="str">
        <f t="shared" si="3"/>
        <v>0 00 08.63</v>
      </c>
      <c r="H30" s="12">
        <f t="shared" si="4"/>
        <v>1.0000407021893492</v>
      </c>
      <c r="I30" s="53" t="str">
        <f t="shared" si="5"/>
        <v>-32 22 40.93284</v>
      </c>
      <c r="J30" s="53" t="str">
        <f t="shared" si="6"/>
        <v>117 35 16.12244</v>
      </c>
      <c r="K30" s="54">
        <f t="shared" si="7"/>
        <v>1.0000407021893492</v>
      </c>
      <c r="L30" s="55" t="str">
        <f t="shared" si="8"/>
        <v>0 00 08.63</v>
      </c>
    </row>
    <row r="31" spans="1:12" x14ac:dyDescent="0.25">
      <c r="A31" s="50" t="s">
        <v>247</v>
      </c>
      <c r="B31" s="51" t="s">
        <v>248</v>
      </c>
      <c r="C31" s="51" t="s">
        <v>249</v>
      </c>
      <c r="D31" s="9">
        <f t="shared" si="0"/>
        <v>53521.18439614962</v>
      </c>
      <c r="E31" s="10">
        <f t="shared" si="1"/>
        <v>314052.17322937818</v>
      </c>
      <c r="F31" s="11">
        <f t="shared" si="2"/>
        <v>1</v>
      </c>
      <c r="G31" s="11" t="str">
        <f t="shared" si="3"/>
        <v>0 01 01.13</v>
      </c>
      <c r="H31" s="12">
        <f t="shared" si="4"/>
        <v>1.0000770730067519</v>
      </c>
      <c r="I31" s="53" t="str">
        <f t="shared" si="5"/>
        <v>-28 14 45.69922</v>
      </c>
      <c r="J31" s="53" t="str">
        <f t="shared" si="6"/>
        <v>122 43 09.15838</v>
      </c>
      <c r="K31" s="54">
        <f t="shared" si="7"/>
        <v>1.0000770730067521</v>
      </c>
      <c r="L31" s="55" t="str">
        <f t="shared" si="8"/>
        <v>0 01 01.13</v>
      </c>
    </row>
    <row r="32" spans="1:12" x14ac:dyDescent="0.25">
      <c r="A32" s="50" t="s">
        <v>250</v>
      </c>
      <c r="B32" s="51" t="s">
        <v>251</v>
      </c>
      <c r="C32" s="51" t="s">
        <v>252</v>
      </c>
      <c r="D32" s="9">
        <f t="shared" si="0"/>
        <v>50703.356817401283</v>
      </c>
      <c r="E32" s="10">
        <f t="shared" si="1"/>
        <v>466148.69803864788</v>
      </c>
      <c r="F32" s="11">
        <f t="shared" si="2"/>
        <v>1</v>
      </c>
      <c r="G32" s="11" t="str">
        <f t="shared" si="3"/>
        <v>0 00 15.17</v>
      </c>
      <c r="H32" s="12">
        <f t="shared" si="4"/>
        <v>1.0000358260959379</v>
      </c>
      <c r="I32" s="53" t="str">
        <f t="shared" si="5"/>
        <v>-33 43 48.14537</v>
      </c>
      <c r="J32" s="53" t="str">
        <f t="shared" si="6"/>
        <v>117 31 27.32092</v>
      </c>
      <c r="K32" s="54">
        <f t="shared" si="7"/>
        <v>1.0000358260959379</v>
      </c>
      <c r="L32" s="55" t="str">
        <f t="shared" si="8"/>
        <v>0 00 15.17</v>
      </c>
    </row>
    <row r="33" spans="1:12" x14ac:dyDescent="0.25">
      <c r="A33" s="50" t="s">
        <v>253</v>
      </c>
      <c r="B33" s="51" t="s">
        <v>254</v>
      </c>
      <c r="C33" s="51" t="s">
        <v>255</v>
      </c>
      <c r="D33" s="9">
        <f t="shared" si="0"/>
        <v>51792.649057753224</v>
      </c>
      <c r="E33" s="10">
        <f t="shared" si="1"/>
        <v>318760.87299047643</v>
      </c>
      <c r="F33" s="11">
        <f t="shared" si="2"/>
        <v>1</v>
      </c>
      <c r="G33" s="11" t="str">
        <f t="shared" si="3"/>
        <v>0 00 30.36</v>
      </c>
      <c r="H33" s="12">
        <f t="shared" si="4"/>
        <v>1.0000620696468643</v>
      </c>
      <c r="I33" s="53" t="str">
        <f t="shared" si="5"/>
        <v>-27 39 45.26053</v>
      </c>
      <c r="J33" s="53" t="str">
        <f t="shared" si="6"/>
        <v>117 55 57.97348</v>
      </c>
      <c r="K33" s="54">
        <f t="shared" si="7"/>
        <v>1.0000620696468641</v>
      </c>
      <c r="L33" s="55" t="str">
        <f t="shared" si="8"/>
        <v>0 00 30.36</v>
      </c>
    </row>
    <row r="34" spans="1:12" x14ac:dyDescent="0.25">
      <c r="A34" s="50" t="s">
        <v>256</v>
      </c>
      <c r="B34" s="51" t="s">
        <v>257</v>
      </c>
      <c r="C34" s="51" t="s">
        <v>258</v>
      </c>
      <c r="D34" s="9">
        <f t="shared" si="0"/>
        <v>50585.795937387506</v>
      </c>
      <c r="E34" s="10">
        <f t="shared" si="1"/>
        <v>339198.87394601386</v>
      </c>
      <c r="F34" s="11">
        <f t="shared" si="2"/>
        <v>1</v>
      </c>
      <c r="G34" s="11" t="str">
        <f t="shared" si="3"/>
        <v>0 00 11.80</v>
      </c>
      <c r="H34" s="12">
        <f t="shared" si="4"/>
        <v>1.0000444842300309</v>
      </c>
      <c r="I34" s="53" t="str">
        <f t="shared" si="5"/>
        <v>-31 56 38.43388</v>
      </c>
      <c r="J34" s="53" t="str">
        <f t="shared" si="6"/>
        <v>123 08 06.30312</v>
      </c>
      <c r="K34" s="54">
        <f t="shared" si="7"/>
        <v>1.0000444842300309</v>
      </c>
      <c r="L34" s="55" t="str">
        <f t="shared" si="8"/>
        <v>0 00 11.80</v>
      </c>
    </row>
    <row r="35" spans="1:12" x14ac:dyDescent="0.25">
      <c r="A35" s="50" t="s">
        <v>259</v>
      </c>
      <c r="B35" s="51" t="s">
        <v>260</v>
      </c>
      <c r="C35" s="51" t="s">
        <v>261</v>
      </c>
      <c r="D35" s="9">
        <f t="shared" si="0"/>
        <v>50246.277835722503</v>
      </c>
      <c r="E35" s="10">
        <f t="shared" si="1"/>
        <v>317904.80818530079</v>
      </c>
      <c r="F35" s="11">
        <f t="shared" si="2"/>
        <v>1</v>
      </c>
      <c r="G35" s="11" t="str">
        <f t="shared" si="3"/>
        <v>0 00 04.74</v>
      </c>
      <c r="H35" s="12">
        <f t="shared" si="4"/>
        <v>1.0000320507478446</v>
      </c>
      <c r="I35" s="53" t="str">
        <f t="shared" si="5"/>
        <v>-30 47 17.85844</v>
      </c>
      <c r="J35" s="53" t="str">
        <f t="shared" si="6"/>
        <v>115 37 39.26266</v>
      </c>
      <c r="K35" s="54">
        <f t="shared" si="7"/>
        <v>1.0000320507478446</v>
      </c>
      <c r="L35" s="55" t="str">
        <f t="shared" si="8"/>
        <v>0 00 04.74</v>
      </c>
    </row>
    <row r="36" spans="1:12" x14ac:dyDescent="0.25">
      <c r="A36" s="50" t="s">
        <v>262</v>
      </c>
      <c r="B36" s="51" t="s">
        <v>263</v>
      </c>
      <c r="C36" s="51" t="s">
        <v>264</v>
      </c>
      <c r="D36" s="9">
        <f t="shared" si="0"/>
        <v>51186.962692606023</v>
      </c>
      <c r="E36" s="10">
        <f t="shared" si="1"/>
        <v>346769.3387664021</v>
      </c>
      <c r="F36" s="11">
        <f t="shared" si="2"/>
        <v>1</v>
      </c>
      <c r="G36" s="11" t="str">
        <f t="shared" si="3"/>
        <v>0 00 20.32</v>
      </c>
      <c r="H36" s="12">
        <f t="shared" si="4"/>
        <v>1.0000661673807734</v>
      </c>
      <c r="I36" s="53" t="str">
        <f t="shared" si="5"/>
        <v>-27 55 10.37532</v>
      </c>
      <c r="J36" s="53" t="str">
        <f t="shared" si="6"/>
        <v>120 04 25.40723</v>
      </c>
      <c r="K36" s="54">
        <f t="shared" si="7"/>
        <v>1.0000661673807731</v>
      </c>
      <c r="L36" s="55" t="str">
        <f t="shared" si="8"/>
        <v>0 00 20.32</v>
      </c>
    </row>
    <row r="37" spans="1:12" x14ac:dyDescent="0.25">
      <c r="A37" s="50" t="s">
        <v>265</v>
      </c>
      <c r="B37" s="51" t="s">
        <v>266</v>
      </c>
      <c r="C37" s="51" t="s">
        <v>267</v>
      </c>
      <c r="D37" s="9">
        <f t="shared" si="0"/>
        <v>52692.781706663627</v>
      </c>
      <c r="E37" s="10">
        <f t="shared" si="1"/>
        <v>358620.02377226017</v>
      </c>
      <c r="F37" s="11">
        <f t="shared" si="2"/>
        <v>1</v>
      </c>
      <c r="G37" s="11" t="str">
        <f t="shared" si="3"/>
        <v>0 00 27.54</v>
      </c>
      <c r="H37" s="12">
        <f t="shared" si="4"/>
        <v>1.0000040196130087</v>
      </c>
      <c r="I37" s="53" t="str">
        <f t="shared" si="5"/>
        <v>-17 33 06.35134</v>
      </c>
      <c r="J37" s="53" t="str">
        <f t="shared" si="6"/>
        <v>123 42 31.30675</v>
      </c>
      <c r="K37" s="54">
        <f t="shared" si="7"/>
        <v>1.0000040196130087</v>
      </c>
      <c r="L37" s="55" t="str">
        <f t="shared" si="8"/>
        <v>0 00 27.54</v>
      </c>
    </row>
    <row r="38" spans="1:12" x14ac:dyDescent="0.25">
      <c r="A38" s="50" t="s">
        <v>268</v>
      </c>
      <c r="B38" s="51" t="s">
        <v>269</v>
      </c>
      <c r="C38" s="51" t="s">
        <v>270</v>
      </c>
      <c r="D38" s="9">
        <f t="shared" si="0"/>
        <v>54705.26713527563</v>
      </c>
      <c r="E38" s="10">
        <f t="shared" si="1"/>
        <v>351234.10108657135</v>
      </c>
      <c r="F38" s="11">
        <f t="shared" si="2"/>
        <v>1</v>
      </c>
      <c r="G38" s="11" t="str">
        <f t="shared" si="3"/>
        <v>0 01 10.56</v>
      </c>
      <c r="H38" s="12">
        <f t="shared" si="4"/>
        <v>1.0001001332712571</v>
      </c>
      <c r="I38" s="53" t="str">
        <f t="shared" si="5"/>
        <v>-24 53 27.92720</v>
      </c>
      <c r="J38" s="53" t="str">
        <f t="shared" si="6"/>
        <v>129 09 35.63118</v>
      </c>
      <c r="K38" s="54">
        <f t="shared" si="7"/>
        <v>1.0001001332712571</v>
      </c>
      <c r="L38" s="55" t="str">
        <f t="shared" si="8"/>
        <v>0 01 10.56</v>
      </c>
    </row>
    <row r="39" spans="1:12" x14ac:dyDescent="0.25">
      <c r="A39" s="50" t="s">
        <v>271</v>
      </c>
      <c r="B39" s="51" t="s">
        <v>272</v>
      </c>
      <c r="C39" s="51" t="s">
        <v>273</v>
      </c>
      <c r="D39" s="9">
        <f t="shared" si="0"/>
        <v>51347.092828456938</v>
      </c>
      <c r="E39" s="10">
        <f t="shared" si="1"/>
        <v>696638.60074301157</v>
      </c>
      <c r="F39" s="11">
        <f t="shared" si="2"/>
        <v>1</v>
      </c>
      <c r="G39" s="11" t="str">
        <f t="shared" si="3"/>
        <v>0 00 21.46</v>
      </c>
      <c r="H39" s="12">
        <f t="shared" si="4"/>
        <v>1.000084132393438</v>
      </c>
      <c r="I39" s="53" t="str">
        <f t="shared" si="5"/>
        <v>-26 14 14.02501</v>
      </c>
      <c r="J39" s="53" t="str">
        <f t="shared" si="6"/>
        <v>119 30 48.53214</v>
      </c>
      <c r="K39" s="54">
        <f t="shared" si="7"/>
        <v>1.0000841323934377</v>
      </c>
      <c r="L39" s="55" t="str">
        <f t="shared" si="8"/>
        <v>0 00 21.46</v>
      </c>
    </row>
    <row r="40" spans="1:12" x14ac:dyDescent="0.25">
      <c r="A40" s="50" t="s">
        <v>274</v>
      </c>
      <c r="B40" s="51" t="s">
        <v>275</v>
      </c>
      <c r="C40" s="51" t="s">
        <v>276</v>
      </c>
      <c r="D40" s="9">
        <f t="shared" si="0"/>
        <v>58344.954634986614</v>
      </c>
      <c r="E40" s="10">
        <f t="shared" si="1"/>
        <v>697367.0940252454</v>
      </c>
      <c r="F40" s="11">
        <f t="shared" si="2"/>
        <v>1</v>
      </c>
      <c r="G40" s="11" t="str">
        <f t="shared" si="3"/>
        <v>0 02 40.36</v>
      </c>
      <c r="H40" s="12">
        <f t="shared" si="4"/>
        <v>1.000041948635449</v>
      </c>
      <c r="I40" s="53" t="str">
        <f t="shared" si="5"/>
        <v>-30 44 35.07328</v>
      </c>
      <c r="J40" s="53" t="str">
        <f t="shared" si="6"/>
        <v>116 56 13.70926</v>
      </c>
      <c r="K40" s="54">
        <f t="shared" si="7"/>
        <v>1.000041948635449</v>
      </c>
      <c r="L40" s="55" t="str">
        <f t="shared" si="8"/>
        <v>0 02 40.36</v>
      </c>
    </row>
    <row r="41" spans="1:12" x14ac:dyDescent="0.25">
      <c r="A41" s="50" t="s">
        <v>277</v>
      </c>
      <c r="B41" s="51" t="s">
        <v>278</v>
      </c>
      <c r="C41" s="51" t="s">
        <v>279</v>
      </c>
      <c r="D41" s="9">
        <f t="shared" si="0"/>
        <v>50027.326663844702</v>
      </c>
      <c r="E41" s="10">
        <f t="shared" si="1"/>
        <v>375596.00580812851</v>
      </c>
      <c r="F41" s="11">
        <f t="shared" si="2"/>
        <v>1</v>
      </c>
      <c r="G41" s="11" t="str">
        <f t="shared" si="3"/>
        <v>0 00 00.25</v>
      </c>
      <c r="H41" s="12">
        <f t="shared" si="4"/>
        <v>1.0000248700092309</v>
      </c>
      <c r="I41" s="53" t="str">
        <f t="shared" si="5"/>
        <v>-15 35 26.83306</v>
      </c>
      <c r="J41" s="53" t="str">
        <f t="shared" si="6"/>
        <v>127 48 00.91724</v>
      </c>
      <c r="K41" s="54">
        <f t="shared" si="7"/>
        <v>1.0000248700092309</v>
      </c>
      <c r="L41" s="55" t="str">
        <f t="shared" si="8"/>
        <v>0 00 00.25</v>
      </c>
    </row>
    <row r="42" spans="1:12" x14ac:dyDescent="0.25">
      <c r="A42" s="50" t="s">
        <v>280</v>
      </c>
      <c r="B42" s="51" t="s">
        <v>281</v>
      </c>
      <c r="C42" s="51" t="s">
        <v>282</v>
      </c>
      <c r="D42" s="9">
        <f t="shared" si="0"/>
        <v>50163.007596833428</v>
      </c>
      <c r="E42" s="10">
        <f t="shared" si="1"/>
        <v>249538.19379887637</v>
      </c>
      <c r="F42" s="11">
        <f t="shared" si="2"/>
        <v>1</v>
      </c>
      <c r="G42" s="11" t="str">
        <f t="shared" si="3"/>
        <v>0 00 03.66</v>
      </c>
      <c r="H42" s="12">
        <f t="shared" si="4"/>
        <v>1.0000127103273524</v>
      </c>
      <c r="I42" s="53" t="str">
        <f t="shared" si="5"/>
        <v>-34 46 55.34846</v>
      </c>
      <c r="J42" s="53" t="str">
        <f t="shared" si="6"/>
        <v>118 20 06.41126</v>
      </c>
      <c r="K42" s="54">
        <f t="shared" si="7"/>
        <v>1.0000127103273524</v>
      </c>
      <c r="L42" s="55" t="str">
        <f t="shared" si="8"/>
        <v>0 00 03.66</v>
      </c>
    </row>
    <row r="43" spans="1:12" x14ac:dyDescent="0.25">
      <c r="A43" s="50" t="s">
        <v>283</v>
      </c>
      <c r="B43" s="51" t="s">
        <v>284</v>
      </c>
      <c r="C43" s="51" t="s">
        <v>285</v>
      </c>
      <c r="D43" s="9">
        <f t="shared" si="0"/>
        <v>52194.344749714364</v>
      </c>
      <c r="E43" s="10">
        <f t="shared" si="1"/>
        <v>363662.03991683898</v>
      </c>
      <c r="F43" s="11">
        <f t="shared" si="2"/>
        <v>1</v>
      </c>
      <c r="G43" s="11" t="str">
        <f t="shared" si="3"/>
        <v>0 00 27.40</v>
      </c>
      <c r="H43" s="12">
        <f t="shared" si="4"/>
        <v>1.0000415087852073</v>
      </c>
      <c r="I43" s="53" t="str">
        <f t="shared" si="5"/>
        <v>-21 07 08.03230</v>
      </c>
      <c r="J43" s="53" t="str">
        <f t="shared" si="6"/>
        <v>120 14 56.03694</v>
      </c>
      <c r="K43" s="54">
        <f t="shared" si="7"/>
        <v>1.0000415087852073</v>
      </c>
      <c r="L43" s="55" t="str">
        <f t="shared" si="8"/>
        <v>0 00 27.40</v>
      </c>
    </row>
    <row r="44" spans="1:12" x14ac:dyDescent="0.25">
      <c r="A44" s="50" t="s">
        <v>286</v>
      </c>
      <c r="B44" s="51" t="s">
        <v>287</v>
      </c>
      <c r="C44" s="51" t="s">
        <v>288</v>
      </c>
      <c r="D44" s="9">
        <f t="shared" si="0"/>
        <v>54215.236768838593</v>
      </c>
      <c r="E44" s="10">
        <f t="shared" si="1"/>
        <v>323885.48163335258</v>
      </c>
      <c r="F44" s="11">
        <f t="shared" si="2"/>
        <v>1</v>
      </c>
      <c r="G44" s="11" t="str">
        <f t="shared" si="3"/>
        <v>0 00 39.22</v>
      </c>
      <c r="H44" s="12">
        <f t="shared" si="4"/>
        <v>1.0000627596196749</v>
      </c>
      <c r="I44" s="53" t="str">
        <f t="shared" si="5"/>
        <v>-16 03 26.89985</v>
      </c>
      <c r="J44" s="53" t="str">
        <f t="shared" si="6"/>
        <v>126 55 52.80722</v>
      </c>
      <c r="K44" s="54">
        <f t="shared" si="7"/>
        <v>1.0000627596196749</v>
      </c>
      <c r="L44" s="55" t="str">
        <f t="shared" si="8"/>
        <v>0 00 39.22</v>
      </c>
    </row>
    <row r="45" spans="1:12" x14ac:dyDescent="0.25">
      <c r="A45" s="50" t="s">
        <v>289</v>
      </c>
      <c r="B45" s="51" t="s">
        <v>290</v>
      </c>
      <c r="C45" s="51" t="s">
        <v>291</v>
      </c>
      <c r="D45" s="9">
        <f t="shared" si="0"/>
        <v>52613.951768378851</v>
      </c>
      <c r="E45" s="10">
        <f t="shared" si="1"/>
        <v>350407.08191889804</v>
      </c>
      <c r="F45" s="11">
        <f t="shared" si="2"/>
        <v>1</v>
      </c>
      <c r="G45" s="11" t="str">
        <f t="shared" si="3"/>
        <v>0 00 52.00</v>
      </c>
      <c r="H45" s="12">
        <f t="shared" si="4"/>
        <v>1.0000059142349633</v>
      </c>
      <c r="I45" s="53" t="str">
        <f t="shared" si="5"/>
        <v>-31 37 07.30776</v>
      </c>
      <c r="J45" s="53" t="str">
        <f t="shared" si="6"/>
        <v>128 46 39.17752</v>
      </c>
      <c r="K45" s="54">
        <f t="shared" si="7"/>
        <v>1.0000059142349633</v>
      </c>
      <c r="L45" s="55" t="str">
        <f t="shared" si="8"/>
        <v>0 00 52.00</v>
      </c>
    </row>
    <row r="46" spans="1:12" x14ac:dyDescent="0.25">
      <c r="A46" s="50" t="s">
        <v>292</v>
      </c>
      <c r="B46" s="51" t="s">
        <v>293</v>
      </c>
      <c r="C46" s="51" t="s">
        <v>294</v>
      </c>
      <c r="D46" s="9">
        <f t="shared" si="0"/>
        <v>56720.341319249834</v>
      </c>
      <c r="E46" s="10">
        <f t="shared" si="1"/>
        <v>526348.99114539707</v>
      </c>
      <c r="F46" s="11">
        <f t="shared" si="2"/>
        <v>1</v>
      </c>
      <c r="G46" s="11" t="str">
        <f t="shared" si="3"/>
        <v>0 01 33.38</v>
      </c>
      <c r="H46" s="12">
        <f t="shared" si="4"/>
        <v>1.0000062476634577</v>
      </c>
      <c r="I46" s="53" t="str">
        <f t="shared" si="5"/>
        <v>-23 15 45.86076</v>
      </c>
      <c r="J46" s="53" t="str">
        <f t="shared" si="6"/>
        <v>114 04 56.43833</v>
      </c>
      <c r="K46" s="54">
        <f t="shared" si="7"/>
        <v>1.0000062476634577</v>
      </c>
      <c r="L46" s="55" t="str">
        <f t="shared" si="8"/>
        <v>0 01 33.38</v>
      </c>
    </row>
    <row r="47" spans="1:12" x14ac:dyDescent="0.25">
      <c r="A47" s="50" t="s">
        <v>295</v>
      </c>
      <c r="B47" s="51" t="s">
        <v>296</v>
      </c>
      <c r="C47" s="51" t="s">
        <v>297</v>
      </c>
      <c r="D47" s="9">
        <f t="shared" si="0"/>
        <v>54143.802116766768</v>
      </c>
      <c r="E47" s="10">
        <f t="shared" si="1"/>
        <v>359150.11834213929</v>
      </c>
      <c r="F47" s="11">
        <f t="shared" si="2"/>
        <v>1</v>
      </c>
      <c r="G47" s="11" t="str">
        <f t="shared" si="3"/>
        <v>0 01 29.17</v>
      </c>
      <c r="H47" s="12">
        <f t="shared" si="4"/>
        <v>1.000035821589051</v>
      </c>
      <c r="I47" s="53" t="str">
        <f t="shared" si="5"/>
        <v>-33 40 00.90757</v>
      </c>
      <c r="J47" s="53" t="str">
        <f t="shared" si="6"/>
        <v>119 33 40.84261</v>
      </c>
      <c r="K47" s="54">
        <f t="shared" si="7"/>
        <v>1.0000358215890508</v>
      </c>
      <c r="L47" s="55" t="str">
        <f t="shared" si="8"/>
        <v>0 01 29.17</v>
      </c>
    </row>
    <row r="48" spans="1:12" x14ac:dyDescent="0.25">
      <c r="A48" s="50" t="s">
        <v>298</v>
      </c>
      <c r="B48" s="51" t="s">
        <v>299</v>
      </c>
      <c r="C48" s="51" t="s">
        <v>300</v>
      </c>
      <c r="D48" s="9">
        <f t="shared" si="0"/>
        <v>50194.112439931858</v>
      </c>
      <c r="E48" s="10">
        <f t="shared" si="1"/>
        <v>375625.2880581331</v>
      </c>
      <c r="F48" s="11">
        <f t="shared" si="2"/>
        <v>1</v>
      </c>
      <c r="G48" s="11" t="str">
        <f t="shared" si="3"/>
        <v>0 00 02.08</v>
      </c>
      <c r="H48" s="12">
        <f t="shared" si="4"/>
        <v>1.0000224704656107</v>
      </c>
      <c r="I48" s="53" t="str">
        <f t="shared" si="5"/>
        <v>-18 18 04.63993</v>
      </c>
      <c r="J48" s="53" t="str">
        <f t="shared" si="6"/>
        <v>125 34 06.60958</v>
      </c>
      <c r="K48" s="54">
        <f t="shared" si="7"/>
        <v>1.0000224704656107</v>
      </c>
      <c r="L48" s="55" t="str">
        <f t="shared" si="8"/>
        <v>0 00 02.08</v>
      </c>
    </row>
    <row r="49" spans="1:12" x14ac:dyDescent="0.25">
      <c r="A49" s="50" t="s">
        <v>301</v>
      </c>
      <c r="B49" s="51" t="s">
        <v>302</v>
      </c>
      <c r="C49" s="51" t="s">
        <v>303</v>
      </c>
      <c r="D49" s="9">
        <f t="shared" si="0"/>
        <v>56547.582760441634</v>
      </c>
      <c r="E49" s="10">
        <f t="shared" si="1"/>
        <v>358799.99074710486</v>
      </c>
      <c r="F49" s="11">
        <f t="shared" si="2"/>
        <v>1</v>
      </c>
      <c r="G49" s="11" t="str">
        <f t="shared" si="3"/>
        <v>0 01 23.01</v>
      </c>
      <c r="H49" s="12">
        <f t="shared" si="4"/>
        <v>1.0000178095151286</v>
      </c>
      <c r="I49" s="53" t="str">
        <f t="shared" si="5"/>
        <v>-21 24 57.25764</v>
      </c>
      <c r="J49" s="53" t="str">
        <f t="shared" si="6"/>
        <v>115 59 47.34341</v>
      </c>
      <c r="K49" s="54">
        <f t="shared" si="7"/>
        <v>1.0000178095151284</v>
      </c>
      <c r="L49" s="55" t="str">
        <f t="shared" si="8"/>
        <v>0 01 23.01</v>
      </c>
    </row>
    <row r="50" spans="1:12" x14ac:dyDescent="0.25">
      <c r="A50" s="50" t="s">
        <v>304</v>
      </c>
      <c r="B50" s="51" t="s">
        <v>305</v>
      </c>
      <c r="C50" s="51" t="s">
        <v>306</v>
      </c>
      <c r="D50" s="9">
        <f t="shared" si="0"/>
        <v>50741.71135966594</v>
      </c>
      <c r="E50" s="10">
        <f t="shared" si="1"/>
        <v>330646.73528401926</v>
      </c>
      <c r="F50" s="11">
        <f t="shared" si="2"/>
        <v>1</v>
      </c>
      <c r="G50" s="11" t="str">
        <f t="shared" si="3"/>
        <v>0 00 16.56</v>
      </c>
      <c r="H50" s="12">
        <f t="shared" si="4"/>
        <v>1.000016036777666</v>
      </c>
      <c r="I50" s="53" t="str">
        <f t="shared" si="5"/>
        <v>-34 39 17.09939</v>
      </c>
      <c r="J50" s="53" t="str">
        <f t="shared" si="6"/>
        <v>116 27 42.12752</v>
      </c>
      <c r="K50" s="54">
        <f t="shared" si="7"/>
        <v>1.000016036777666</v>
      </c>
      <c r="L50" s="55" t="str">
        <f t="shared" si="8"/>
        <v>0 00 16.56</v>
      </c>
    </row>
    <row r="51" spans="1:12" x14ac:dyDescent="0.25">
      <c r="A51" s="50" t="s">
        <v>307</v>
      </c>
      <c r="B51" s="51" t="s">
        <v>308</v>
      </c>
      <c r="C51" s="51" t="s">
        <v>309</v>
      </c>
      <c r="D51" s="9">
        <f>grideasting(B51,C51,A51)</f>
        <v>56522.441761528855</v>
      </c>
      <c r="E51" s="10">
        <f>gridnorthing(B51,C51,A51)</f>
        <v>356807.8113556914</v>
      </c>
      <c r="F51" s="11">
        <f t="shared" si="2"/>
        <v>1</v>
      </c>
      <c r="G51" s="11" t="str">
        <f t="shared" si="3"/>
        <v>0 02 11.73</v>
      </c>
      <c r="H51" s="12">
        <f t="shared" si="4"/>
        <v>1.0000437344037174</v>
      </c>
      <c r="I51" s="53" t="str">
        <f t="shared" si="5"/>
        <v>-32 00 38.45790</v>
      </c>
      <c r="J51" s="53" t="str">
        <f t="shared" si="6"/>
        <v>122 32 08.51006</v>
      </c>
      <c r="K51" s="54">
        <f>DatumPntScle(D51,E51,F51,A51)</f>
        <v>1.0000437344037172</v>
      </c>
      <c r="L51" s="55" t="str">
        <f t="shared" si="8"/>
        <v>0 02 11.73</v>
      </c>
    </row>
    <row r="52" spans="1:12" x14ac:dyDescent="0.25">
      <c r="A52" s="50" t="s">
        <v>310</v>
      </c>
      <c r="B52" s="51" t="s">
        <v>311</v>
      </c>
      <c r="C52" s="51" t="s">
        <v>312</v>
      </c>
      <c r="D52" s="9">
        <f t="shared" si="0"/>
        <v>50737.920476927255</v>
      </c>
      <c r="E52" s="10">
        <f t="shared" si="1"/>
        <v>317976.49422221584</v>
      </c>
      <c r="F52" s="11">
        <f t="shared" si="2"/>
        <v>1</v>
      </c>
      <c r="G52" s="11" t="str">
        <f t="shared" si="3"/>
        <v>0 00 12.94</v>
      </c>
      <c r="H52" s="12">
        <f t="shared" si="4"/>
        <v>1.0000473767169886</v>
      </c>
      <c r="I52" s="53" t="str">
        <f t="shared" si="5"/>
        <v>-28 28 55.70594</v>
      </c>
      <c r="J52" s="53" t="str">
        <f t="shared" si="6"/>
        <v>116 21 31.04798</v>
      </c>
      <c r="K52" s="54">
        <f t="shared" si="7"/>
        <v>1.0000473767169886</v>
      </c>
      <c r="L52" s="55" t="str">
        <f t="shared" si="8"/>
        <v>0 00 12.94</v>
      </c>
    </row>
    <row r="53" spans="1:12" x14ac:dyDescent="0.25">
      <c r="A53" s="50" t="s">
        <v>313</v>
      </c>
      <c r="B53" s="51" t="s">
        <v>314</v>
      </c>
      <c r="C53" s="51" t="s">
        <v>315</v>
      </c>
      <c r="D53" s="9">
        <f t="shared" si="0"/>
        <v>55303.406167742069</v>
      </c>
      <c r="E53" s="10">
        <f t="shared" si="1"/>
        <v>307487.86007153918</v>
      </c>
      <c r="F53" s="11">
        <f t="shared" si="2"/>
        <v>1</v>
      </c>
      <c r="G53" s="11" t="str">
        <f t="shared" si="3"/>
        <v>0 00 51.59</v>
      </c>
      <c r="H53" s="12">
        <f t="shared" si="4"/>
        <v>1.0000702676129214</v>
      </c>
      <c r="I53" s="53" t="str">
        <f t="shared" si="5"/>
        <v>-16 44 51.59994</v>
      </c>
      <c r="J53" s="53" t="str">
        <f t="shared" si="6"/>
        <v>125 52 59.04350</v>
      </c>
      <c r="K53" s="54">
        <f t="shared" si="7"/>
        <v>1.0000702676129214</v>
      </c>
      <c r="L53" s="55" t="str">
        <f t="shared" si="8"/>
        <v>0 00 51.59</v>
      </c>
    </row>
    <row r="54" spans="1:12" x14ac:dyDescent="0.25">
      <c r="A54" s="50" t="s">
        <v>316</v>
      </c>
      <c r="B54" s="51" t="s">
        <v>317</v>
      </c>
      <c r="C54" s="51" t="s">
        <v>318</v>
      </c>
      <c r="D54" s="9">
        <f t="shared" si="0"/>
        <v>53056.637325157892</v>
      </c>
      <c r="E54" s="10">
        <f t="shared" si="1"/>
        <v>351487.0151076247</v>
      </c>
      <c r="F54" s="11">
        <f t="shared" si="2"/>
        <v>1</v>
      </c>
      <c r="G54" s="11" t="str">
        <f t="shared" si="3"/>
        <v>0 00 46.15</v>
      </c>
      <c r="H54" s="12">
        <f t="shared" si="4"/>
        <v>1.0000203853283829</v>
      </c>
      <c r="I54" s="53" t="str">
        <f t="shared" si="5"/>
        <v>-25 02 23.07019</v>
      </c>
      <c r="J54" s="53" t="str">
        <f t="shared" si="6"/>
        <v>115 19 19.03620</v>
      </c>
      <c r="K54" s="54">
        <f t="shared" si="7"/>
        <v>1.0000203853283829</v>
      </c>
      <c r="L54" s="55" t="str">
        <f t="shared" si="8"/>
        <v>0 00 46.15</v>
      </c>
    </row>
    <row r="55" spans="1:12" x14ac:dyDescent="0.25">
      <c r="A55" s="50" t="s">
        <v>319</v>
      </c>
      <c r="B55" s="51" t="s">
        <v>320</v>
      </c>
      <c r="C55" s="51" t="s">
        <v>321</v>
      </c>
      <c r="D55" s="9">
        <f t="shared" si="0"/>
        <v>56280.469524663022</v>
      </c>
      <c r="E55" s="10">
        <f t="shared" si="1"/>
        <v>199322.39697567746</v>
      </c>
      <c r="F55" s="11">
        <f t="shared" si="2"/>
        <v>1</v>
      </c>
      <c r="G55" s="11" t="str">
        <f t="shared" si="3"/>
        <v>0 01 02.79</v>
      </c>
      <c r="H55" s="12">
        <f t="shared" si="4"/>
        <v>1.0000161974939052</v>
      </c>
      <c r="I55" s="53" t="str">
        <f t="shared" si="5"/>
        <v>-17 11 01.62913</v>
      </c>
      <c r="J55" s="53" t="str">
        <f t="shared" si="6"/>
        <v>124 36 32.53068</v>
      </c>
      <c r="K55" s="54">
        <f t="shared" si="7"/>
        <v>1.0000161974939055</v>
      </c>
      <c r="L55" s="55" t="str">
        <f t="shared" si="8"/>
        <v>0 01 02.79</v>
      </c>
    </row>
    <row r="56" spans="1:12" x14ac:dyDescent="0.25">
      <c r="A56" s="50" t="s">
        <v>322</v>
      </c>
      <c r="B56" s="51" t="s">
        <v>323</v>
      </c>
      <c r="C56" s="51" t="s">
        <v>324</v>
      </c>
      <c r="D56" s="9">
        <f t="shared" si="0"/>
        <v>102138.66810751411</v>
      </c>
      <c r="E56" s="10">
        <f t="shared" si="1"/>
        <v>297096.87460001558</v>
      </c>
      <c r="F56" s="11">
        <f t="shared" si="2"/>
        <v>1</v>
      </c>
      <c r="G56" s="11" t="str">
        <f t="shared" si="3"/>
        <v>0 00 20.04</v>
      </c>
      <c r="H56" s="12">
        <f t="shared" si="4"/>
        <v>1.0000781965329362</v>
      </c>
      <c r="I56" s="53" t="str">
        <f t="shared" si="5"/>
        <v>-16 09 49.48679</v>
      </c>
      <c r="J56" s="53" t="str">
        <f t="shared" si="6"/>
        <v>126 22 32.98537</v>
      </c>
      <c r="K56" s="54">
        <f t="shared" si="7"/>
        <v>1.0000781965329362</v>
      </c>
      <c r="L56" s="55" t="str">
        <f t="shared" si="8"/>
        <v>0 00 20.04</v>
      </c>
    </row>
    <row r="57" spans="1:12" x14ac:dyDescent="0.25">
      <c r="A57" s="50" t="s">
        <v>325</v>
      </c>
      <c r="B57" s="51" t="s">
        <v>326</v>
      </c>
      <c r="C57" s="51" t="s">
        <v>327</v>
      </c>
      <c r="D57" s="9">
        <f t="shared" si="0"/>
        <v>50150.678664067513</v>
      </c>
      <c r="E57" s="10">
        <f t="shared" si="1"/>
        <v>332915.30452517141</v>
      </c>
      <c r="F57" s="11">
        <f t="shared" si="2"/>
        <v>1</v>
      </c>
      <c r="G57" s="11" t="str">
        <f t="shared" si="3"/>
        <v>0 00 02.30</v>
      </c>
      <c r="H57" s="12">
        <f t="shared" si="4"/>
        <v>1.0000849302802231</v>
      </c>
      <c r="I57" s="53" t="str">
        <f t="shared" si="5"/>
        <v>-25 17 45.71020</v>
      </c>
      <c r="J57" s="53" t="str">
        <f t="shared" si="6"/>
        <v>127 53 22.38590</v>
      </c>
      <c r="K57" s="54">
        <f t="shared" si="7"/>
        <v>1.0000849302802231</v>
      </c>
      <c r="L57" s="55" t="str">
        <f t="shared" si="8"/>
        <v>0 00 02.30</v>
      </c>
    </row>
    <row r="58" spans="1:12" x14ac:dyDescent="0.25">
      <c r="A58" s="50" t="s">
        <v>328</v>
      </c>
      <c r="B58" s="51" t="s">
        <v>329</v>
      </c>
      <c r="C58" s="51" t="s">
        <v>330</v>
      </c>
      <c r="D58" s="9">
        <f t="shared" si="0"/>
        <v>51888.901590978319</v>
      </c>
      <c r="E58" s="10">
        <f t="shared" si="1"/>
        <v>314601.76067365613</v>
      </c>
      <c r="F58" s="11">
        <f t="shared" si="2"/>
        <v>1</v>
      </c>
      <c r="G58" s="11" t="str">
        <f t="shared" si="3"/>
        <v>0 00 25.25</v>
      </c>
      <c r="H58" s="12">
        <f t="shared" si="4"/>
        <v>1.0000042840622576</v>
      </c>
      <c r="I58" s="53" t="str">
        <f t="shared" si="5"/>
        <v>-22 27 57.12300</v>
      </c>
      <c r="J58" s="53" t="str">
        <f t="shared" si="6"/>
        <v>114 44 06.06995</v>
      </c>
      <c r="K58" s="54">
        <f t="shared" si="7"/>
        <v>1.0000042840622574</v>
      </c>
      <c r="L58" s="55" t="str">
        <f t="shared" si="8"/>
        <v>0 00 25.25</v>
      </c>
    </row>
    <row r="59" spans="1:12" x14ac:dyDescent="0.25">
      <c r="A59" s="50" t="s">
        <v>331</v>
      </c>
      <c r="B59" s="51" t="s">
        <v>332</v>
      </c>
      <c r="C59" s="51" t="s">
        <v>333</v>
      </c>
      <c r="D59" s="9">
        <f t="shared" si="0"/>
        <v>51428.913584897957</v>
      </c>
      <c r="E59" s="10">
        <f t="shared" si="1"/>
        <v>370069.9957749485</v>
      </c>
      <c r="F59" s="11">
        <f t="shared" si="2"/>
        <v>1</v>
      </c>
      <c r="G59" s="11" t="str">
        <f t="shared" si="3"/>
        <v>0 00 29.74</v>
      </c>
      <c r="H59" s="12">
        <f t="shared" si="4"/>
        <v>1.0000444951642931</v>
      </c>
      <c r="I59" s="53" t="str">
        <f t="shared" si="5"/>
        <v>-32 47 34.06261</v>
      </c>
      <c r="J59" s="53" t="str">
        <f t="shared" si="6"/>
        <v>116 40 54.91409</v>
      </c>
      <c r="K59" s="54">
        <f t="shared" si="7"/>
        <v>1.0000444951642928</v>
      </c>
      <c r="L59" s="55" t="str">
        <f t="shared" si="8"/>
        <v>0 00 29.74</v>
      </c>
    </row>
    <row r="60" spans="1:12" x14ac:dyDescent="0.25">
      <c r="A60" s="50" t="s">
        <v>334</v>
      </c>
      <c r="B60" s="51" t="s">
        <v>335</v>
      </c>
      <c r="C60" s="51" t="s">
        <v>336</v>
      </c>
      <c r="D60" s="9">
        <f t="shared" si="0"/>
        <v>50263.458610303147</v>
      </c>
      <c r="E60" s="10">
        <f t="shared" si="1"/>
        <v>382457.00482250284</v>
      </c>
      <c r="F60" s="11">
        <f t="shared" si="2"/>
        <v>1</v>
      </c>
      <c r="G60" s="11" t="str">
        <f t="shared" si="3"/>
        <v>0 00 02.59</v>
      </c>
      <c r="H60" s="12">
        <f t="shared" si="4"/>
        <v>1.0000476108578531</v>
      </c>
      <c r="I60" s="53" t="str">
        <f t="shared" si="5"/>
        <v>-16 53 01.89535</v>
      </c>
      <c r="J60" s="53" t="str">
        <f t="shared" si="6"/>
        <v>128 10 08.90094</v>
      </c>
      <c r="K60" s="54">
        <f t="shared" si="7"/>
        <v>1.0000476108578531</v>
      </c>
      <c r="L60" s="55" t="str">
        <f t="shared" si="8"/>
        <v>0 00 02.59</v>
      </c>
    </row>
    <row r="61" spans="1:12" x14ac:dyDescent="0.25">
      <c r="A61" s="50" t="s">
        <v>337</v>
      </c>
      <c r="B61" s="51" t="s">
        <v>338</v>
      </c>
      <c r="C61" s="51" t="s">
        <v>339</v>
      </c>
      <c r="D61" s="9">
        <f t="shared" si="0"/>
        <v>56246.111226333574</v>
      </c>
      <c r="E61" s="10">
        <f t="shared" si="1"/>
        <v>282398.70808815071</v>
      </c>
      <c r="F61" s="11">
        <f t="shared" si="2"/>
        <v>1</v>
      </c>
      <c r="G61" s="11" t="str">
        <f t="shared" si="3"/>
        <v>0 01 08.31</v>
      </c>
      <c r="H61" s="12">
        <f t="shared" si="4"/>
        <v>1.0000568920554784</v>
      </c>
      <c r="I61" s="53" t="str">
        <f t="shared" si="5"/>
        <v>-18 41 28.21124</v>
      </c>
      <c r="J61" s="53" t="str">
        <f t="shared" si="6"/>
        <v>127 50 33.15624</v>
      </c>
      <c r="K61" s="54">
        <f t="shared" si="7"/>
        <v>1.0000568920554784</v>
      </c>
      <c r="L61" s="55" t="str">
        <f t="shared" si="8"/>
        <v>0 01 08.31</v>
      </c>
    </row>
    <row r="62" spans="1:12" x14ac:dyDescent="0.25">
      <c r="A62" s="50" t="s">
        <v>340</v>
      </c>
      <c r="B62" s="51" t="s">
        <v>341</v>
      </c>
      <c r="C62" s="51" t="s">
        <v>342</v>
      </c>
      <c r="D62" s="9">
        <f t="shared" si="0"/>
        <v>52238.397320821314</v>
      </c>
      <c r="E62" s="10">
        <f t="shared" si="1"/>
        <v>385237.96622713329</v>
      </c>
      <c r="F62" s="11">
        <f t="shared" si="2"/>
        <v>1</v>
      </c>
      <c r="G62" s="11" t="str">
        <f t="shared" si="3"/>
        <v>0 00 50.13</v>
      </c>
      <c r="H62" s="12">
        <f t="shared" si="4"/>
        <v>1.0000099617277003</v>
      </c>
      <c r="I62" s="53" t="str">
        <f t="shared" si="5"/>
        <v>-34 43 50.72869</v>
      </c>
      <c r="J62" s="53" t="str">
        <f t="shared" si="6"/>
        <v>117 00 27.98435</v>
      </c>
      <c r="K62" s="54">
        <f t="shared" si="7"/>
        <v>1.0000099617277001</v>
      </c>
      <c r="L62" s="55" t="str">
        <f t="shared" si="8"/>
        <v>0 00 50.13</v>
      </c>
    </row>
    <row r="63" spans="1:12" x14ac:dyDescent="0.25">
      <c r="A63" s="50" t="s">
        <v>343</v>
      </c>
      <c r="B63" s="51" t="s">
        <v>344</v>
      </c>
      <c r="C63" s="51" t="s">
        <v>345</v>
      </c>
      <c r="D63" s="9">
        <f t="shared" si="0"/>
        <v>51080.311838909467</v>
      </c>
      <c r="E63" s="10">
        <f t="shared" si="1"/>
        <v>335537.37097879313</v>
      </c>
      <c r="F63" s="11">
        <f t="shared" si="2"/>
        <v>1</v>
      </c>
      <c r="G63" s="11" t="str">
        <f t="shared" si="3"/>
        <v>0 00 22.75</v>
      </c>
      <c r="H63" s="12">
        <f t="shared" si="4"/>
        <v>1.0000462143827333</v>
      </c>
      <c r="I63" s="53" t="str">
        <f t="shared" si="5"/>
        <v>-33 06 14.75953</v>
      </c>
      <c r="J63" s="53" t="str">
        <f t="shared" si="6"/>
        <v>120 20 41.66279</v>
      </c>
      <c r="K63" s="54">
        <f t="shared" si="7"/>
        <v>1.0000462143827333</v>
      </c>
      <c r="L63" s="55" t="str">
        <f t="shared" si="8"/>
        <v>0 00 22.75</v>
      </c>
    </row>
    <row r="64" spans="1:12" x14ac:dyDescent="0.25">
      <c r="A64" s="50" t="s">
        <v>346</v>
      </c>
      <c r="B64" s="51" t="s">
        <v>347</v>
      </c>
      <c r="C64" s="51" t="s">
        <v>348</v>
      </c>
      <c r="D64" s="9">
        <f t="shared" si="0"/>
        <v>51713.769567179676</v>
      </c>
      <c r="E64" s="10">
        <f t="shared" si="1"/>
        <v>355375.0429756986</v>
      </c>
      <c r="F64" s="11">
        <f t="shared" si="2"/>
        <v>1</v>
      </c>
      <c r="G64" s="11" t="str">
        <f t="shared" si="3"/>
        <v>0 00 22.29</v>
      </c>
      <c r="H64" s="12">
        <f t="shared" si="4"/>
        <v>1.0000712162712866</v>
      </c>
      <c r="I64" s="53" t="str">
        <f t="shared" si="5"/>
        <v>-21 54 56.07551</v>
      </c>
      <c r="J64" s="53" t="str">
        <f t="shared" si="6"/>
        <v>117 42 59.70715</v>
      </c>
      <c r="K64" s="54">
        <f t="shared" si="7"/>
        <v>1.0000712162712866</v>
      </c>
      <c r="L64" s="55" t="str">
        <f t="shared" si="8"/>
        <v>0 00 22.29</v>
      </c>
    </row>
    <row r="65" spans="1:12" x14ac:dyDescent="0.25">
      <c r="A65" s="50" t="s">
        <v>349</v>
      </c>
      <c r="B65" s="51" t="s">
        <v>350</v>
      </c>
      <c r="C65" s="51" t="s">
        <v>351</v>
      </c>
      <c r="D65" s="9">
        <f t="shared" si="0"/>
        <v>100730.15279392146</v>
      </c>
      <c r="E65" s="10">
        <f t="shared" si="1"/>
        <v>322730.84847534075</v>
      </c>
      <c r="F65" s="11">
        <f t="shared" si="2"/>
        <v>1</v>
      </c>
      <c r="G65" s="11" t="str">
        <f t="shared" si="3"/>
        <v>0 00 14.60</v>
      </c>
      <c r="H65" s="12">
        <f t="shared" si="4"/>
        <v>1.0000124665721737</v>
      </c>
      <c r="I65" s="53" t="str">
        <f t="shared" si="5"/>
        <v>-31 45 35.52023</v>
      </c>
      <c r="J65" s="53" t="str">
        <f t="shared" si="6"/>
        <v>128 10 17.74495</v>
      </c>
      <c r="K65" s="54">
        <f t="shared" si="7"/>
        <v>1.0000124665721739</v>
      </c>
      <c r="L65" s="55" t="str">
        <f t="shared" si="8"/>
        <v>0 00 14.60</v>
      </c>
    </row>
    <row r="66" spans="1:12" x14ac:dyDescent="0.25">
      <c r="A66" s="50" t="s">
        <v>352</v>
      </c>
      <c r="B66" s="51" t="s">
        <v>353</v>
      </c>
      <c r="C66" s="51" t="s">
        <v>354</v>
      </c>
      <c r="D66" s="9">
        <f t="shared" si="0"/>
        <v>59200.289975187203</v>
      </c>
      <c r="E66" s="10">
        <f t="shared" si="1"/>
        <v>333072.88707841886</v>
      </c>
      <c r="F66" s="11">
        <f t="shared" si="2"/>
        <v>1</v>
      </c>
      <c r="G66" s="11" t="str">
        <f t="shared" si="3"/>
        <v>0 03 07.36</v>
      </c>
      <c r="H66" s="12">
        <f t="shared" si="4"/>
        <v>1.0000288533630552</v>
      </c>
      <c r="I66" s="53" t="str">
        <f t="shared" si="5"/>
        <v>-32 13 30.69250</v>
      </c>
      <c r="J66" s="53" t="str">
        <f t="shared" si="6"/>
        <v>123 19 51.36434</v>
      </c>
      <c r="K66" s="54">
        <f t="shared" si="7"/>
        <v>1.0000288533630555</v>
      </c>
      <c r="L66" s="55" t="str">
        <f t="shared" si="8"/>
        <v>0 03 07.36</v>
      </c>
    </row>
    <row r="67" spans="1:12" x14ac:dyDescent="0.25">
      <c r="A67" s="50" t="s">
        <v>355</v>
      </c>
      <c r="B67" s="51" t="s">
        <v>356</v>
      </c>
      <c r="C67" s="51" t="s">
        <v>357</v>
      </c>
      <c r="D67" s="9">
        <f t="shared" ref="D67:D130" si="9">grideasting(B67,C67,A67)</f>
        <v>51124.562093938337</v>
      </c>
      <c r="E67" s="10">
        <f t="shared" ref="E67:E130" si="10">gridnorthing(B67,C67,A67)</f>
        <v>317878.75303174159</v>
      </c>
      <c r="F67" s="11">
        <f t="shared" ref="F67:F130" si="11">gridzone(B67,C67,A67)</f>
        <v>1</v>
      </c>
      <c r="G67" s="11" t="str">
        <f t="shared" ref="G67:G130" si="12">GridGridCon(B67,C67,A67)</f>
        <v>0 00 10.42</v>
      </c>
      <c r="H67" s="12">
        <f t="shared" ref="H67:H130" si="13">GridPntScleFact(B67,C67,A67)</f>
        <v>1.0000522256315501</v>
      </c>
      <c r="I67" s="53" t="str">
        <f t="shared" ref="I67:I130" si="14">datumlat(D67,E67,F67,A67)</f>
        <v>-15 59 40.01284</v>
      </c>
      <c r="J67" s="53" t="str">
        <f t="shared" ref="J67:J130" si="15">datumlong(D67,E67,F67,A67)</f>
        <v>127 24 46.82056</v>
      </c>
      <c r="K67" s="54">
        <f t="shared" ref="K67:K130" si="16">DatumPntScle(D67,E67,F67,A67)</f>
        <v>1.0000522256315498</v>
      </c>
      <c r="L67" s="55" t="str">
        <f t="shared" ref="L67:L130" si="17">DatumGridConv(D67,E67,F67,A67)</f>
        <v>0 00 10.42</v>
      </c>
    </row>
    <row r="68" spans="1:12" x14ac:dyDescent="0.25">
      <c r="A68" s="50" t="s">
        <v>358</v>
      </c>
      <c r="B68" s="51" t="s">
        <v>359</v>
      </c>
      <c r="C68" s="51" t="s">
        <v>360</v>
      </c>
      <c r="D68" s="9">
        <f t="shared" si="9"/>
        <v>49316.23868561221</v>
      </c>
      <c r="E68" s="10">
        <f t="shared" si="10"/>
        <v>356195.66890225746</v>
      </c>
      <c r="F68" s="11">
        <f t="shared" si="11"/>
        <v>1</v>
      </c>
      <c r="G68" s="11" t="str">
        <f t="shared" si="12"/>
        <v>0 00 14.80</v>
      </c>
      <c r="H68" s="12">
        <f t="shared" si="13"/>
        <v>1.0000086657610476</v>
      </c>
      <c r="I68" s="53" t="str">
        <f t="shared" si="14"/>
        <v>-33 49 14.47252</v>
      </c>
      <c r="J68" s="53" t="str">
        <f t="shared" si="15"/>
        <v>120 06 33.41153</v>
      </c>
      <c r="K68" s="54">
        <f t="shared" si="16"/>
        <v>1.0000086657610476</v>
      </c>
      <c r="L68" s="55" t="str">
        <f t="shared" si="17"/>
        <v>0 00 14.80</v>
      </c>
    </row>
    <row r="69" spans="1:12" x14ac:dyDescent="0.25">
      <c r="A69" s="50" t="s">
        <v>361</v>
      </c>
      <c r="B69" s="51" t="s">
        <v>362</v>
      </c>
      <c r="C69" s="51" t="s">
        <v>363</v>
      </c>
      <c r="D69" s="9">
        <f t="shared" si="9"/>
        <v>49350.731699298325</v>
      </c>
      <c r="E69" s="10">
        <f t="shared" si="10"/>
        <v>544786.69297310803</v>
      </c>
      <c r="F69" s="11">
        <f t="shared" si="11"/>
        <v>1</v>
      </c>
      <c r="G69" s="11" t="str">
        <f t="shared" si="12"/>
        <v>0 00 13.17</v>
      </c>
      <c r="H69" s="12">
        <f t="shared" si="13"/>
        <v>1.0000347251962187</v>
      </c>
      <c r="I69" s="53" t="str">
        <f t="shared" si="14"/>
        <v>-32 07 09.75590</v>
      </c>
      <c r="J69" s="53" t="str">
        <f t="shared" si="15"/>
        <v>116 13 35.23289</v>
      </c>
      <c r="K69" s="54">
        <f t="shared" si="16"/>
        <v>1.0000347251962187</v>
      </c>
      <c r="L69" s="55" t="str">
        <f t="shared" si="17"/>
        <v>0 00 13.17</v>
      </c>
    </row>
    <row r="70" spans="1:12" x14ac:dyDescent="0.25">
      <c r="A70" s="50" t="s">
        <v>364</v>
      </c>
      <c r="B70" s="51" t="s">
        <v>365</v>
      </c>
      <c r="C70" s="51" t="s">
        <v>366</v>
      </c>
      <c r="D70" s="9">
        <f t="shared" si="9"/>
        <v>54239.725276886624</v>
      </c>
      <c r="E70" s="10">
        <f t="shared" si="10"/>
        <v>403208.24461455923</v>
      </c>
      <c r="F70" s="11">
        <f t="shared" si="11"/>
        <v>1</v>
      </c>
      <c r="G70" s="11" t="str">
        <f t="shared" si="12"/>
        <v>0 01 27.24</v>
      </c>
      <c r="H70" s="12">
        <f t="shared" si="13"/>
        <v>1.0000455615518979</v>
      </c>
      <c r="I70" s="53" t="str">
        <f t="shared" si="14"/>
        <v>-32 29 38.24185</v>
      </c>
      <c r="J70" s="53" t="str">
        <f t="shared" si="15"/>
        <v>119 02 42.39438</v>
      </c>
      <c r="K70" s="54">
        <f t="shared" si="16"/>
        <v>1.0000455615518979</v>
      </c>
      <c r="L70" s="55" t="str">
        <f t="shared" si="17"/>
        <v>0 01 27.24</v>
      </c>
    </row>
    <row r="71" spans="1:12" x14ac:dyDescent="0.25">
      <c r="A71" s="50" t="s">
        <v>367</v>
      </c>
      <c r="B71" s="51" t="s">
        <v>368</v>
      </c>
      <c r="C71" s="51" t="s">
        <v>369</v>
      </c>
      <c r="D71" s="9">
        <f t="shared" si="9"/>
        <v>50778.436718789002</v>
      </c>
      <c r="E71" s="10">
        <f t="shared" si="10"/>
        <v>314855.7287048276</v>
      </c>
      <c r="F71" s="11">
        <f t="shared" si="11"/>
        <v>1</v>
      </c>
      <c r="G71" s="11" t="str">
        <f t="shared" si="12"/>
        <v>0 00 07.76</v>
      </c>
      <c r="H71" s="12">
        <f t="shared" si="13"/>
        <v>1.000064067488821</v>
      </c>
      <c r="I71" s="53" t="str">
        <f t="shared" si="14"/>
        <v>-17 07 58.68926</v>
      </c>
      <c r="J71" s="53" t="str">
        <f t="shared" si="15"/>
        <v>125 25 55.33381</v>
      </c>
      <c r="K71" s="54">
        <f t="shared" si="16"/>
        <v>1.000064067488821</v>
      </c>
      <c r="L71" s="55" t="str">
        <f t="shared" si="17"/>
        <v>0 00 07.76</v>
      </c>
    </row>
    <row r="72" spans="1:12" x14ac:dyDescent="0.25">
      <c r="A72" s="50" t="s">
        <v>370</v>
      </c>
      <c r="B72" s="51" t="s">
        <v>371</v>
      </c>
      <c r="C72" s="51" t="s">
        <v>372</v>
      </c>
      <c r="D72" s="9">
        <f t="shared" si="9"/>
        <v>50870.793518964761</v>
      </c>
      <c r="E72" s="10">
        <f t="shared" si="10"/>
        <v>362121.46174381394</v>
      </c>
      <c r="F72" s="11">
        <f t="shared" si="11"/>
        <v>1</v>
      </c>
      <c r="G72" s="11" t="str">
        <f t="shared" si="12"/>
        <v>0 00 19.00</v>
      </c>
      <c r="H72" s="12">
        <f t="shared" si="13"/>
        <v>1.0000347293431024</v>
      </c>
      <c r="I72" s="53" t="str">
        <f t="shared" si="14"/>
        <v>-34 02 12.61903</v>
      </c>
      <c r="J72" s="53" t="str">
        <f t="shared" si="15"/>
        <v>118 54 33.94609</v>
      </c>
      <c r="K72" s="54">
        <f t="shared" si="16"/>
        <v>1.0000347293431024</v>
      </c>
      <c r="L72" s="55" t="str">
        <f t="shared" si="17"/>
        <v>0 00 19.00</v>
      </c>
    </row>
    <row r="73" spans="1:12" x14ac:dyDescent="0.25">
      <c r="A73" s="50" t="s">
        <v>373</v>
      </c>
      <c r="B73" s="51" t="s">
        <v>374</v>
      </c>
      <c r="C73" s="51" t="s">
        <v>375</v>
      </c>
      <c r="D73" s="9">
        <f t="shared" si="9"/>
        <v>53492.792438988334</v>
      </c>
      <c r="E73" s="10">
        <f t="shared" si="10"/>
        <v>359689.5237109568</v>
      </c>
      <c r="F73" s="11">
        <f t="shared" si="11"/>
        <v>1</v>
      </c>
      <c r="G73" s="11" t="str">
        <f t="shared" si="12"/>
        <v>0 01 10.48</v>
      </c>
      <c r="H73" s="12">
        <f t="shared" si="13"/>
        <v>1.0000131503856082</v>
      </c>
      <c r="I73" s="53" t="str">
        <f t="shared" si="14"/>
        <v>-31 59 08.42590</v>
      </c>
      <c r="J73" s="53" t="str">
        <f t="shared" si="15"/>
        <v>125 45 13.04600</v>
      </c>
      <c r="K73" s="54">
        <f t="shared" si="16"/>
        <v>1.000013150385608</v>
      </c>
      <c r="L73" s="55" t="str">
        <f t="shared" si="17"/>
        <v>0 01 10.48</v>
      </c>
    </row>
    <row r="74" spans="1:12" x14ac:dyDescent="0.25">
      <c r="A74" s="50" t="s">
        <v>376</v>
      </c>
      <c r="B74" s="51" t="s">
        <v>377</v>
      </c>
      <c r="C74" s="51" t="s">
        <v>378</v>
      </c>
      <c r="D74" s="9">
        <f t="shared" si="9"/>
        <v>61624.953530408238</v>
      </c>
      <c r="E74" s="10">
        <f t="shared" si="10"/>
        <v>314012.45736703137</v>
      </c>
      <c r="F74" s="11">
        <f t="shared" si="11"/>
        <v>1</v>
      </c>
      <c r="G74" s="11" t="str">
        <f t="shared" si="12"/>
        <v>0 02 38.88</v>
      </c>
      <c r="H74" s="12">
        <f t="shared" si="13"/>
        <v>1.0000726886633462</v>
      </c>
      <c r="I74" s="53" t="str">
        <f t="shared" si="14"/>
        <v>-22 55 16.05925</v>
      </c>
      <c r="J74" s="53" t="str">
        <f t="shared" si="15"/>
        <v>117 35 47.93550</v>
      </c>
      <c r="K74" s="54">
        <f t="shared" si="16"/>
        <v>1.0000726886633462</v>
      </c>
      <c r="L74" s="55" t="str">
        <f t="shared" si="17"/>
        <v>0 02 38.88</v>
      </c>
    </row>
    <row r="75" spans="1:12" x14ac:dyDescent="0.25">
      <c r="A75" s="50" t="s">
        <v>379</v>
      </c>
      <c r="B75" s="51" t="s">
        <v>380</v>
      </c>
      <c r="C75" s="51" t="s">
        <v>381</v>
      </c>
      <c r="D75" s="9">
        <f t="shared" si="9"/>
        <v>52587.732724103102</v>
      </c>
      <c r="E75" s="10">
        <f t="shared" si="10"/>
        <v>366978.25458253268</v>
      </c>
      <c r="F75" s="11">
        <f t="shared" si="11"/>
        <v>1</v>
      </c>
      <c r="G75" s="11" t="str">
        <f t="shared" si="12"/>
        <v>0 00 43.36</v>
      </c>
      <c r="H75" s="12">
        <f t="shared" si="13"/>
        <v>1.0000200326221553</v>
      </c>
      <c r="I75" s="53" t="str">
        <f t="shared" si="14"/>
        <v>-27 24 32.74798</v>
      </c>
      <c r="J75" s="53" t="str">
        <f t="shared" si="15"/>
        <v>114 20 34.19912</v>
      </c>
      <c r="K75" s="54">
        <f t="shared" si="16"/>
        <v>1.0000200326221553</v>
      </c>
      <c r="L75" s="55" t="str">
        <f t="shared" si="17"/>
        <v>0 00 43.36</v>
      </c>
    </row>
    <row r="76" spans="1:12" x14ac:dyDescent="0.25">
      <c r="A76" s="50" t="s">
        <v>382</v>
      </c>
      <c r="B76" s="51" t="s">
        <v>383</v>
      </c>
      <c r="C76" s="51" t="s">
        <v>384</v>
      </c>
      <c r="D76" s="9">
        <f t="shared" si="9"/>
        <v>56244.778939220399</v>
      </c>
      <c r="E76" s="10">
        <f t="shared" si="10"/>
        <v>335557.5102585284</v>
      </c>
      <c r="F76" s="11">
        <f t="shared" si="11"/>
        <v>1</v>
      </c>
      <c r="G76" s="11" t="str">
        <f t="shared" si="12"/>
        <v>0 01 47.36</v>
      </c>
      <c r="H76" s="12">
        <f t="shared" si="13"/>
        <v>1.0000847010754357</v>
      </c>
      <c r="I76" s="53" t="str">
        <f t="shared" si="14"/>
        <v>-28 00 56.45999</v>
      </c>
      <c r="J76" s="53" t="str">
        <f t="shared" si="15"/>
        <v>119 39 14.56992</v>
      </c>
      <c r="K76" s="54">
        <f t="shared" si="16"/>
        <v>1.0000847010754357</v>
      </c>
      <c r="L76" s="55" t="str">
        <f t="shared" si="17"/>
        <v>0 01 47.36</v>
      </c>
    </row>
    <row r="77" spans="1:12" x14ac:dyDescent="0.25">
      <c r="A77" s="50" t="s">
        <v>385</v>
      </c>
      <c r="B77" s="51" t="s">
        <v>386</v>
      </c>
      <c r="C77" s="51" t="s">
        <v>387</v>
      </c>
      <c r="D77" s="9">
        <f t="shared" si="9"/>
        <v>58832.563277035712</v>
      </c>
      <c r="E77" s="10">
        <f t="shared" si="10"/>
        <v>283478.40012456104</v>
      </c>
      <c r="F77" s="11">
        <f t="shared" si="11"/>
        <v>1</v>
      </c>
      <c r="G77" s="11" t="str">
        <f t="shared" si="12"/>
        <v>0 01 58.88</v>
      </c>
      <c r="H77" s="12">
        <f t="shared" si="13"/>
        <v>1.0001139833056971</v>
      </c>
      <c r="I77" s="53" t="str">
        <f t="shared" si="14"/>
        <v>-22 36 32.35547</v>
      </c>
      <c r="J77" s="53" t="str">
        <f t="shared" si="15"/>
        <v>118 26 09.23003</v>
      </c>
      <c r="K77" s="54">
        <f t="shared" si="16"/>
        <v>1.0001139833056971</v>
      </c>
      <c r="L77" s="55" t="str">
        <f t="shared" si="17"/>
        <v>0 01 58.88</v>
      </c>
    </row>
    <row r="78" spans="1:12" x14ac:dyDescent="0.25">
      <c r="A78" s="50" t="s">
        <v>388</v>
      </c>
      <c r="B78" s="51" t="s">
        <v>389</v>
      </c>
      <c r="C78" s="51" t="s">
        <v>390</v>
      </c>
      <c r="D78" s="9">
        <f t="shared" si="9"/>
        <v>54409.605582136981</v>
      </c>
      <c r="E78" s="10">
        <f t="shared" si="10"/>
        <v>339785.26824982744</v>
      </c>
      <c r="F78" s="11">
        <f t="shared" si="11"/>
        <v>1</v>
      </c>
      <c r="G78" s="11" t="str">
        <f t="shared" si="12"/>
        <v>0 01 26.80</v>
      </c>
      <c r="H78" s="12">
        <f t="shared" si="13"/>
        <v>1.0000417197206071</v>
      </c>
      <c r="I78" s="53" t="str">
        <f t="shared" si="14"/>
        <v>-31 21 09.42163</v>
      </c>
      <c r="J78" s="53" t="str">
        <f t="shared" si="15"/>
        <v>117 41 46.82868</v>
      </c>
      <c r="K78" s="54">
        <f t="shared" si="16"/>
        <v>1.0000417197206071</v>
      </c>
      <c r="L78" s="55" t="str">
        <f t="shared" si="17"/>
        <v>0 01 26.80</v>
      </c>
    </row>
    <row r="79" spans="1:12" x14ac:dyDescent="0.25">
      <c r="A79" s="50" t="s">
        <v>391</v>
      </c>
      <c r="B79" s="51" t="s">
        <v>392</v>
      </c>
      <c r="C79" s="51" t="s">
        <v>393</v>
      </c>
      <c r="D79" s="9">
        <f t="shared" si="9"/>
        <v>55054.039287674852</v>
      </c>
      <c r="E79" s="10">
        <f t="shared" si="10"/>
        <v>269166.50812980114</v>
      </c>
      <c r="F79" s="11">
        <f t="shared" si="11"/>
        <v>1</v>
      </c>
      <c r="G79" s="11" t="str">
        <f t="shared" si="12"/>
        <v>0 01 21.70</v>
      </c>
      <c r="H79" s="12">
        <f t="shared" si="13"/>
        <v>1.0000917951899846</v>
      </c>
      <c r="I79" s="53" t="str">
        <f t="shared" si="14"/>
        <v>-26 34 30.75622</v>
      </c>
      <c r="J79" s="53" t="str">
        <f t="shared" si="15"/>
        <v>119 03 14.40335</v>
      </c>
      <c r="K79" s="54">
        <f t="shared" si="16"/>
        <v>1.0000917951899846</v>
      </c>
      <c r="L79" s="55" t="str">
        <f t="shared" si="17"/>
        <v>0 01 21.70</v>
      </c>
    </row>
    <row r="80" spans="1:12" x14ac:dyDescent="0.25">
      <c r="A80" s="50" t="s">
        <v>394</v>
      </c>
      <c r="B80" s="51" t="s">
        <v>395</v>
      </c>
      <c r="C80" s="51" t="s">
        <v>396</v>
      </c>
      <c r="D80" s="9">
        <f t="shared" si="9"/>
        <v>52796.592719001572</v>
      </c>
      <c r="E80" s="10">
        <f t="shared" si="10"/>
        <v>357176.86922596488</v>
      </c>
      <c r="F80" s="11">
        <f t="shared" si="11"/>
        <v>1</v>
      </c>
      <c r="G80" s="11" t="str">
        <f t="shared" si="12"/>
        <v>0 01 00.50</v>
      </c>
      <c r="H80" s="12">
        <f t="shared" si="13"/>
        <v>1.0000382763693603</v>
      </c>
      <c r="I80" s="53" t="str">
        <f t="shared" si="14"/>
        <v>-33 48 39.02850</v>
      </c>
      <c r="J80" s="53" t="str">
        <f t="shared" si="15"/>
        <v>117 04 48.73152</v>
      </c>
      <c r="K80" s="54">
        <f t="shared" si="16"/>
        <v>1.0000382763693603</v>
      </c>
      <c r="L80" s="55" t="str">
        <f t="shared" si="17"/>
        <v>0 01 00.50</v>
      </c>
    </row>
    <row r="81" spans="1:12" x14ac:dyDescent="0.25">
      <c r="A81" s="50" t="s">
        <v>397</v>
      </c>
      <c r="B81" s="51" t="s">
        <v>398</v>
      </c>
      <c r="C81" s="51" t="s">
        <v>399</v>
      </c>
      <c r="D81" s="9">
        <f t="shared" si="9"/>
        <v>52807.719011825851</v>
      </c>
      <c r="E81" s="10">
        <f t="shared" si="10"/>
        <v>358939.701847516</v>
      </c>
      <c r="F81" s="11">
        <f t="shared" si="11"/>
        <v>1</v>
      </c>
      <c r="G81" s="11" t="str">
        <f t="shared" si="12"/>
        <v>0 00 57.46</v>
      </c>
      <c r="H81" s="12">
        <f t="shared" si="13"/>
        <v>1.0000431471675744</v>
      </c>
      <c r="I81" s="53" t="str">
        <f t="shared" si="14"/>
        <v>-32 21 07.85160</v>
      </c>
      <c r="J81" s="53" t="str">
        <f t="shared" si="15"/>
        <v>118 13 47.37634</v>
      </c>
      <c r="K81" s="54">
        <f t="shared" si="16"/>
        <v>1.0000431471675744</v>
      </c>
      <c r="L81" s="55" t="str">
        <f t="shared" si="17"/>
        <v>0 00 57.46</v>
      </c>
    </row>
    <row r="82" spans="1:12" x14ac:dyDescent="0.25">
      <c r="A82" s="50" t="s">
        <v>400</v>
      </c>
      <c r="B82" s="51" t="s">
        <v>401</v>
      </c>
      <c r="C82" s="51" t="s">
        <v>402</v>
      </c>
      <c r="D82" s="9">
        <f t="shared" si="9"/>
        <v>57234.070459132075</v>
      </c>
      <c r="E82" s="10">
        <f t="shared" si="10"/>
        <v>804156.04537987383</v>
      </c>
      <c r="F82" s="11">
        <f t="shared" si="11"/>
        <v>1</v>
      </c>
      <c r="G82" s="11" t="str">
        <f t="shared" si="12"/>
        <v>0 02 13.75</v>
      </c>
      <c r="H82" s="12">
        <f t="shared" si="13"/>
        <v>1.0000507353683543</v>
      </c>
      <c r="I82" s="53" t="str">
        <f t="shared" si="14"/>
        <v>-29 46 46.38464</v>
      </c>
      <c r="J82" s="53" t="str">
        <f t="shared" si="15"/>
        <v>117 28 29.30365</v>
      </c>
      <c r="K82" s="54">
        <f t="shared" si="16"/>
        <v>1.0000507353683545</v>
      </c>
      <c r="L82" s="55" t="str">
        <f t="shared" si="17"/>
        <v>0 02 13.75</v>
      </c>
    </row>
    <row r="83" spans="1:12" x14ac:dyDescent="0.25">
      <c r="A83" s="50" t="s">
        <v>403</v>
      </c>
      <c r="B83" s="51" t="s">
        <v>404</v>
      </c>
      <c r="C83" s="51" t="s">
        <v>405</v>
      </c>
      <c r="D83" s="9">
        <f t="shared" si="9"/>
        <v>102937.77947004992</v>
      </c>
      <c r="E83" s="10">
        <f t="shared" si="10"/>
        <v>320734.80672146939</v>
      </c>
      <c r="F83" s="11">
        <f t="shared" si="11"/>
        <v>1</v>
      </c>
      <c r="G83" s="11" t="str">
        <f t="shared" si="12"/>
        <v>0 00 43.91</v>
      </c>
      <c r="H83" s="12">
        <f t="shared" si="13"/>
        <v>1.0000882865306071</v>
      </c>
      <c r="I83" s="53" t="str">
        <f t="shared" si="14"/>
        <v>-24 49 08.99202</v>
      </c>
      <c r="J83" s="53" t="str">
        <f t="shared" si="15"/>
        <v>119 30 34.60288</v>
      </c>
      <c r="K83" s="54">
        <f t="shared" si="16"/>
        <v>1.0000882865306073</v>
      </c>
      <c r="L83" s="55" t="str">
        <f t="shared" si="17"/>
        <v>0 00 43.91</v>
      </c>
    </row>
    <row r="84" spans="1:12" x14ac:dyDescent="0.25">
      <c r="A84" s="50" t="s">
        <v>406</v>
      </c>
      <c r="B84" s="51" t="s">
        <v>407</v>
      </c>
      <c r="C84" s="51" t="s">
        <v>408</v>
      </c>
      <c r="D84" s="9">
        <f t="shared" si="9"/>
        <v>58435.870266591664</v>
      </c>
      <c r="E84" s="10">
        <f t="shared" si="10"/>
        <v>332808.93950515334</v>
      </c>
      <c r="F84" s="11">
        <f t="shared" si="11"/>
        <v>1</v>
      </c>
      <c r="G84" s="11" t="str">
        <f t="shared" si="12"/>
        <v>0 02 59.08</v>
      </c>
      <c r="H84" s="12">
        <f t="shared" si="13"/>
        <v>1.0000436169713343</v>
      </c>
      <c r="I84" s="53" t="str">
        <f t="shared" si="14"/>
        <v>-33 18 32.77145</v>
      </c>
      <c r="J84" s="53" t="str">
        <f t="shared" si="15"/>
        <v>118 22 26.09404</v>
      </c>
      <c r="K84" s="54">
        <f t="shared" si="16"/>
        <v>1.000043616971334</v>
      </c>
      <c r="L84" s="55" t="str">
        <f t="shared" si="17"/>
        <v>0 02 59.08</v>
      </c>
    </row>
    <row r="85" spans="1:12" x14ac:dyDescent="0.25">
      <c r="A85" s="50" t="s">
        <v>409</v>
      </c>
      <c r="B85" s="51" t="s">
        <v>410</v>
      </c>
      <c r="C85" s="51" t="s">
        <v>411</v>
      </c>
      <c r="D85" s="9">
        <f t="shared" si="9"/>
        <v>54489.333806594557</v>
      </c>
      <c r="E85" s="10">
        <f t="shared" si="10"/>
        <v>329221.837081715</v>
      </c>
      <c r="F85" s="11">
        <f t="shared" si="11"/>
        <v>1</v>
      </c>
      <c r="G85" s="11" t="str">
        <f t="shared" si="12"/>
        <v>0 01 34.12</v>
      </c>
      <c r="H85" s="12">
        <f t="shared" si="13"/>
        <v>1.0000462583810856</v>
      </c>
      <c r="I85" s="53" t="str">
        <f t="shared" si="14"/>
        <v>-32 58 50.57141</v>
      </c>
      <c r="J85" s="53" t="str">
        <f t="shared" si="15"/>
        <v>119 44 16.69232</v>
      </c>
      <c r="K85" s="54">
        <f t="shared" si="16"/>
        <v>1.0000462583810856</v>
      </c>
      <c r="L85" s="55" t="str">
        <f t="shared" si="17"/>
        <v>0 01 34.12</v>
      </c>
    </row>
    <row r="86" spans="1:12" x14ac:dyDescent="0.25">
      <c r="A86" s="50" t="s">
        <v>412</v>
      </c>
      <c r="B86" s="51" t="s">
        <v>413</v>
      </c>
      <c r="C86" s="51" t="s">
        <v>414</v>
      </c>
      <c r="D86" s="9">
        <f t="shared" si="9"/>
        <v>54443.84073049092</v>
      </c>
      <c r="E86" s="10">
        <f t="shared" si="10"/>
        <v>328464.43841830944</v>
      </c>
      <c r="F86" s="11">
        <f t="shared" si="11"/>
        <v>1</v>
      </c>
      <c r="G86" s="11" t="str">
        <f t="shared" si="12"/>
        <v>0 00 48.32</v>
      </c>
      <c r="H86" s="12">
        <f t="shared" si="13"/>
        <v>1.0000585540056459</v>
      </c>
      <c r="I86" s="53" t="str">
        <f t="shared" si="14"/>
        <v>-18 35 28.22042</v>
      </c>
      <c r="J86" s="53" t="str">
        <f t="shared" si="15"/>
        <v>127 17 43.56254</v>
      </c>
      <c r="K86" s="54">
        <f t="shared" si="16"/>
        <v>1.0000585540056457</v>
      </c>
      <c r="L86" s="55" t="str">
        <f t="shared" si="17"/>
        <v>0 00 48.32</v>
      </c>
    </row>
    <row r="87" spans="1:12" x14ac:dyDescent="0.25">
      <c r="A87" s="50" t="s">
        <v>415</v>
      </c>
      <c r="B87" s="51" t="s">
        <v>416</v>
      </c>
      <c r="C87" s="51" t="s">
        <v>417</v>
      </c>
      <c r="D87" s="9">
        <f t="shared" si="9"/>
        <v>56375.315928987038</v>
      </c>
      <c r="E87" s="10">
        <f t="shared" si="10"/>
        <v>231628.85390944546</v>
      </c>
      <c r="F87" s="11">
        <f t="shared" si="11"/>
        <v>1</v>
      </c>
      <c r="G87" s="11" t="str">
        <f t="shared" si="12"/>
        <v>0 01 53.29</v>
      </c>
      <c r="H87" s="12">
        <f t="shared" si="13"/>
        <v>1.0000653813295806</v>
      </c>
      <c r="I87" s="53" t="str">
        <f t="shared" si="14"/>
        <v>-28 48 34.43184</v>
      </c>
      <c r="J87" s="53" t="str">
        <f t="shared" si="15"/>
        <v>122 09 55.09894</v>
      </c>
      <c r="K87" s="54">
        <f t="shared" si="16"/>
        <v>1.0000653813295803</v>
      </c>
      <c r="L87" s="55" t="str">
        <f t="shared" si="17"/>
        <v>0 01 53.29</v>
      </c>
    </row>
    <row r="88" spans="1:12" x14ac:dyDescent="0.25">
      <c r="A88" s="50" t="s">
        <v>418</v>
      </c>
      <c r="B88" s="51" t="s">
        <v>419</v>
      </c>
      <c r="C88" s="51" t="s">
        <v>420</v>
      </c>
      <c r="D88" s="9">
        <f t="shared" si="9"/>
        <v>53630.568240335626</v>
      </c>
      <c r="E88" s="10">
        <f t="shared" si="10"/>
        <v>311249.80184912495</v>
      </c>
      <c r="F88" s="11">
        <f t="shared" si="11"/>
        <v>1</v>
      </c>
      <c r="G88" s="11" t="str">
        <f t="shared" si="12"/>
        <v>0 01 02.14</v>
      </c>
      <c r="H88" s="12">
        <f t="shared" si="13"/>
        <v>1.0000779426072448</v>
      </c>
      <c r="I88" s="53" t="str">
        <f t="shared" si="14"/>
        <v>-27 54 37.34377</v>
      </c>
      <c r="J88" s="53" t="str">
        <f t="shared" si="15"/>
        <v>120 40 47.03714</v>
      </c>
      <c r="K88" s="54">
        <f t="shared" si="16"/>
        <v>1.0000779426072448</v>
      </c>
      <c r="L88" s="55" t="str">
        <f t="shared" si="17"/>
        <v>0 01 02.14</v>
      </c>
    </row>
    <row r="89" spans="1:12" x14ac:dyDescent="0.25">
      <c r="A89" s="50" t="s">
        <v>421</v>
      </c>
      <c r="B89" s="51" t="s">
        <v>422</v>
      </c>
      <c r="C89" s="51" t="s">
        <v>423</v>
      </c>
      <c r="D89" s="9">
        <f t="shared" si="9"/>
        <v>54007.495894649357</v>
      </c>
      <c r="E89" s="10">
        <f t="shared" si="10"/>
        <v>411946.00541877095</v>
      </c>
      <c r="F89" s="11">
        <f t="shared" si="11"/>
        <v>1</v>
      </c>
      <c r="G89" s="11" t="str">
        <f t="shared" si="12"/>
        <v>0 00 46.58</v>
      </c>
      <c r="H89" s="12">
        <f t="shared" si="13"/>
        <v>1.0000668184040731</v>
      </c>
      <c r="I89" s="53" t="str">
        <f t="shared" si="14"/>
        <v>-19 46 44.62352</v>
      </c>
      <c r="J89" s="53" t="str">
        <f t="shared" si="15"/>
        <v>128 50 17.66299</v>
      </c>
      <c r="K89" s="54">
        <f t="shared" si="16"/>
        <v>1.0000668184040731</v>
      </c>
      <c r="L89" s="55" t="str">
        <f t="shared" si="17"/>
        <v>0 00 46.58</v>
      </c>
    </row>
    <row r="90" spans="1:12" x14ac:dyDescent="0.25">
      <c r="A90" s="50" t="s">
        <v>424</v>
      </c>
      <c r="B90" s="51" t="s">
        <v>425</v>
      </c>
      <c r="C90" s="51" t="s">
        <v>426</v>
      </c>
      <c r="D90" s="9">
        <f t="shared" si="9"/>
        <v>57319.251397036809</v>
      </c>
      <c r="E90" s="10">
        <f t="shared" si="10"/>
        <v>344772.39095511497</v>
      </c>
      <c r="F90" s="11">
        <f t="shared" si="11"/>
        <v>1</v>
      </c>
      <c r="G90" s="11" t="str">
        <f t="shared" si="12"/>
        <v>0 01 15.41</v>
      </c>
      <c r="H90" s="12">
        <f t="shared" si="13"/>
        <v>1.0000086620534301</v>
      </c>
      <c r="I90" s="53" t="str">
        <f t="shared" si="14"/>
        <v>-17 40 36.48011</v>
      </c>
      <c r="J90" s="53" t="str">
        <f t="shared" si="15"/>
        <v>123 05 08.35084</v>
      </c>
      <c r="K90" s="54">
        <f t="shared" si="16"/>
        <v>1.0000086620534301</v>
      </c>
      <c r="L90" s="55" t="str">
        <f t="shared" si="17"/>
        <v>0 01 15.41</v>
      </c>
    </row>
    <row r="91" spans="1:12" x14ac:dyDescent="0.25">
      <c r="A91" s="50" t="s">
        <v>427</v>
      </c>
      <c r="B91" s="51" t="s">
        <v>428</v>
      </c>
      <c r="C91" s="51" t="s">
        <v>429</v>
      </c>
      <c r="D91" s="9">
        <f t="shared" si="9"/>
        <v>50057.585238804721</v>
      </c>
      <c r="E91" s="10">
        <f t="shared" si="10"/>
        <v>325507.68339475314</v>
      </c>
      <c r="F91" s="11">
        <f t="shared" si="11"/>
        <v>1</v>
      </c>
      <c r="G91" s="11" t="str">
        <f t="shared" si="12"/>
        <v>0 00 00.63</v>
      </c>
      <c r="H91" s="12">
        <f t="shared" si="13"/>
        <v>1.0000453300409728</v>
      </c>
      <c r="I91" s="53" t="str">
        <f t="shared" si="14"/>
        <v>-18 49 33.27614</v>
      </c>
      <c r="J91" s="53" t="str">
        <f t="shared" si="15"/>
        <v>126 41 34.96675</v>
      </c>
      <c r="K91" s="54">
        <f t="shared" si="16"/>
        <v>1.0000453300409728</v>
      </c>
      <c r="L91" s="55" t="str">
        <f t="shared" si="17"/>
        <v>0 00 00.63</v>
      </c>
    </row>
    <row r="92" spans="1:12" x14ac:dyDescent="0.25">
      <c r="A92" s="50" t="s">
        <v>430</v>
      </c>
      <c r="B92" s="51" t="s">
        <v>431</v>
      </c>
      <c r="C92" s="51" t="s">
        <v>432</v>
      </c>
      <c r="D92" s="9">
        <f t="shared" si="9"/>
        <v>51120.6181513923</v>
      </c>
      <c r="E92" s="10">
        <f t="shared" si="10"/>
        <v>369420.39502914669</v>
      </c>
      <c r="F92" s="11">
        <f t="shared" si="11"/>
        <v>1</v>
      </c>
      <c r="G92" s="11" t="str">
        <f t="shared" si="12"/>
        <v>0 00 22.53</v>
      </c>
      <c r="H92" s="12">
        <f t="shared" si="13"/>
        <v>1.0000009854806511</v>
      </c>
      <c r="I92" s="53" t="str">
        <f t="shared" si="14"/>
        <v>-31 53 53.90542</v>
      </c>
      <c r="J92" s="53" t="str">
        <f t="shared" si="15"/>
        <v>127 02 42.64627</v>
      </c>
      <c r="K92" s="54">
        <f t="shared" si="16"/>
        <v>1.0000009854806511</v>
      </c>
      <c r="L92" s="55" t="str">
        <f t="shared" si="17"/>
        <v>0 00 22.53</v>
      </c>
    </row>
    <row r="93" spans="1:12" x14ac:dyDescent="0.25">
      <c r="A93" s="50" t="s">
        <v>433</v>
      </c>
      <c r="B93" s="51" t="s">
        <v>434</v>
      </c>
      <c r="C93" s="51" t="s">
        <v>435</v>
      </c>
      <c r="D93" s="9">
        <f t="shared" si="9"/>
        <v>46736.794569700556</v>
      </c>
      <c r="E93" s="10">
        <f t="shared" si="10"/>
        <v>329953.71884788387</v>
      </c>
      <c r="F93" s="11">
        <f t="shared" si="11"/>
        <v>1</v>
      </c>
      <c r="G93" s="11" t="str">
        <f t="shared" si="12"/>
        <v>0 01 06.06</v>
      </c>
      <c r="H93" s="12">
        <f t="shared" si="13"/>
        <v>1.0000497812579787</v>
      </c>
      <c r="I93" s="53" t="str">
        <f t="shared" si="14"/>
        <v>-32 04 20.27712</v>
      </c>
      <c r="J93" s="53" t="str">
        <f t="shared" si="15"/>
        <v>122 45 55.58684</v>
      </c>
      <c r="K93" s="54">
        <f t="shared" si="16"/>
        <v>1.0000497812579787</v>
      </c>
      <c r="L93" s="55" t="str">
        <f t="shared" si="17"/>
        <v>0 01 06.06</v>
      </c>
    </row>
    <row r="94" spans="1:12" x14ac:dyDescent="0.25">
      <c r="A94" s="50" t="s">
        <v>436</v>
      </c>
      <c r="B94" s="51" t="s">
        <v>437</v>
      </c>
      <c r="C94" s="51" t="s">
        <v>438</v>
      </c>
      <c r="D94" s="9">
        <f t="shared" si="9"/>
        <v>52642.426110664543</v>
      </c>
      <c r="E94" s="10">
        <f t="shared" si="10"/>
        <v>393758.15145687852</v>
      </c>
      <c r="F94" s="11">
        <f t="shared" si="11"/>
        <v>1</v>
      </c>
      <c r="G94" s="11" t="str">
        <f t="shared" si="12"/>
        <v>0 00 32.53</v>
      </c>
      <c r="H94" s="12">
        <f t="shared" si="13"/>
        <v>1.0000239662497845</v>
      </c>
      <c r="I94" s="53" t="str">
        <f t="shared" si="14"/>
        <v>-20 50 50.80150</v>
      </c>
      <c r="J94" s="53" t="str">
        <f t="shared" si="15"/>
        <v>119 52 31.39990</v>
      </c>
      <c r="K94" s="54">
        <f t="shared" si="16"/>
        <v>1.0000239662497845</v>
      </c>
      <c r="L94" s="55" t="str">
        <f t="shared" si="17"/>
        <v>0 00 32.53</v>
      </c>
    </row>
    <row r="95" spans="1:12" x14ac:dyDescent="0.25">
      <c r="A95" s="50" t="s">
        <v>439</v>
      </c>
      <c r="B95" s="51" t="s">
        <v>440</v>
      </c>
      <c r="C95" s="51" t="s">
        <v>441</v>
      </c>
      <c r="D95" s="9">
        <f t="shared" si="9"/>
        <v>56181.651210055606</v>
      </c>
      <c r="E95" s="10">
        <f t="shared" si="10"/>
        <v>308019.22125471942</v>
      </c>
      <c r="F95" s="11">
        <f t="shared" si="11"/>
        <v>1</v>
      </c>
      <c r="G95" s="11" t="str">
        <f t="shared" si="12"/>
        <v>0 02 00.89</v>
      </c>
      <c r="H95" s="12">
        <f t="shared" si="13"/>
        <v>1.0000628511082468</v>
      </c>
      <c r="I95" s="53" t="str">
        <f t="shared" si="14"/>
        <v>-31 11 15.03233</v>
      </c>
      <c r="J95" s="53" t="str">
        <f t="shared" si="15"/>
        <v>119 39 53.45870</v>
      </c>
      <c r="K95" s="54">
        <f t="shared" si="16"/>
        <v>1.000062851108247</v>
      </c>
      <c r="L95" s="55" t="str">
        <f t="shared" si="17"/>
        <v>0 02 00.89</v>
      </c>
    </row>
    <row r="96" spans="1:12" x14ac:dyDescent="0.25">
      <c r="A96" s="50" t="s">
        <v>442</v>
      </c>
      <c r="B96" s="51" t="s">
        <v>443</v>
      </c>
      <c r="C96" s="51" t="s">
        <v>444</v>
      </c>
      <c r="D96" s="9">
        <f t="shared" si="9"/>
        <v>53432.259725471966</v>
      </c>
      <c r="E96" s="10">
        <f t="shared" si="10"/>
        <v>333911.61203582422</v>
      </c>
      <c r="F96" s="11">
        <f t="shared" si="11"/>
        <v>1</v>
      </c>
      <c r="G96" s="11" t="str">
        <f t="shared" si="12"/>
        <v>0 00 35.19</v>
      </c>
      <c r="H96" s="12">
        <f t="shared" si="13"/>
        <v>1.0000201055860025</v>
      </c>
      <c r="I96" s="53" t="str">
        <f t="shared" si="14"/>
        <v>-17 35 38.48525</v>
      </c>
      <c r="J96" s="53" t="str">
        <f t="shared" si="15"/>
        <v>124 06 56.40610</v>
      </c>
      <c r="K96" s="54">
        <f t="shared" si="16"/>
        <v>1.0000201055860027</v>
      </c>
      <c r="L96" s="55" t="str">
        <f t="shared" si="17"/>
        <v>0 00 35.19</v>
      </c>
    </row>
    <row r="97" spans="1:12" x14ac:dyDescent="0.25">
      <c r="A97" s="50" t="s">
        <v>445</v>
      </c>
      <c r="B97" s="51" t="s">
        <v>446</v>
      </c>
      <c r="C97" s="51" t="s">
        <v>447</v>
      </c>
      <c r="D97" s="9">
        <f t="shared" si="9"/>
        <v>55781.637795203169</v>
      </c>
      <c r="E97" s="10">
        <f t="shared" si="10"/>
        <v>172307.52298811264</v>
      </c>
      <c r="F97" s="11">
        <f t="shared" si="11"/>
        <v>1</v>
      </c>
      <c r="G97" s="11" t="str">
        <f t="shared" si="12"/>
        <v>0 01 32.98</v>
      </c>
      <c r="H97" s="12">
        <f t="shared" si="13"/>
        <v>1.0000768524896713</v>
      </c>
      <c r="I97" s="53" t="str">
        <f t="shared" si="14"/>
        <v>-26 27 25.23596</v>
      </c>
      <c r="J97" s="53" t="str">
        <f t="shared" si="15"/>
        <v>118 21 28.69243</v>
      </c>
      <c r="K97" s="54">
        <f t="shared" si="16"/>
        <v>1.0000768524896713</v>
      </c>
      <c r="L97" s="55" t="str">
        <f t="shared" si="17"/>
        <v>0 01 32.98</v>
      </c>
    </row>
    <row r="98" spans="1:12" x14ac:dyDescent="0.25">
      <c r="A98" s="50" t="s">
        <v>448</v>
      </c>
      <c r="B98" s="51" t="s">
        <v>449</v>
      </c>
      <c r="C98" s="51" t="s">
        <v>450</v>
      </c>
      <c r="D98" s="9">
        <f t="shared" si="9"/>
        <v>56621.345457064184</v>
      </c>
      <c r="E98" s="10">
        <f t="shared" si="10"/>
        <v>317198.33699902147</v>
      </c>
      <c r="F98" s="11">
        <f t="shared" si="11"/>
        <v>1</v>
      </c>
      <c r="G98" s="11" t="str">
        <f t="shared" si="12"/>
        <v>0 02 01.84</v>
      </c>
      <c r="H98" s="12">
        <f t="shared" si="13"/>
        <v>1.0000654306778689</v>
      </c>
      <c r="I98" s="53" t="str">
        <f t="shared" si="14"/>
        <v>-29 39 41.26655</v>
      </c>
      <c r="J98" s="53" t="str">
        <f t="shared" si="15"/>
        <v>121 08 06.20164</v>
      </c>
      <c r="K98" s="54">
        <f t="shared" si="16"/>
        <v>1.0000654306778689</v>
      </c>
      <c r="L98" s="55" t="str">
        <f t="shared" si="17"/>
        <v>0 02 01.84</v>
      </c>
    </row>
    <row r="99" spans="1:12" x14ac:dyDescent="0.25">
      <c r="A99" s="50" t="s">
        <v>451</v>
      </c>
      <c r="B99" s="51" t="s">
        <v>452</v>
      </c>
      <c r="C99" s="51" t="s">
        <v>453</v>
      </c>
      <c r="D99" s="9">
        <f t="shared" si="9"/>
        <v>58252.925852412067</v>
      </c>
      <c r="E99" s="10">
        <f t="shared" si="10"/>
        <v>324893.82910799142</v>
      </c>
      <c r="F99" s="11">
        <f t="shared" si="11"/>
        <v>1</v>
      </c>
      <c r="G99" s="11" t="str">
        <f t="shared" si="12"/>
        <v>0 02 42.73</v>
      </c>
      <c r="H99" s="12">
        <f t="shared" si="13"/>
        <v>1.0000503296810754</v>
      </c>
      <c r="I99" s="53" t="str">
        <f t="shared" si="14"/>
        <v>-31 23 47.25456</v>
      </c>
      <c r="J99" s="53" t="str">
        <f t="shared" si="15"/>
        <v>118 22 12.37555</v>
      </c>
      <c r="K99" s="54">
        <f t="shared" si="16"/>
        <v>1.0000503296810754</v>
      </c>
      <c r="L99" s="55" t="str">
        <f t="shared" si="17"/>
        <v>0 02 42.73</v>
      </c>
    </row>
    <row r="100" spans="1:12" x14ac:dyDescent="0.25">
      <c r="A100" s="50" t="s">
        <v>454</v>
      </c>
      <c r="B100" s="51" t="s">
        <v>455</v>
      </c>
      <c r="C100" s="51" t="s">
        <v>456</v>
      </c>
      <c r="D100" s="9">
        <f t="shared" si="9"/>
        <v>59681.190815835609</v>
      </c>
      <c r="E100" s="10">
        <f t="shared" si="10"/>
        <v>321715.96737758769</v>
      </c>
      <c r="F100" s="11">
        <f t="shared" si="11"/>
        <v>1</v>
      </c>
      <c r="G100" s="11" t="str">
        <f t="shared" si="12"/>
        <v>0 02 01.55</v>
      </c>
      <c r="H100" s="12">
        <f t="shared" si="13"/>
        <v>1.0000297576627661</v>
      </c>
      <c r="I100" s="53" t="str">
        <f t="shared" si="14"/>
        <v>-21 13 37.33172</v>
      </c>
      <c r="J100" s="53" t="str">
        <f t="shared" si="15"/>
        <v>117 07 35.71414</v>
      </c>
      <c r="K100" s="54">
        <f t="shared" si="16"/>
        <v>1.0000297576627659</v>
      </c>
      <c r="L100" s="55" t="str">
        <f t="shared" si="17"/>
        <v>0 02 01.55</v>
      </c>
    </row>
    <row r="101" spans="1:12" x14ac:dyDescent="0.25">
      <c r="A101" s="50" t="s">
        <v>457</v>
      </c>
      <c r="B101" s="51" t="s">
        <v>458</v>
      </c>
      <c r="C101" s="51" t="s">
        <v>459</v>
      </c>
      <c r="D101" s="9">
        <f t="shared" si="9"/>
        <v>55176.006473693807</v>
      </c>
      <c r="E101" s="10">
        <f t="shared" si="10"/>
        <v>360682.82490480784</v>
      </c>
      <c r="F101" s="11">
        <f t="shared" si="11"/>
        <v>1</v>
      </c>
      <c r="G101" s="11" t="str">
        <f t="shared" si="12"/>
        <v>0 01 33.47</v>
      </c>
      <c r="H101" s="12">
        <f t="shared" si="13"/>
        <v>1.0000253004405588</v>
      </c>
      <c r="I101" s="53" t="str">
        <f t="shared" si="14"/>
        <v>-29 11 53.45574</v>
      </c>
      <c r="J101" s="53" t="str">
        <f t="shared" si="15"/>
        <v>115 23 11.59573</v>
      </c>
      <c r="K101" s="54">
        <f t="shared" si="16"/>
        <v>1.000025300440559</v>
      </c>
      <c r="L101" s="55" t="str">
        <f t="shared" si="17"/>
        <v>0 01 33.47</v>
      </c>
    </row>
    <row r="102" spans="1:12" x14ac:dyDescent="0.25">
      <c r="A102" s="50" t="s">
        <v>460</v>
      </c>
      <c r="B102" s="51" t="s">
        <v>461</v>
      </c>
      <c r="C102" s="51" t="s">
        <v>462</v>
      </c>
      <c r="D102" s="9">
        <f t="shared" si="9"/>
        <v>55428.207010891114</v>
      </c>
      <c r="E102" s="10">
        <f t="shared" si="10"/>
        <v>344703.17498060688</v>
      </c>
      <c r="F102" s="11">
        <f t="shared" si="11"/>
        <v>1</v>
      </c>
      <c r="G102" s="11" t="str">
        <f t="shared" si="12"/>
        <v>0 01 49.26</v>
      </c>
      <c r="H102" s="12">
        <f t="shared" si="13"/>
        <v>1.0000116432286168</v>
      </c>
      <c r="I102" s="53" t="str">
        <f t="shared" si="14"/>
        <v>-31 55 20.89524</v>
      </c>
      <c r="J102" s="53" t="str">
        <f t="shared" si="15"/>
        <v>126 29 53.62782</v>
      </c>
      <c r="K102" s="54">
        <f t="shared" si="16"/>
        <v>1.0000116432286168</v>
      </c>
      <c r="L102" s="55" t="str">
        <f t="shared" si="17"/>
        <v>0 01 49.26</v>
      </c>
    </row>
    <row r="103" spans="1:12" x14ac:dyDescent="0.25">
      <c r="A103" s="50" t="s">
        <v>463</v>
      </c>
      <c r="B103" s="51" t="s">
        <v>464</v>
      </c>
      <c r="C103" s="51" t="s">
        <v>465</v>
      </c>
      <c r="D103" s="9">
        <f t="shared" si="9"/>
        <v>52213.221324697639</v>
      </c>
      <c r="E103" s="10">
        <f t="shared" si="10"/>
        <v>337241.28910811013</v>
      </c>
      <c r="F103" s="11">
        <f t="shared" si="11"/>
        <v>1</v>
      </c>
      <c r="G103" s="11" t="str">
        <f t="shared" si="12"/>
        <v>0 00 49.86</v>
      </c>
      <c r="H103" s="12">
        <f t="shared" si="13"/>
        <v>1.0000013203453331</v>
      </c>
      <c r="I103" s="53" t="str">
        <f t="shared" si="14"/>
        <v>-34 53 35.81282</v>
      </c>
      <c r="J103" s="53" t="str">
        <f t="shared" si="15"/>
        <v>117 29 27.16649</v>
      </c>
      <c r="K103" s="54">
        <f t="shared" si="16"/>
        <v>1.0000013203453333</v>
      </c>
      <c r="L103" s="55" t="str">
        <f t="shared" si="17"/>
        <v>0 00 49.86</v>
      </c>
    </row>
    <row r="104" spans="1:12" x14ac:dyDescent="0.25">
      <c r="A104" s="50" t="s">
        <v>466</v>
      </c>
      <c r="B104" s="51" t="s">
        <v>467</v>
      </c>
      <c r="C104" s="51" t="s">
        <v>468</v>
      </c>
      <c r="D104" s="9">
        <f t="shared" si="9"/>
        <v>54808.3592917797</v>
      </c>
      <c r="E104" s="10">
        <f t="shared" si="10"/>
        <v>346468.44221406966</v>
      </c>
      <c r="F104" s="11">
        <f t="shared" si="11"/>
        <v>1</v>
      </c>
      <c r="G104" s="11" t="str">
        <f t="shared" si="12"/>
        <v>0 00 47.50</v>
      </c>
      <c r="H104" s="12">
        <f t="shared" si="13"/>
        <v>1.0000499957425657</v>
      </c>
      <c r="I104" s="53" t="str">
        <f t="shared" si="14"/>
        <v>-16 59 31.71307</v>
      </c>
      <c r="J104" s="53" t="str">
        <f t="shared" si="15"/>
        <v>125 11 07.54285</v>
      </c>
      <c r="K104" s="54">
        <f t="shared" si="16"/>
        <v>1.0000499957425659</v>
      </c>
      <c r="L104" s="55" t="str">
        <f t="shared" si="17"/>
        <v>0 00 47.50</v>
      </c>
    </row>
    <row r="105" spans="1:12" x14ac:dyDescent="0.25">
      <c r="A105" s="50" t="s">
        <v>469</v>
      </c>
      <c r="B105" s="51" t="s">
        <v>470</v>
      </c>
      <c r="C105" s="51" t="s">
        <v>471</v>
      </c>
      <c r="D105" s="9">
        <f t="shared" si="9"/>
        <v>56175.897949288963</v>
      </c>
      <c r="E105" s="10">
        <f t="shared" si="10"/>
        <v>320943.34922503633</v>
      </c>
      <c r="F105" s="11">
        <f t="shared" si="11"/>
        <v>1</v>
      </c>
      <c r="G105" s="11" t="str">
        <f t="shared" si="12"/>
        <v>0 01 49.37</v>
      </c>
      <c r="H105" s="12">
        <f t="shared" si="13"/>
        <v>1.0000631604660408</v>
      </c>
      <c r="I105" s="53" t="str">
        <f t="shared" si="14"/>
        <v>-28 43 32.13145</v>
      </c>
      <c r="J105" s="53" t="str">
        <f t="shared" si="15"/>
        <v>117 51 47.56338</v>
      </c>
      <c r="K105" s="54">
        <f t="shared" si="16"/>
        <v>1.0000631604660408</v>
      </c>
      <c r="L105" s="55" t="str">
        <f t="shared" si="17"/>
        <v>0 01 49.37</v>
      </c>
    </row>
    <row r="106" spans="1:12" x14ac:dyDescent="0.25">
      <c r="A106" s="50" t="s">
        <v>472</v>
      </c>
      <c r="B106" s="51" t="s">
        <v>473</v>
      </c>
      <c r="C106" s="51" t="s">
        <v>474</v>
      </c>
      <c r="D106" s="9">
        <f t="shared" si="9"/>
        <v>54247.679339975788</v>
      </c>
      <c r="E106" s="10">
        <f t="shared" si="10"/>
        <v>651213.84639039775</v>
      </c>
      <c r="F106" s="11">
        <f t="shared" si="11"/>
        <v>1</v>
      </c>
      <c r="G106" s="11" t="str">
        <f t="shared" si="12"/>
        <v>0 01 22.99</v>
      </c>
      <c r="H106" s="12">
        <f t="shared" si="13"/>
        <v>1.0000183524522641</v>
      </c>
      <c r="I106" s="53" t="str">
        <f t="shared" si="14"/>
        <v>-31 09 36.29599</v>
      </c>
      <c r="J106" s="53" t="str">
        <f t="shared" si="15"/>
        <v>115 59 40.38043</v>
      </c>
      <c r="K106" s="54">
        <f t="shared" si="16"/>
        <v>1.0000183524522641</v>
      </c>
      <c r="L106" s="55" t="str">
        <f t="shared" si="17"/>
        <v>0 01 22.99</v>
      </c>
    </row>
    <row r="107" spans="1:12" x14ac:dyDescent="0.25">
      <c r="A107" s="50" t="s">
        <v>475</v>
      </c>
      <c r="B107" s="51" t="s">
        <v>476</v>
      </c>
      <c r="C107" s="51" t="s">
        <v>477</v>
      </c>
      <c r="D107" s="9">
        <f t="shared" si="9"/>
        <v>50247.889079915454</v>
      </c>
      <c r="E107" s="10">
        <f t="shared" si="10"/>
        <v>313854.31892116042</v>
      </c>
      <c r="F107" s="11">
        <f t="shared" si="11"/>
        <v>1</v>
      </c>
      <c r="G107" s="11" t="str">
        <f t="shared" si="12"/>
        <v>0 00 02.88</v>
      </c>
      <c r="H107" s="12">
        <f t="shared" si="13"/>
        <v>1.0000609607591415</v>
      </c>
      <c r="I107" s="53" t="str">
        <f t="shared" si="14"/>
        <v>-19 45 42.98648</v>
      </c>
      <c r="J107" s="53" t="str">
        <f t="shared" si="15"/>
        <v>128 18 08.51447</v>
      </c>
      <c r="K107" s="54">
        <f t="shared" si="16"/>
        <v>1.0000609607591415</v>
      </c>
      <c r="L107" s="55" t="str">
        <f t="shared" si="17"/>
        <v>0 00 02.88</v>
      </c>
    </row>
    <row r="108" spans="1:12" x14ac:dyDescent="0.25">
      <c r="A108" s="50" t="s">
        <v>478</v>
      </c>
      <c r="B108" s="51" t="s">
        <v>479</v>
      </c>
      <c r="C108" s="51" t="s">
        <v>480</v>
      </c>
      <c r="D108" s="9">
        <f t="shared" si="9"/>
        <v>51660.537339132992</v>
      </c>
      <c r="E108" s="10">
        <f t="shared" si="10"/>
        <v>312838.37653394649</v>
      </c>
      <c r="F108" s="11">
        <f t="shared" si="11"/>
        <v>1</v>
      </c>
      <c r="G108" s="11" t="str">
        <f t="shared" si="12"/>
        <v>0 00 27.46</v>
      </c>
      <c r="H108" s="12">
        <f t="shared" si="13"/>
        <v>1.0000677340219832</v>
      </c>
      <c r="I108" s="53" t="str">
        <f t="shared" si="14"/>
        <v>-27 06 08.04953</v>
      </c>
      <c r="J108" s="53" t="str">
        <f t="shared" si="15"/>
        <v>125 26 42.27864</v>
      </c>
      <c r="K108" s="54">
        <f t="shared" si="16"/>
        <v>1.0000677340219835</v>
      </c>
      <c r="L108" s="55" t="str">
        <f t="shared" si="17"/>
        <v>0 00 27.46</v>
      </c>
    </row>
    <row r="109" spans="1:12" x14ac:dyDescent="0.25">
      <c r="A109" s="50" t="s">
        <v>481</v>
      </c>
      <c r="B109" s="51" t="s">
        <v>482</v>
      </c>
      <c r="C109" s="51" t="s">
        <v>483</v>
      </c>
      <c r="D109" s="9">
        <f>grideasting(B109,C109,A109)</f>
        <v>56609.77886966223</v>
      </c>
      <c r="E109" s="10">
        <f t="shared" si="10"/>
        <v>323145.64897093782</v>
      </c>
      <c r="F109" s="11">
        <f t="shared" si="11"/>
        <v>1</v>
      </c>
      <c r="G109" s="11" t="str">
        <f t="shared" si="12"/>
        <v>0 02 07.66</v>
      </c>
      <c r="H109" s="12">
        <f t="shared" si="13"/>
        <v>1.0000501886659516</v>
      </c>
      <c r="I109" s="53" t="str">
        <f t="shared" si="14"/>
        <v>-30 52 15.93646</v>
      </c>
      <c r="J109" s="53" t="str">
        <f t="shared" si="15"/>
        <v>118 21 08.80686</v>
      </c>
      <c r="K109" s="54">
        <f t="shared" si="16"/>
        <v>1.0000501886659516</v>
      </c>
      <c r="L109" s="55" t="str">
        <f t="shared" si="17"/>
        <v>0 02 07.66</v>
      </c>
    </row>
    <row r="110" spans="1:12" x14ac:dyDescent="0.25">
      <c r="A110" s="50" t="s">
        <v>484</v>
      </c>
      <c r="B110" s="51" t="s">
        <v>485</v>
      </c>
      <c r="C110" s="51" t="s">
        <v>486</v>
      </c>
      <c r="D110" s="9">
        <f t="shared" si="9"/>
        <v>50712.118338390195</v>
      </c>
      <c r="E110" s="10">
        <f t="shared" si="10"/>
        <v>345172.21497978177</v>
      </c>
      <c r="F110" s="11">
        <f t="shared" si="11"/>
        <v>1</v>
      </c>
      <c r="G110" s="11" t="str">
        <f t="shared" si="12"/>
        <v>0 00 09.40</v>
      </c>
      <c r="H110" s="12">
        <f t="shared" si="13"/>
        <v>1.0000656862624406</v>
      </c>
      <c r="I110" s="53" t="str">
        <f t="shared" si="14"/>
        <v>-22 12 55.90350</v>
      </c>
      <c r="J110" s="53" t="str">
        <f t="shared" si="15"/>
        <v>118 32 12.86250</v>
      </c>
      <c r="K110" s="54">
        <f t="shared" si="16"/>
        <v>1.0000656862624406</v>
      </c>
      <c r="L110" s="55" t="str">
        <f t="shared" si="17"/>
        <v>0 00 09.40</v>
      </c>
    </row>
    <row r="111" spans="1:12" x14ac:dyDescent="0.25">
      <c r="A111" s="50" t="s">
        <v>487</v>
      </c>
      <c r="B111" s="51" t="s">
        <v>488</v>
      </c>
      <c r="C111" s="51" t="s">
        <v>489</v>
      </c>
      <c r="D111" s="9">
        <f t="shared" si="9"/>
        <v>51134.657982011006</v>
      </c>
      <c r="E111" s="10">
        <f t="shared" si="10"/>
        <v>341588.10775984311</v>
      </c>
      <c r="F111" s="11">
        <f t="shared" si="11"/>
        <v>1</v>
      </c>
      <c r="G111" s="11" t="str">
        <f t="shared" si="12"/>
        <v>0 00 22.86</v>
      </c>
      <c r="H111" s="12">
        <f t="shared" si="13"/>
        <v>0.99999900587084001</v>
      </c>
      <c r="I111" s="53" t="str">
        <f t="shared" si="14"/>
        <v>-31 57 03.48311</v>
      </c>
      <c r="J111" s="53" t="str">
        <f t="shared" si="15"/>
        <v>127 36 13.20527</v>
      </c>
      <c r="K111" s="54">
        <f t="shared" si="16"/>
        <v>0.99999900587084001</v>
      </c>
      <c r="L111" s="55" t="str">
        <f t="shared" si="17"/>
        <v>0 00 22.86</v>
      </c>
    </row>
    <row r="112" spans="1:12" x14ac:dyDescent="0.25">
      <c r="A112" s="50" t="s">
        <v>490</v>
      </c>
      <c r="B112" s="51" t="s">
        <v>491</v>
      </c>
      <c r="C112" s="51" t="s">
        <v>492</v>
      </c>
      <c r="D112" s="9">
        <f t="shared" si="9"/>
        <v>50788.527270700193</v>
      </c>
      <c r="E112" s="10">
        <f t="shared" si="10"/>
        <v>334116.80520071881</v>
      </c>
      <c r="F112" s="11">
        <f t="shared" si="11"/>
        <v>1</v>
      </c>
      <c r="G112" s="11" t="str">
        <f t="shared" si="12"/>
        <v>0 00 16.96</v>
      </c>
      <c r="H112" s="12">
        <f t="shared" si="13"/>
        <v>1.0000158776619255</v>
      </c>
      <c r="I112" s="53" t="str">
        <f t="shared" si="14"/>
        <v>-33 39 31.94809</v>
      </c>
      <c r="J112" s="53" t="str">
        <f t="shared" si="15"/>
        <v>120 37 30.60462</v>
      </c>
      <c r="K112" s="54">
        <f t="shared" si="16"/>
        <v>1.0000158776619255</v>
      </c>
      <c r="L112" s="55" t="str">
        <f t="shared" si="17"/>
        <v>0 00 16.96</v>
      </c>
    </row>
    <row r="113" spans="1:12" x14ac:dyDescent="0.25">
      <c r="A113" s="50" t="s">
        <v>493</v>
      </c>
      <c r="B113" s="51" t="s">
        <v>494</v>
      </c>
      <c r="C113" s="51" t="s">
        <v>495</v>
      </c>
      <c r="D113" s="9">
        <f t="shared" si="9"/>
        <v>54957.66492663711</v>
      </c>
      <c r="E113" s="10">
        <f t="shared" si="10"/>
        <v>302322.4908364485</v>
      </c>
      <c r="F113" s="11">
        <f t="shared" si="11"/>
        <v>1</v>
      </c>
      <c r="G113" s="11" t="str">
        <f t="shared" si="12"/>
        <v>0 01 22.07</v>
      </c>
      <c r="H113" s="12">
        <f t="shared" si="13"/>
        <v>1.0000379332688594</v>
      </c>
      <c r="I113" s="53" t="str">
        <f t="shared" si="14"/>
        <v>-27 07 32.68740</v>
      </c>
      <c r="J113" s="53" t="str">
        <f t="shared" si="15"/>
        <v>116 00 30.00964</v>
      </c>
      <c r="K113" s="54">
        <f t="shared" si="16"/>
        <v>1.0000379332688594</v>
      </c>
      <c r="L113" s="55" t="str">
        <f t="shared" si="17"/>
        <v>0 01 22.07</v>
      </c>
    </row>
    <row r="114" spans="1:12" x14ac:dyDescent="0.25">
      <c r="A114" s="50" t="s">
        <v>496</v>
      </c>
      <c r="B114" s="51" t="s">
        <v>497</v>
      </c>
      <c r="C114" s="51" t="s">
        <v>498</v>
      </c>
      <c r="D114" s="9">
        <f t="shared" si="9"/>
        <v>106133.89415108624</v>
      </c>
      <c r="E114" s="10">
        <f t="shared" si="10"/>
        <v>620447.21782154078</v>
      </c>
      <c r="F114" s="11">
        <f t="shared" si="11"/>
        <v>1</v>
      </c>
      <c r="G114" s="11" t="str">
        <f t="shared" si="12"/>
        <v>0 01 40.67</v>
      </c>
      <c r="H114" s="12">
        <f t="shared" si="13"/>
        <v>1.0000675530576797</v>
      </c>
      <c r="I114" s="53" t="str">
        <f t="shared" si="14"/>
        <v>-26 55 31.01790</v>
      </c>
      <c r="J114" s="53" t="str">
        <f t="shared" si="15"/>
        <v>118 18 47.31620</v>
      </c>
      <c r="K114" s="54">
        <f t="shared" si="16"/>
        <v>1.0000675530576795</v>
      </c>
      <c r="L114" s="55" t="str">
        <f t="shared" si="17"/>
        <v>0 01 40.67</v>
      </c>
    </row>
    <row r="115" spans="1:12" x14ac:dyDescent="0.25">
      <c r="A115" s="50" t="s">
        <v>499</v>
      </c>
      <c r="B115" s="51" t="s">
        <v>500</v>
      </c>
      <c r="C115" s="51" t="s">
        <v>501</v>
      </c>
      <c r="D115" s="9">
        <f t="shared" si="9"/>
        <v>50385.18392050168</v>
      </c>
      <c r="E115" s="10">
        <f t="shared" si="10"/>
        <v>347273.08734148974</v>
      </c>
      <c r="F115" s="11">
        <f t="shared" si="11"/>
        <v>1</v>
      </c>
      <c r="G115" s="11" t="str">
        <f t="shared" si="12"/>
        <v>0 00 05.07</v>
      </c>
      <c r="H115" s="12">
        <f t="shared" si="13"/>
        <v>1.0000078618323307</v>
      </c>
      <c r="I115" s="53" t="str">
        <f t="shared" si="14"/>
        <v>-22 10 14.69222</v>
      </c>
      <c r="J115" s="53" t="str">
        <f t="shared" si="15"/>
        <v>115 25 13.44461</v>
      </c>
      <c r="K115" s="54">
        <f t="shared" si="16"/>
        <v>1.0000078618323307</v>
      </c>
      <c r="L115" s="55" t="str">
        <f t="shared" si="17"/>
        <v>0 00 05.07</v>
      </c>
    </row>
    <row r="116" spans="1:12" x14ac:dyDescent="0.25">
      <c r="A116" s="50" t="s">
        <v>502</v>
      </c>
      <c r="B116" s="51" t="s">
        <v>503</v>
      </c>
      <c r="C116" s="51" t="s">
        <v>504</v>
      </c>
      <c r="D116" s="9">
        <f t="shared" si="9"/>
        <v>55843.544058141553</v>
      </c>
      <c r="E116" s="10">
        <f t="shared" si="10"/>
        <v>350149.45374309807</v>
      </c>
      <c r="F116" s="11">
        <f t="shared" si="11"/>
        <v>1</v>
      </c>
      <c r="G116" s="11" t="str">
        <f t="shared" si="12"/>
        <v>0 00 58.10</v>
      </c>
      <c r="H116" s="12">
        <f t="shared" si="13"/>
        <v>1.0000268320248733</v>
      </c>
      <c r="I116" s="53" t="str">
        <f t="shared" si="14"/>
        <v>-17 05 41.31690</v>
      </c>
      <c r="J116" s="53" t="str">
        <f t="shared" si="15"/>
        <v>125 00 55.64894</v>
      </c>
      <c r="K116" s="54">
        <f t="shared" si="16"/>
        <v>1.0000268320248731</v>
      </c>
      <c r="L116" s="55" t="str">
        <f t="shared" si="17"/>
        <v>0 00 58.10</v>
      </c>
    </row>
    <row r="117" spans="1:12" x14ac:dyDescent="0.25">
      <c r="A117" s="50" t="s">
        <v>505</v>
      </c>
      <c r="B117" s="51" t="s">
        <v>506</v>
      </c>
      <c r="C117" s="51" t="s">
        <v>507</v>
      </c>
      <c r="D117" s="9">
        <f t="shared" si="9"/>
        <v>52409.803274767306</v>
      </c>
      <c r="E117" s="10">
        <f t="shared" si="10"/>
        <v>356368.62489672564</v>
      </c>
      <c r="F117" s="11">
        <f t="shared" si="11"/>
        <v>1</v>
      </c>
      <c r="G117" s="11" t="str">
        <f t="shared" si="12"/>
        <v>0 00 50.40</v>
      </c>
      <c r="H117" s="12">
        <f t="shared" si="13"/>
        <v>1.0000454815688653</v>
      </c>
      <c r="I117" s="53" t="str">
        <f t="shared" si="14"/>
        <v>-32 54 58.68742</v>
      </c>
      <c r="J117" s="53" t="str">
        <f t="shared" si="15"/>
        <v>117 11 32.73864</v>
      </c>
      <c r="K117" s="54">
        <f t="shared" si="16"/>
        <v>1.0000454815688653</v>
      </c>
      <c r="L117" s="55" t="str">
        <f t="shared" si="17"/>
        <v>0 00 50.40</v>
      </c>
    </row>
    <row r="118" spans="1:12" x14ac:dyDescent="0.25">
      <c r="A118" s="50" t="s">
        <v>508</v>
      </c>
      <c r="B118" s="51" t="s">
        <v>509</v>
      </c>
      <c r="C118" s="51" t="s">
        <v>510</v>
      </c>
      <c r="D118" s="9">
        <f t="shared" si="9"/>
        <v>50814.62141350469</v>
      </c>
      <c r="E118" s="10">
        <f t="shared" si="10"/>
        <v>336907.69762913277</v>
      </c>
      <c r="F118" s="11">
        <f t="shared" si="11"/>
        <v>1</v>
      </c>
      <c r="G118" s="11" t="str">
        <f t="shared" si="12"/>
        <v>0 00 17.15</v>
      </c>
      <c r="H118" s="12">
        <f t="shared" si="13"/>
        <v>1.0000444781781805</v>
      </c>
      <c r="I118" s="53" t="str">
        <f t="shared" si="14"/>
        <v>-33 05 30.48749</v>
      </c>
      <c r="J118" s="53" t="str">
        <f t="shared" si="15"/>
        <v>119 03 31.41198</v>
      </c>
      <c r="K118" s="54">
        <f t="shared" si="16"/>
        <v>1.0000444781781805</v>
      </c>
      <c r="L118" s="55" t="str">
        <f t="shared" si="17"/>
        <v>0 00 17.15</v>
      </c>
    </row>
    <row r="119" spans="1:12" x14ac:dyDescent="0.25">
      <c r="A119" s="50" t="s">
        <v>511</v>
      </c>
      <c r="B119" s="51" t="s">
        <v>512</v>
      </c>
      <c r="C119" s="51" t="s">
        <v>513</v>
      </c>
      <c r="D119" s="9">
        <f t="shared" si="9"/>
        <v>50541.86175591834</v>
      </c>
      <c r="E119" s="10">
        <f t="shared" si="10"/>
        <v>318153.16773090418</v>
      </c>
      <c r="F119" s="11">
        <f t="shared" si="11"/>
        <v>1</v>
      </c>
      <c r="G119" s="11" t="str">
        <f t="shared" si="12"/>
        <v>0 00 07.72</v>
      </c>
      <c r="H119" s="12">
        <f t="shared" si="13"/>
        <v>1.0000886236248627</v>
      </c>
      <c r="I119" s="53" t="str">
        <f t="shared" si="14"/>
        <v>-23 47 10.47383</v>
      </c>
      <c r="J119" s="53" t="str">
        <f t="shared" si="15"/>
        <v>119 43 19.13801</v>
      </c>
      <c r="K119" s="54">
        <f t="shared" si="16"/>
        <v>1.0000886236248627</v>
      </c>
      <c r="L119" s="55" t="str">
        <f t="shared" si="17"/>
        <v>0 00 07.72</v>
      </c>
    </row>
    <row r="120" spans="1:12" x14ac:dyDescent="0.25">
      <c r="A120" s="50" t="s">
        <v>514</v>
      </c>
      <c r="B120" s="51" t="s">
        <v>515</v>
      </c>
      <c r="C120" s="51" t="s">
        <v>516</v>
      </c>
      <c r="D120" s="9">
        <f t="shared" si="9"/>
        <v>50772.872196885837</v>
      </c>
      <c r="E120" s="10">
        <f t="shared" si="10"/>
        <v>345336.21255231556</v>
      </c>
      <c r="F120" s="11">
        <f t="shared" si="11"/>
        <v>1</v>
      </c>
      <c r="G120" s="11" t="str">
        <f t="shared" si="12"/>
        <v>0 00 10.10</v>
      </c>
      <c r="H120" s="12">
        <f t="shared" si="13"/>
        <v>1.0000612873768389</v>
      </c>
      <c r="I120" s="53" t="str">
        <f t="shared" si="14"/>
        <v>-22 01 17.70226</v>
      </c>
      <c r="J120" s="53" t="str">
        <f t="shared" si="15"/>
        <v>120 06 26.94686</v>
      </c>
      <c r="K120" s="54">
        <f t="shared" si="16"/>
        <v>1.0000612873768389</v>
      </c>
      <c r="L120" s="55" t="str">
        <f t="shared" si="17"/>
        <v>0 00 10.10</v>
      </c>
    </row>
    <row r="121" spans="1:12" x14ac:dyDescent="0.25">
      <c r="A121" s="50" t="s">
        <v>517</v>
      </c>
      <c r="B121" s="51" t="s">
        <v>518</v>
      </c>
      <c r="C121" s="51" t="s">
        <v>519</v>
      </c>
      <c r="D121" s="9">
        <f t="shared" si="9"/>
        <v>50482.680786723853</v>
      </c>
      <c r="E121" s="10">
        <f t="shared" si="10"/>
        <v>336769.64932915941</v>
      </c>
      <c r="F121" s="11">
        <f t="shared" si="11"/>
        <v>1</v>
      </c>
      <c r="G121" s="11" t="str">
        <f t="shared" si="12"/>
        <v>0 00 06.11</v>
      </c>
      <c r="H121" s="12">
        <f t="shared" si="13"/>
        <v>1.0000372228775942</v>
      </c>
      <c r="I121" s="53" t="str">
        <f t="shared" si="14"/>
        <v>-21 23 20.25352</v>
      </c>
      <c r="J121" s="53" t="str">
        <f t="shared" si="15"/>
        <v>121 05 02.75611</v>
      </c>
      <c r="K121" s="54">
        <f t="shared" si="16"/>
        <v>1.0000372228775942</v>
      </c>
      <c r="L121" s="55" t="str">
        <f t="shared" si="17"/>
        <v>0 00 06.11</v>
      </c>
    </row>
    <row r="122" spans="1:12" x14ac:dyDescent="0.25">
      <c r="A122" s="50" t="s">
        <v>520</v>
      </c>
      <c r="B122" s="51" t="s">
        <v>521</v>
      </c>
      <c r="C122" s="51" t="s">
        <v>522</v>
      </c>
      <c r="D122" s="9">
        <f t="shared" si="9"/>
        <v>51487.919549444377</v>
      </c>
      <c r="E122" s="10">
        <f t="shared" si="10"/>
        <v>349555.78905895352</v>
      </c>
      <c r="F122" s="11">
        <f t="shared" si="11"/>
        <v>1</v>
      </c>
      <c r="G122" s="11" t="str">
        <f t="shared" si="12"/>
        <v>0 00 32.40</v>
      </c>
      <c r="H122" s="12">
        <f t="shared" si="13"/>
        <v>1.0000380972787</v>
      </c>
      <c r="I122" s="53" t="str">
        <f t="shared" si="14"/>
        <v>-33 58 43.38822</v>
      </c>
      <c r="J122" s="53" t="str">
        <f t="shared" si="15"/>
        <v>118 29 27.96378</v>
      </c>
      <c r="K122" s="54">
        <f t="shared" si="16"/>
        <v>1.0000380972787</v>
      </c>
      <c r="L122" s="55" t="str">
        <f t="shared" si="17"/>
        <v>0 00 32.40</v>
      </c>
    </row>
    <row r="123" spans="1:12" x14ac:dyDescent="0.25">
      <c r="A123" s="50" t="s">
        <v>523</v>
      </c>
      <c r="B123" s="51" t="s">
        <v>524</v>
      </c>
      <c r="C123" s="51" t="s">
        <v>525</v>
      </c>
      <c r="D123" s="9">
        <f t="shared" si="9"/>
        <v>52134.646164560225</v>
      </c>
      <c r="E123" s="10">
        <f t="shared" si="10"/>
        <v>359915.39806543896</v>
      </c>
      <c r="F123" s="11">
        <f t="shared" si="11"/>
        <v>1</v>
      </c>
      <c r="G123" s="11" t="str">
        <f t="shared" si="12"/>
        <v>0 00 29.47</v>
      </c>
      <c r="H123" s="12">
        <f t="shared" si="13"/>
        <v>1.0001095716908186</v>
      </c>
      <c r="I123" s="53" t="str">
        <f t="shared" si="14"/>
        <v>-23 07 43.76770</v>
      </c>
      <c r="J123" s="53" t="str">
        <f t="shared" si="15"/>
        <v>119 26 48.01963</v>
      </c>
      <c r="K123" s="54">
        <f t="shared" si="16"/>
        <v>1.0001095716908184</v>
      </c>
      <c r="L123" s="55" t="str">
        <f t="shared" si="17"/>
        <v>0 00 29.47</v>
      </c>
    </row>
    <row r="124" spans="1:12" x14ac:dyDescent="0.25">
      <c r="A124" s="50" t="s">
        <v>526</v>
      </c>
      <c r="B124" s="51" t="s">
        <v>527</v>
      </c>
      <c r="C124" s="51" t="s">
        <v>528</v>
      </c>
      <c r="D124" s="9">
        <f t="shared" si="9"/>
        <v>52983.709343297523</v>
      </c>
      <c r="E124" s="10">
        <f t="shared" si="10"/>
        <v>347396.63282288378</v>
      </c>
      <c r="F124" s="11">
        <f t="shared" si="11"/>
        <v>1</v>
      </c>
      <c r="G124" s="11" t="str">
        <f t="shared" si="12"/>
        <v>0 00 35.13</v>
      </c>
      <c r="H124" s="12">
        <f t="shared" si="13"/>
        <v>1.0000084199835366</v>
      </c>
      <c r="I124" s="53" t="str">
        <f t="shared" si="14"/>
        <v>-20 00 39.62329</v>
      </c>
      <c r="J124" s="53" t="str">
        <f t="shared" si="15"/>
        <v>119 57 24.64988</v>
      </c>
      <c r="K124" s="54">
        <f t="shared" si="16"/>
        <v>1.0000084199835364</v>
      </c>
      <c r="L124" s="55" t="str">
        <f t="shared" si="17"/>
        <v>0 00 35.13</v>
      </c>
    </row>
    <row r="125" spans="1:12" x14ac:dyDescent="0.25">
      <c r="A125" s="50" t="s">
        <v>529</v>
      </c>
      <c r="B125" s="51" t="s">
        <v>530</v>
      </c>
      <c r="C125" s="51" t="s">
        <v>531</v>
      </c>
      <c r="D125" s="9">
        <f t="shared" si="9"/>
        <v>50016.275454648079</v>
      </c>
      <c r="E125" s="10">
        <f t="shared" si="10"/>
        <v>319069.44369192468</v>
      </c>
      <c r="F125" s="11">
        <f t="shared" si="11"/>
        <v>1</v>
      </c>
      <c r="G125" s="11" t="str">
        <f t="shared" si="12"/>
        <v>0 00 00.16</v>
      </c>
      <c r="H125" s="12">
        <f t="shared" si="13"/>
        <v>1.000006980003274</v>
      </c>
      <c r="I125" s="53" t="str">
        <f t="shared" si="14"/>
        <v>-16 42 26.37526</v>
      </c>
      <c r="J125" s="53" t="str">
        <f t="shared" si="15"/>
        <v>122 53 58.54938</v>
      </c>
      <c r="K125" s="54">
        <f t="shared" si="16"/>
        <v>1.000006980003274</v>
      </c>
      <c r="L125" s="55" t="str">
        <f t="shared" si="17"/>
        <v>0 00 00.16</v>
      </c>
    </row>
    <row r="126" spans="1:12" x14ac:dyDescent="0.25">
      <c r="A126" s="50" t="s">
        <v>532</v>
      </c>
      <c r="B126" s="51" t="s">
        <v>533</v>
      </c>
      <c r="C126" s="51" t="s">
        <v>534</v>
      </c>
      <c r="D126" s="9">
        <f t="shared" si="9"/>
        <v>51251.642352744093</v>
      </c>
      <c r="E126" s="10">
        <f t="shared" si="10"/>
        <v>328125.29602552624</v>
      </c>
      <c r="F126" s="11">
        <f t="shared" si="11"/>
        <v>1</v>
      </c>
      <c r="G126" s="11" t="str">
        <f t="shared" si="12"/>
        <v>0 00 27.41</v>
      </c>
      <c r="H126" s="12">
        <f t="shared" si="13"/>
        <v>1.00003345930245</v>
      </c>
      <c r="I126" s="53" t="str">
        <f t="shared" si="14"/>
        <v>-34 08 09.63913</v>
      </c>
      <c r="J126" s="53" t="str">
        <f t="shared" si="15"/>
        <v>116 32 48.84968</v>
      </c>
      <c r="K126" s="54">
        <f t="shared" si="16"/>
        <v>1.0000334593024498</v>
      </c>
      <c r="L126" s="55" t="str">
        <f t="shared" si="17"/>
        <v>0 00 27.41</v>
      </c>
    </row>
    <row r="127" spans="1:12" x14ac:dyDescent="0.25">
      <c r="A127" s="50" t="s">
        <v>535</v>
      </c>
      <c r="B127" s="51" t="s">
        <v>536</v>
      </c>
      <c r="C127" s="51" t="s">
        <v>537</v>
      </c>
      <c r="D127" s="9">
        <f t="shared" si="9"/>
        <v>51374.120086945921</v>
      </c>
      <c r="E127" s="10">
        <f t="shared" si="10"/>
        <v>339535.93432631576</v>
      </c>
      <c r="F127" s="11">
        <f t="shared" si="11"/>
        <v>1</v>
      </c>
      <c r="G127" s="11" t="str">
        <f t="shared" si="12"/>
        <v>0 00 24.17</v>
      </c>
      <c r="H127" s="12">
        <f t="shared" si="13"/>
        <v>1.0000432332916449</v>
      </c>
      <c r="I127" s="53" t="str">
        <f t="shared" si="14"/>
        <v>-28 33 30.29112</v>
      </c>
      <c r="J127" s="53" t="str">
        <f t="shared" si="15"/>
        <v>115 48 50.55300</v>
      </c>
      <c r="K127" s="54">
        <f t="shared" si="16"/>
        <v>1.0000432332916447</v>
      </c>
      <c r="L127" s="55" t="str">
        <f t="shared" si="17"/>
        <v>0 00 24.17</v>
      </c>
    </row>
    <row r="128" spans="1:12" x14ac:dyDescent="0.25">
      <c r="A128" s="50" t="s">
        <v>538</v>
      </c>
      <c r="B128" s="51" t="s">
        <v>539</v>
      </c>
      <c r="C128" s="51" t="s">
        <v>540</v>
      </c>
      <c r="D128" s="9">
        <f t="shared" si="9"/>
        <v>50558.665783859899</v>
      </c>
      <c r="E128" s="10">
        <f t="shared" si="10"/>
        <v>336084.25031203125</v>
      </c>
      <c r="F128" s="11">
        <f t="shared" si="11"/>
        <v>1</v>
      </c>
      <c r="G128" s="11" t="str">
        <f t="shared" si="12"/>
        <v>0 00 12.30</v>
      </c>
      <c r="H128" s="12">
        <f t="shared" si="13"/>
        <v>1.0000046638455253</v>
      </c>
      <c r="I128" s="53" t="str">
        <f t="shared" si="14"/>
        <v>-34 16 21.31122</v>
      </c>
      <c r="J128" s="53" t="str">
        <f t="shared" si="15"/>
        <v>119 27 21.83969</v>
      </c>
      <c r="K128" s="54">
        <f t="shared" si="16"/>
        <v>1.0000046638455253</v>
      </c>
      <c r="L128" s="55" t="str">
        <f t="shared" si="17"/>
        <v>0 00 12.30</v>
      </c>
    </row>
    <row r="129" spans="1:12" x14ac:dyDescent="0.25">
      <c r="A129" s="50" t="s">
        <v>541</v>
      </c>
      <c r="B129" s="51" t="s">
        <v>542</v>
      </c>
      <c r="C129" s="51" t="s">
        <v>543</v>
      </c>
      <c r="D129" s="9">
        <f t="shared" si="9"/>
        <v>58666.161031920034</v>
      </c>
      <c r="E129" s="10">
        <f t="shared" si="10"/>
        <v>349852.14857971901</v>
      </c>
      <c r="F129" s="11">
        <f t="shared" si="11"/>
        <v>1</v>
      </c>
      <c r="G129" s="11" t="str">
        <f t="shared" si="12"/>
        <v>0 01 30.84</v>
      </c>
      <c r="H129" s="12">
        <f t="shared" si="13"/>
        <v>1.0000296980837671</v>
      </c>
      <c r="I129" s="53" t="str">
        <f t="shared" si="14"/>
        <v>-17 57 53.37050</v>
      </c>
      <c r="J129" s="53" t="str">
        <f t="shared" si="15"/>
        <v>125 09 54.51962</v>
      </c>
      <c r="K129" s="54">
        <f t="shared" si="16"/>
        <v>1.0000296980837668</v>
      </c>
      <c r="L129" s="55" t="str">
        <f t="shared" si="17"/>
        <v>0 01 30.84</v>
      </c>
    </row>
    <row r="130" spans="1:12" x14ac:dyDescent="0.25">
      <c r="A130" s="50" t="s">
        <v>544</v>
      </c>
      <c r="B130" s="51" t="s">
        <v>545</v>
      </c>
      <c r="C130" s="51" t="s">
        <v>546</v>
      </c>
      <c r="D130" s="9">
        <f t="shared" si="9"/>
        <v>52907.366650894852</v>
      </c>
      <c r="E130" s="10">
        <f t="shared" si="10"/>
        <v>402666.51459609764</v>
      </c>
      <c r="F130" s="11">
        <f t="shared" si="11"/>
        <v>1</v>
      </c>
      <c r="G130" s="11" t="str">
        <f t="shared" si="12"/>
        <v>0 01 01.93</v>
      </c>
      <c r="H130" s="12">
        <f t="shared" si="13"/>
        <v>1.0000320041648749</v>
      </c>
      <c r="I130" s="53" t="str">
        <f t="shared" si="14"/>
        <v>-33 24 03.37097</v>
      </c>
      <c r="J130" s="53" t="str">
        <f t="shared" si="15"/>
        <v>120 03 52.50546</v>
      </c>
      <c r="K130" s="54">
        <f t="shared" si="16"/>
        <v>1.0000320041648751</v>
      </c>
      <c r="L130" s="55" t="str">
        <f t="shared" si="17"/>
        <v>0 01 01.93</v>
      </c>
    </row>
    <row r="131" spans="1:12" x14ac:dyDescent="0.25">
      <c r="A131" s="50" t="s">
        <v>547</v>
      </c>
      <c r="B131" s="51" t="s">
        <v>548</v>
      </c>
      <c r="C131" s="51" t="s">
        <v>549</v>
      </c>
      <c r="D131" s="9">
        <f t="shared" ref="D131:D194" si="18">grideasting(B131,C131,A131)</f>
        <v>53302.890233022496</v>
      </c>
      <c r="E131" s="10">
        <f t="shared" ref="E131:E194" si="19">gridnorthing(B131,C131,A131)</f>
        <v>333310.17894642614</v>
      </c>
      <c r="F131" s="11">
        <f t="shared" ref="F131:F194" si="20">gridzone(B131,C131,A131)</f>
        <v>1</v>
      </c>
      <c r="G131" s="11" t="str">
        <f t="shared" ref="G131:G194" si="21">GridGridCon(B131,C131,A131)</f>
        <v>0 00 41.76</v>
      </c>
      <c r="H131" s="12">
        <f t="shared" ref="H131:H194" si="22">GridPntScleFact(B131,C131,A131)</f>
        <v>1.0000496147393221</v>
      </c>
      <c r="I131" s="53" t="str">
        <f t="shared" ref="I131:I194" si="23">datumlat(D131,E131,F131,A131)</f>
        <v>-21 21 43.69644</v>
      </c>
      <c r="J131" s="53" t="str">
        <f t="shared" ref="J131:J194" si="24">datumlong(D131,E131,F131,A131)</f>
        <v>120 32 12.63649</v>
      </c>
      <c r="K131" s="54">
        <f t="shared" ref="K131:K194" si="25">DatumPntScle(D131,E131,F131,A131)</f>
        <v>1.0000496147393221</v>
      </c>
      <c r="L131" s="55" t="str">
        <f t="shared" ref="L131:L194" si="26">DatumGridConv(D131,E131,F131,A131)</f>
        <v>0 00 41.76</v>
      </c>
    </row>
    <row r="132" spans="1:12" x14ac:dyDescent="0.25">
      <c r="A132" s="50" t="s">
        <v>550</v>
      </c>
      <c r="B132" s="51" t="s">
        <v>551</v>
      </c>
      <c r="C132" s="51" t="s">
        <v>552</v>
      </c>
      <c r="D132" s="9">
        <f t="shared" si="18"/>
        <v>51809.096557159384</v>
      </c>
      <c r="E132" s="10">
        <f t="shared" si="19"/>
        <v>317715.15759983612</v>
      </c>
      <c r="F132" s="11">
        <f t="shared" si="20"/>
        <v>1</v>
      </c>
      <c r="G132" s="11" t="str">
        <f t="shared" si="21"/>
        <v>0 00 20.62</v>
      </c>
      <c r="H132" s="12">
        <f t="shared" si="22"/>
        <v>1.0000049004368854</v>
      </c>
      <c r="I132" s="53" t="str">
        <f t="shared" si="23"/>
        <v>-19 25 15.72244</v>
      </c>
      <c r="J132" s="53" t="str">
        <f t="shared" si="24"/>
        <v>121 19 02.01148</v>
      </c>
      <c r="K132" s="54">
        <f t="shared" si="25"/>
        <v>1.0000049004368854</v>
      </c>
      <c r="L132" s="55" t="str">
        <f t="shared" si="26"/>
        <v>0 00 20.62</v>
      </c>
    </row>
    <row r="133" spans="1:12" x14ac:dyDescent="0.25">
      <c r="A133" s="50" t="s">
        <v>553</v>
      </c>
      <c r="B133" s="51" t="s">
        <v>554</v>
      </c>
      <c r="C133" s="51" t="s">
        <v>555</v>
      </c>
      <c r="D133" s="9">
        <f t="shared" si="18"/>
        <v>52712.773752719608</v>
      </c>
      <c r="E133" s="10">
        <f t="shared" si="19"/>
        <v>454281.0436383551</v>
      </c>
      <c r="F133" s="11">
        <f t="shared" si="20"/>
        <v>1</v>
      </c>
      <c r="G133" s="11" t="str">
        <f t="shared" si="21"/>
        <v>0 00 56.77</v>
      </c>
      <c r="H133" s="12">
        <f t="shared" si="22"/>
        <v>1.0000279006972135</v>
      </c>
      <c r="I133" s="53" t="str">
        <f t="shared" si="23"/>
        <v>-32 56 08.52893</v>
      </c>
      <c r="J133" s="53" t="str">
        <f t="shared" si="24"/>
        <v>121 43 44.42275</v>
      </c>
      <c r="K133" s="54">
        <f t="shared" si="25"/>
        <v>1.0000279006972135</v>
      </c>
      <c r="L133" s="55" t="str">
        <f t="shared" si="26"/>
        <v>0 00 56.77</v>
      </c>
    </row>
    <row r="134" spans="1:12" x14ac:dyDescent="0.25">
      <c r="A134" s="50" t="s">
        <v>556</v>
      </c>
      <c r="B134" s="51" t="s">
        <v>557</v>
      </c>
      <c r="C134" s="51" t="s">
        <v>558</v>
      </c>
      <c r="D134" s="9">
        <f t="shared" si="18"/>
        <v>50192.859539533762</v>
      </c>
      <c r="E134" s="10">
        <f t="shared" si="19"/>
        <v>303137.25261032209</v>
      </c>
      <c r="F134" s="11">
        <f t="shared" si="20"/>
        <v>1</v>
      </c>
      <c r="G134" s="11" t="str">
        <f t="shared" si="21"/>
        <v>0 00 03.78</v>
      </c>
      <c r="H134" s="12">
        <f t="shared" si="22"/>
        <v>1.0000528004585578</v>
      </c>
      <c r="I134" s="53" t="str">
        <f t="shared" si="23"/>
        <v>-31 13 54.67174</v>
      </c>
      <c r="J134" s="53" t="str">
        <f t="shared" si="24"/>
        <v>119 03 07.28708</v>
      </c>
      <c r="K134" s="54">
        <f t="shared" si="25"/>
        <v>1.0000528004585578</v>
      </c>
      <c r="L134" s="55" t="str">
        <f t="shared" si="26"/>
        <v>0 00 03.78</v>
      </c>
    </row>
    <row r="135" spans="1:12" x14ac:dyDescent="0.25">
      <c r="A135" s="50" t="s">
        <v>559</v>
      </c>
      <c r="B135" s="51" t="s">
        <v>560</v>
      </c>
      <c r="C135" s="51" t="s">
        <v>561</v>
      </c>
      <c r="D135" s="9">
        <f t="shared" si="18"/>
        <v>51372.960534793376</v>
      </c>
      <c r="E135" s="10">
        <f t="shared" si="19"/>
        <v>342349.82002527919</v>
      </c>
      <c r="F135" s="11">
        <f t="shared" si="20"/>
        <v>1</v>
      </c>
      <c r="G135" s="11" t="str">
        <f t="shared" si="21"/>
        <v>0 00 30.71</v>
      </c>
      <c r="H135" s="12">
        <f t="shared" si="22"/>
        <v>1.0000077832233805</v>
      </c>
      <c r="I135" s="53" t="str">
        <f t="shared" si="23"/>
        <v>-34 42 10.01822</v>
      </c>
      <c r="J135" s="53" t="str">
        <f t="shared" si="24"/>
        <v>116 27 53.94870</v>
      </c>
      <c r="K135" s="54">
        <f t="shared" si="25"/>
        <v>1.0000077832233805</v>
      </c>
      <c r="L135" s="55" t="str">
        <f t="shared" si="26"/>
        <v>0 00 30.71</v>
      </c>
    </row>
    <row r="136" spans="1:12" x14ac:dyDescent="0.25">
      <c r="A136" s="50" t="s">
        <v>562</v>
      </c>
      <c r="B136" s="51" t="s">
        <v>563</v>
      </c>
      <c r="C136" s="51" t="s">
        <v>564</v>
      </c>
      <c r="D136" s="9">
        <f t="shared" si="18"/>
        <v>50169.277994913762</v>
      </c>
      <c r="E136" s="10">
        <f t="shared" si="19"/>
        <v>322360.9622387304</v>
      </c>
      <c r="F136" s="11">
        <f t="shared" si="20"/>
        <v>1</v>
      </c>
      <c r="G136" s="11" t="str">
        <f t="shared" si="21"/>
        <v>0 00 02.06</v>
      </c>
      <c r="H136" s="12">
        <f t="shared" si="22"/>
        <v>1.000010840353978</v>
      </c>
      <c r="I136" s="53" t="str">
        <f t="shared" si="23"/>
        <v>-20 35 21.73596</v>
      </c>
      <c r="J136" s="53" t="str">
        <f t="shared" si="24"/>
        <v>119 15 05.84539</v>
      </c>
      <c r="K136" s="54">
        <f t="shared" si="25"/>
        <v>1.000010840353978</v>
      </c>
      <c r="L136" s="55" t="str">
        <f t="shared" si="26"/>
        <v>0 00 02.06</v>
      </c>
    </row>
    <row r="137" spans="1:12" x14ac:dyDescent="0.25">
      <c r="A137" s="50" t="s">
        <v>565</v>
      </c>
      <c r="B137" s="51" t="s">
        <v>566</v>
      </c>
      <c r="C137" s="51" t="s">
        <v>567</v>
      </c>
      <c r="D137" s="9">
        <f t="shared" si="18"/>
        <v>53139.91172740014</v>
      </c>
      <c r="E137" s="10">
        <f t="shared" si="19"/>
        <v>349579.75463900669</v>
      </c>
      <c r="F137" s="11">
        <f t="shared" si="20"/>
        <v>1</v>
      </c>
      <c r="G137" s="11" t="str">
        <f t="shared" si="21"/>
        <v>0 00 50.58</v>
      </c>
      <c r="H137" s="12">
        <f t="shared" si="22"/>
        <v>1.0000836316578021</v>
      </c>
      <c r="I137" s="53" t="str">
        <f t="shared" si="23"/>
        <v>-26 29 44.48616</v>
      </c>
      <c r="J137" s="53" t="str">
        <f t="shared" si="24"/>
        <v>118 53 43.37452</v>
      </c>
      <c r="K137" s="54">
        <f t="shared" si="25"/>
        <v>1.0000836316578021</v>
      </c>
      <c r="L137" s="55" t="str">
        <f t="shared" si="26"/>
        <v>0 00 50.58</v>
      </c>
    </row>
    <row r="138" spans="1:12" x14ac:dyDescent="0.25">
      <c r="A138" s="50" t="s">
        <v>568</v>
      </c>
      <c r="B138" s="51" t="s">
        <v>569</v>
      </c>
      <c r="C138" s="51" t="s">
        <v>570</v>
      </c>
      <c r="D138" s="9">
        <f t="shared" si="18"/>
        <v>53325.376685622286</v>
      </c>
      <c r="E138" s="10">
        <f t="shared" si="19"/>
        <v>353515.55244591087</v>
      </c>
      <c r="F138" s="11">
        <f t="shared" si="20"/>
        <v>1</v>
      </c>
      <c r="G138" s="11" t="str">
        <f t="shared" si="21"/>
        <v>0 01 11.55</v>
      </c>
      <c r="H138" s="12">
        <f t="shared" si="22"/>
        <v>1.0000068962666604</v>
      </c>
      <c r="I138" s="53" t="str">
        <f t="shared" si="23"/>
        <v>-33 39 52.54675</v>
      </c>
      <c r="J138" s="53" t="str">
        <f t="shared" si="24"/>
        <v>121 13 09.07550</v>
      </c>
      <c r="K138" s="54">
        <f t="shared" si="25"/>
        <v>1.0000068962666602</v>
      </c>
      <c r="L138" s="55" t="str">
        <f t="shared" si="26"/>
        <v>0 01 11.55</v>
      </c>
    </row>
    <row r="139" spans="1:12" x14ac:dyDescent="0.25">
      <c r="A139" s="50" t="s">
        <v>571</v>
      </c>
      <c r="B139" s="51" t="s">
        <v>572</v>
      </c>
      <c r="C139" s="51" t="s">
        <v>573</v>
      </c>
      <c r="D139" s="9">
        <f t="shared" si="18"/>
        <v>56555.434943069449</v>
      </c>
      <c r="E139" s="10">
        <f t="shared" si="19"/>
        <v>359859.64434286254</v>
      </c>
      <c r="F139" s="11">
        <f t="shared" si="20"/>
        <v>1</v>
      </c>
      <c r="G139" s="11" t="str">
        <f t="shared" si="21"/>
        <v>0 01 22.22</v>
      </c>
      <c r="H139" s="12">
        <f t="shared" si="22"/>
        <v>1.000014990805101</v>
      </c>
      <c r="I139" s="53" t="str">
        <f t="shared" si="23"/>
        <v>-21 12 20.43842</v>
      </c>
      <c r="J139" s="53" t="str">
        <f t="shared" si="24"/>
        <v>116 27 47.29302</v>
      </c>
      <c r="K139" s="54">
        <f t="shared" si="25"/>
        <v>1.000014990805101</v>
      </c>
      <c r="L139" s="55" t="str">
        <f t="shared" si="26"/>
        <v>0 01 22.22</v>
      </c>
    </row>
    <row r="140" spans="1:12" x14ac:dyDescent="0.25">
      <c r="A140" s="50" t="s">
        <v>574</v>
      </c>
      <c r="B140" s="51" t="s">
        <v>575</v>
      </c>
      <c r="C140" s="51" t="s">
        <v>576</v>
      </c>
      <c r="D140" s="9">
        <f t="shared" si="18"/>
        <v>56010.281685861672</v>
      </c>
      <c r="E140" s="10">
        <f t="shared" si="19"/>
        <v>311774.55376645131</v>
      </c>
      <c r="F140" s="11">
        <f t="shared" si="20"/>
        <v>1</v>
      </c>
      <c r="G140" s="11" t="str">
        <f t="shared" si="21"/>
        <v>0 01 42.12</v>
      </c>
      <c r="H140" s="12">
        <f t="shared" si="22"/>
        <v>1.0000616056586271</v>
      </c>
      <c r="I140" s="53" t="str">
        <f t="shared" si="23"/>
        <v>-27 44 04.73622</v>
      </c>
      <c r="J140" s="53" t="str">
        <f t="shared" si="24"/>
        <v>124 05 27.42497</v>
      </c>
      <c r="K140" s="54">
        <f t="shared" si="25"/>
        <v>1.0000616056586271</v>
      </c>
      <c r="L140" s="55" t="str">
        <f t="shared" si="26"/>
        <v>0 01 42.12</v>
      </c>
    </row>
    <row r="141" spans="1:12" x14ac:dyDescent="0.25">
      <c r="A141" s="50" t="s">
        <v>577</v>
      </c>
      <c r="B141" s="51" t="s">
        <v>578</v>
      </c>
      <c r="C141" s="51" t="s">
        <v>579</v>
      </c>
      <c r="D141" s="9">
        <f t="shared" si="18"/>
        <v>55407.156068449782</v>
      </c>
      <c r="E141" s="10">
        <f t="shared" si="19"/>
        <v>343870.4105015872</v>
      </c>
      <c r="F141" s="11">
        <f t="shared" si="20"/>
        <v>1</v>
      </c>
      <c r="G141" s="11" t="str">
        <f t="shared" si="21"/>
        <v>0 01 56.79</v>
      </c>
      <c r="H141" s="12">
        <f t="shared" si="22"/>
        <v>1.000051110260725</v>
      </c>
      <c r="I141" s="53" t="str">
        <f t="shared" si="23"/>
        <v>-33 46 05.13833</v>
      </c>
      <c r="J141" s="53" t="str">
        <f t="shared" si="24"/>
        <v>118 25 30.12312</v>
      </c>
      <c r="K141" s="54">
        <f t="shared" si="25"/>
        <v>1.0000511102607248</v>
      </c>
      <c r="L141" s="55" t="str">
        <f t="shared" si="26"/>
        <v>0 01 56.79</v>
      </c>
    </row>
    <row r="142" spans="1:12" x14ac:dyDescent="0.25">
      <c r="A142" s="50" t="s">
        <v>580</v>
      </c>
      <c r="B142" s="51" t="s">
        <v>581</v>
      </c>
      <c r="C142" s="51" t="s">
        <v>582</v>
      </c>
      <c r="D142" s="9">
        <f t="shared" si="18"/>
        <v>55913.084198796016</v>
      </c>
      <c r="E142" s="10">
        <f t="shared" si="19"/>
        <v>307054.64844307723</v>
      </c>
      <c r="F142" s="11">
        <f t="shared" si="20"/>
        <v>1</v>
      </c>
      <c r="G142" s="11" t="str">
        <f t="shared" si="21"/>
        <v>0 01 39.27</v>
      </c>
      <c r="H142" s="12">
        <f t="shared" si="22"/>
        <v>1.0000681313815005</v>
      </c>
      <c r="I142" s="53" t="str">
        <f t="shared" si="23"/>
        <v>-27 27 07.95290</v>
      </c>
      <c r="J142" s="53" t="str">
        <f t="shared" si="24"/>
        <v>124 45 07.32251</v>
      </c>
      <c r="K142" s="54">
        <f t="shared" si="25"/>
        <v>1.0000681313815007</v>
      </c>
      <c r="L142" s="55" t="str">
        <f t="shared" si="26"/>
        <v>0 01 39.27</v>
      </c>
    </row>
    <row r="143" spans="1:12" x14ac:dyDescent="0.25">
      <c r="A143" s="50" t="s">
        <v>583</v>
      </c>
      <c r="B143" s="51" t="s">
        <v>584</v>
      </c>
      <c r="C143" s="51" t="s">
        <v>585</v>
      </c>
      <c r="D143" s="9">
        <f t="shared" si="18"/>
        <v>53512.045918668824</v>
      </c>
      <c r="E143" s="10">
        <f t="shared" si="19"/>
        <v>368790.75014000479</v>
      </c>
      <c r="F143" s="11">
        <f t="shared" si="20"/>
        <v>1</v>
      </c>
      <c r="G143" s="11" t="str">
        <f t="shared" si="21"/>
        <v>0 00 46.85</v>
      </c>
      <c r="H143" s="12">
        <f t="shared" si="22"/>
        <v>1.0001011823103072</v>
      </c>
      <c r="I143" s="53" t="str">
        <f t="shared" si="23"/>
        <v>-22 25 33.12520</v>
      </c>
      <c r="J143" s="53" t="str">
        <f t="shared" si="24"/>
        <v>117 46 02.79714</v>
      </c>
      <c r="K143" s="54">
        <f t="shared" si="25"/>
        <v>1.0001011823103074</v>
      </c>
      <c r="L143" s="55" t="str">
        <f t="shared" si="26"/>
        <v>0 00 46.85</v>
      </c>
    </row>
    <row r="144" spans="1:12" x14ac:dyDescent="0.25">
      <c r="A144" s="50" t="s">
        <v>586</v>
      </c>
      <c r="B144" s="51" t="s">
        <v>587</v>
      </c>
      <c r="C144" s="51" t="s">
        <v>588</v>
      </c>
      <c r="D144" s="9">
        <f t="shared" si="18"/>
        <v>50139.324162081182</v>
      </c>
      <c r="E144" s="10">
        <f t="shared" si="19"/>
        <v>370342.2035485087</v>
      </c>
      <c r="F144" s="11">
        <f t="shared" si="20"/>
        <v>1</v>
      </c>
      <c r="G144" s="11" t="str">
        <f t="shared" si="21"/>
        <v>0 00 01.87</v>
      </c>
      <c r="H144" s="12">
        <f t="shared" si="22"/>
        <v>1.0000253002397084</v>
      </c>
      <c r="I144" s="53" t="str">
        <f t="shared" si="23"/>
        <v>-22 34 57.37130</v>
      </c>
      <c r="J144" s="53" t="str">
        <f t="shared" si="24"/>
        <v>115 56 04.87727</v>
      </c>
      <c r="K144" s="54">
        <f t="shared" si="25"/>
        <v>1.0000253002397084</v>
      </c>
      <c r="L144" s="55" t="str">
        <f t="shared" si="26"/>
        <v>0 00 01.87</v>
      </c>
    </row>
    <row r="145" spans="1:12" x14ac:dyDescent="0.25">
      <c r="A145" s="50" t="s">
        <v>589</v>
      </c>
      <c r="B145" s="51" t="s">
        <v>590</v>
      </c>
      <c r="C145" s="51" t="s">
        <v>591</v>
      </c>
      <c r="D145" s="9">
        <f t="shared" si="18"/>
        <v>50912.644661503728</v>
      </c>
      <c r="E145" s="10">
        <f t="shared" si="19"/>
        <v>310639.54460120155</v>
      </c>
      <c r="F145" s="11">
        <f t="shared" si="20"/>
        <v>1</v>
      </c>
      <c r="G145" s="11" t="str">
        <f t="shared" si="21"/>
        <v>0 00 18.60</v>
      </c>
      <c r="H145" s="12">
        <f t="shared" si="22"/>
        <v>1.0000155602668936</v>
      </c>
      <c r="I145" s="53" t="str">
        <f t="shared" si="23"/>
        <v>-32 14 51.24203</v>
      </c>
      <c r="J145" s="53" t="str">
        <f t="shared" si="24"/>
        <v>125 11 34.86340</v>
      </c>
      <c r="K145" s="54">
        <f t="shared" si="25"/>
        <v>1.0000155602668936</v>
      </c>
      <c r="L145" s="55" t="str">
        <f t="shared" si="26"/>
        <v>0 00 18.60</v>
      </c>
    </row>
    <row r="146" spans="1:12" x14ac:dyDescent="0.25">
      <c r="A146" s="50" t="s">
        <v>592</v>
      </c>
      <c r="B146" s="51" t="s">
        <v>593</v>
      </c>
      <c r="C146" s="51" t="s">
        <v>594</v>
      </c>
      <c r="D146" s="9">
        <f t="shared" si="18"/>
        <v>52279.875518925917</v>
      </c>
      <c r="E146" s="10">
        <f t="shared" si="19"/>
        <v>302564.48197682528</v>
      </c>
      <c r="F146" s="11">
        <f t="shared" si="20"/>
        <v>1</v>
      </c>
      <c r="G146" s="11" t="str">
        <f t="shared" si="21"/>
        <v>0 00 40.55</v>
      </c>
      <c r="H146" s="12">
        <f t="shared" si="22"/>
        <v>1.0000048541160109</v>
      </c>
      <c r="I146" s="53" t="str">
        <f t="shared" si="23"/>
        <v>-28 49 47.75736</v>
      </c>
      <c r="J146" s="53" t="str">
        <f t="shared" si="24"/>
        <v>114 50 24.09511</v>
      </c>
      <c r="K146" s="54">
        <f t="shared" si="25"/>
        <v>1.0000048541160109</v>
      </c>
      <c r="L146" s="55" t="str">
        <f t="shared" si="26"/>
        <v>0 00 40.55</v>
      </c>
    </row>
    <row r="147" spans="1:12" x14ac:dyDescent="0.25">
      <c r="A147" s="50" t="s">
        <v>595</v>
      </c>
      <c r="B147" s="51" t="s">
        <v>596</v>
      </c>
      <c r="C147" s="51" t="s">
        <v>597</v>
      </c>
      <c r="D147" s="9">
        <f t="shared" si="18"/>
        <v>102957.58853740701</v>
      </c>
      <c r="E147" s="10">
        <f t="shared" si="19"/>
        <v>342613.29106283467</v>
      </c>
      <c r="F147" s="11">
        <f t="shared" si="20"/>
        <v>1</v>
      </c>
      <c r="G147" s="11" t="str">
        <f t="shared" si="21"/>
        <v>0 00 34.51</v>
      </c>
      <c r="H147" s="12">
        <f t="shared" si="22"/>
        <v>1.000005578069241</v>
      </c>
      <c r="I147" s="53" t="str">
        <f t="shared" si="23"/>
        <v>-19 50 47.43773</v>
      </c>
      <c r="J147" s="53" t="str">
        <f t="shared" si="24"/>
        <v>120 36 16.64629</v>
      </c>
      <c r="K147" s="54">
        <f t="shared" si="25"/>
        <v>1.000005578069241</v>
      </c>
      <c r="L147" s="55" t="str">
        <f t="shared" si="26"/>
        <v>0 00 34.51</v>
      </c>
    </row>
    <row r="148" spans="1:12" x14ac:dyDescent="0.25">
      <c r="A148" s="50" t="s">
        <v>598</v>
      </c>
      <c r="B148" s="51" t="s">
        <v>599</v>
      </c>
      <c r="C148" s="51" t="s">
        <v>600</v>
      </c>
      <c r="D148" s="9">
        <f t="shared" si="18"/>
        <v>56177.874699178283</v>
      </c>
      <c r="E148" s="10">
        <f t="shared" si="19"/>
        <v>365714.30493516801</v>
      </c>
      <c r="F148" s="11">
        <f t="shared" si="20"/>
        <v>1</v>
      </c>
      <c r="G148" s="11" t="str">
        <f t="shared" si="21"/>
        <v>0 02 19.44</v>
      </c>
      <c r="H148" s="12">
        <f t="shared" si="22"/>
        <v>1.0000019001835061</v>
      </c>
      <c r="I148" s="53" t="str">
        <f t="shared" si="23"/>
        <v>-34 56 35.08415</v>
      </c>
      <c r="J148" s="53" t="str">
        <f t="shared" si="24"/>
        <v>116 45 03.45910</v>
      </c>
      <c r="K148" s="54">
        <f t="shared" si="25"/>
        <v>1.0000019001835063</v>
      </c>
      <c r="L148" s="55" t="str">
        <f t="shared" si="26"/>
        <v>0 02 19.44</v>
      </c>
    </row>
    <row r="149" spans="1:12" x14ac:dyDescent="0.25">
      <c r="A149" s="50" t="s">
        <v>601</v>
      </c>
      <c r="B149" s="51" t="s">
        <v>602</v>
      </c>
      <c r="C149" s="51" t="s">
        <v>603</v>
      </c>
      <c r="D149" s="9">
        <f t="shared" si="18"/>
        <v>51141.411546223157</v>
      </c>
      <c r="E149" s="10">
        <f t="shared" si="19"/>
        <v>311780.67188320542</v>
      </c>
      <c r="F149" s="11">
        <f t="shared" si="20"/>
        <v>1</v>
      </c>
      <c r="G149" s="11" t="str">
        <f t="shared" si="21"/>
        <v>0 00 17.77</v>
      </c>
      <c r="H149" s="12">
        <f t="shared" si="22"/>
        <v>1.0000813460787663</v>
      </c>
      <c r="I149" s="53" t="str">
        <f t="shared" si="23"/>
        <v>-25 43 17.63090</v>
      </c>
      <c r="J149" s="53" t="str">
        <f t="shared" si="24"/>
        <v>127 15 50.94313</v>
      </c>
      <c r="K149" s="54">
        <f t="shared" si="25"/>
        <v>1.0000813460787661</v>
      </c>
      <c r="L149" s="55" t="str">
        <f t="shared" si="26"/>
        <v>0 00 17.77</v>
      </c>
    </row>
    <row r="150" spans="1:12" x14ac:dyDescent="0.25">
      <c r="A150" s="50" t="s">
        <v>604</v>
      </c>
      <c r="B150" s="51" t="s">
        <v>605</v>
      </c>
      <c r="C150" s="51" t="s">
        <v>606</v>
      </c>
      <c r="D150" s="9">
        <f t="shared" si="18"/>
        <v>51383.781871333667</v>
      </c>
      <c r="E150" s="10">
        <f t="shared" si="19"/>
        <v>347577.85199035006</v>
      </c>
      <c r="F150" s="11">
        <f t="shared" si="20"/>
        <v>1</v>
      </c>
      <c r="G150" s="11" t="str">
        <f t="shared" si="21"/>
        <v>0 00 20.80</v>
      </c>
      <c r="H150" s="12">
        <f t="shared" si="22"/>
        <v>1.0000932536351952</v>
      </c>
      <c r="I150" s="53" t="str">
        <f t="shared" si="23"/>
        <v>-24 56 48.59945</v>
      </c>
      <c r="J150" s="53" t="str">
        <f t="shared" si="24"/>
        <v>128 38 36.32150</v>
      </c>
      <c r="K150" s="54">
        <f t="shared" si="25"/>
        <v>1.000093253635195</v>
      </c>
      <c r="L150" s="55" t="str">
        <f t="shared" si="26"/>
        <v>0 00 20.80</v>
      </c>
    </row>
    <row r="151" spans="1:12" x14ac:dyDescent="0.25">
      <c r="A151" s="50" t="s">
        <v>607</v>
      </c>
      <c r="B151" s="51" t="s">
        <v>608</v>
      </c>
      <c r="C151" s="51" t="s">
        <v>609</v>
      </c>
      <c r="D151" s="9">
        <f t="shared" si="18"/>
        <v>56457.552452440133</v>
      </c>
      <c r="E151" s="10">
        <f t="shared" si="19"/>
        <v>326039.13492698409</v>
      </c>
      <c r="F151" s="11">
        <f t="shared" si="20"/>
        <v>1</v>
      </c>
      <c r="G151" s="11" t="str">
        <f t="shared" si="21"/>
        <v>0 01 42.14</v>
      </c>
      <c r="H151" s="12">
        <f t="shared" si="22"/>
        <v>1.0000835860658543</v>
      </c>
      <c r="I151" s="53" t="str">
        <f t="shared" si="23"/>
        <v>-26 04 48.71111</v>
      </c>
      <c r="J151" s="53" t="str">
        <f t="shared" si="24"/>
        <v>126 47 29.33722</v>
      </c>
      <c r="K151" s="54">
        <f t="shared" si="25"/>
        <v>1.0000835860658543</v>
      </c>
      <c r="L151" s="55" t="str">
        <f t="shared" si="26"/>
        <v>0 01 42.14</v>
      </c>
    </row>
    <row r="152" spans="1:12" x14ac:dyDescent="0.25">
      <c r="A152" s="50" t="s">
        <v>610</v>
      </c>
      <c r="B152" s="51" t="s">
        <v>611</v>
      </c>
      <c r="C152" s="51" t="s">
        <v>612</v>
      </c>
      <c r="D152" s="9">
        <f t="shared" si="18"/>
        <v>50180.75407981727</v>
      </c>
      <c r="E152" s="10">
        <f t="shared" si="19"/>
        <v>386052.95623671357</v>
      </c>
      <c r="F152" s="11">
        <f t="shared" si="20"/>
        <v>1</v>
      </c>
      <c r="G152" s="11" t="str">
        <f t="shared" si="21"/>
        <v>0 00 03.36</v>
      </c>
      <c r="H152" s="12">
        <f t="shared" si="22"/>
        <v>1.0000205804029179</v>
      </c>
      <c r="I152" s="53" t="str">
        <f t="shared" si="23"/>
        <v>-29 56 37.52819</v>
      </c>
      <c r="J152" s="53" t="str">
        <f t="shared" si="24"/>
        <v>115 19 06.74018</v>
      </c>
      <c r="K152" s="54">
        <f t="shared" si="25"/>
        <v>1.0000205804029179</v>
      </c>
      <c r="L152" s="55" t="str">
        <f t="shared" si="26"/>
        <v>0 00 03.36</v>
      </c>
    </row>
    <row r="153" spans="1:12" x14ac:dyDescent="0.25">
      <c r="A153" s="50" t="s">
        <v>613</v>
      </c>
      <c r="B153" s="51" t="s">
        <v>614</v>
      </c>
      <c r="C153" s="51" t="s">
        <v>615</v>
      </c>
      <c r="D153" s="9">
        <f t="shared" si="18"/>
        <v>50771.955148306115</v>
      </c>
      <c r="E153" s="10">
        <f t="shared" si="19"/>
        <v>338323.54928529402</v>
      </c>
      <c r="F153" s="11">
        <f t="shared" si="20"/>
        <v>1</v>
      </c>
      <c r="G153" s="11" t="str">
        <f t="shared" si="21"/>
        <v>0 00 09.48</v>
      </c>
      <c r="H153" s="12">
        <f t="shared" si="22"/>
        <v>1.0000169773610914</v>
      </c>
      <c r="I153" s="53" t="str">
        <f t="shared" si="23"/>
        <v>-20 48 22.87998</v>
      </c>
      <c r="J153" s="53" t="str">
        <f t="shared" si="24"/>
        <v>119 39 26.69440</v>
      </c>
      <c r="K153" s="54">
        <f t="shared" si="25"/>
        <v>1.0000169773610914</v>
      </c>
      <c r="L153" s="55" t="str">
        <f t="shared" si="26"/>
        <v>0 00 09.48</v>
      </c>
    </row>
    <row r="154" spans="1:12" x14ac:dyDescent="0.25">
      <c r="A154" s="50" t="s">
        <v>616</v>
      </c>
      <c r="B154" s="51" t="s">
        <v>617</v>
      </c>
      <c r="C154" s="51" t="s">
        <v>618</v>
      </c>
      <c r="D154" s="9">
        <f t="shared" si="18"/>
        <v>59263.813314269661</v>
      </c>
      <c r="E154" s="10">
        <f t="shared" si="19"/>
        <v>309941.80384006491</v>
      </c>
      <c r="F154" s="11">
        <f t="shared" si="20"/>
        <v>1</v>
      </c>
      <c r="G154" s="11" t="str">
        <f t="shared" si="21"/>
        <v>0 02 41.61</v>
      </c>
      <c r="H154" s="12">
        <f t="shared" si="22"/>
        <v>1.0000670786125703</v>
      </c>
      <c r="I154" s="53" t="str">
        <f t="shared" si="23"/>
        <v>-28 21 52.55176</v>
      </c>
      <c r="J154" s="53" t="str">
        <f t="shared" si="24"/>
        <v>121 05 40.18078</v>
      </c>
      <c r="K154" s="54">
        <f t="shared" si="25"/>
        <v>1.00006707861257</v>
      </c>
      <c r="L154" s="55" t="str">
        <f t="shared" si="26"/>
        <v>0 02 41.61</v>
      </c>
    </row>
    <row r="155" spans="1:12" x14ac:dyDescent="0.25">
      <c r="A155" s="50" t="s">
        <v>619</v>
      </c>
      <c r="B155" s="51" t="s">
        <v>620</v>
      </c>
      <c r="C155" s="51" t="s">
        <v>621</v>
      </c>
      <c r="D155" s="9">
        <f t="shared" si="18"/>
        <v>51955.921974137425</v>
      </c>
      <c r="E155" s="10">
        <f t="shared" si="19"/>
        <v>362503.78446954535</v>
      </c>
      <c r="F155" s="11">
        <f t="shared" si="20"/>
        <v>1</v>
      </c>
      <c r="G155" s="11" t="str">
        <f t="shared" si="21"/>
        <v>0 00 26.75</v>
      </c>
      <c r="H155" s="12">
        <f t="shared" si="22"/>
        <v>1.000103717236106</v>
      </c>
      <c r="I155" s="53" t="str">
        <f t="shared" si="23"/>
        <v>-22 56 02.54789</v>
      </c>
      <c r="J155" s="53" t="str">
        <f t="shared" si="24"/>
        <v>119 02 03.64027</v>
      </c>
      <c r="K155" s="54">
        <f t="shared" si="25"/>
        <v>1.0001037172361062</v>
      </c>
      <c r="L155" s="55" t="str">
        <f t="shared" si="26"/>
        <v>0 00 26.75</v>
      </c>
    </row>
    <row r="156" spans="1:12" x14ac:dyDescent="0.25">
      <c r="A156" s="50" t="s">
        <v>622</v>
      </c>
      <c r="B156" s="51" t="s">
        <v>623</v>
      </c>
      <c r="C156" s="51" t="s">
        <v>624</v>
      </c>
      <c r="D156" s="9">
        <f t="shared" si="18"/>
        <v>52347.439973273889</v>
      </c>
      <c r="E156" s="10">
        <f t="shared" si="19"/>
        <v>392531.45912589179</v>
      </c>
      <c r="F156" s="11">
        <f t="shared" si="20"/>
        <v>1</v>
      </c>
      <c r="G156" s="11" t="str">
        <f t="shared" si="21"/>
        <v>0 00 28.91</v>
      </c>
      <c r="H156" s="12">
        <f t="shared" si="22"/>
        <v>1.0000054080688761</v>
      </c>
      <c r="I156" s="53" t="str">
        <f t="shared" si="23"/>
        <v>-20 51 32.07996</v>
      </c>
      <c r="J156" s="53" t="str">
        <f t="shared" si="24"/>
        <v>117 47 21.20417</v>
      </c>
      <c r="K156" s="54">
        <f t="shared" si="25"/>
        <v>1.0000054080688763</v>
      </c>
      <c r="L156" s="55" t="str">
        <f t="shared" si="26"/>
        <v>0 00 28.91</v>
      </c>
    </row>
    <row r="157" spans="1:12" x14ac:dyDescent="0.25">
      <c r="A157" s="50" t="s">
        <v>625</v>
      </c>
      <c r="B157" s="51" t="s">
        <v>626</v>
      </c>
      <c r="C157" s="51" t="s">
        <v>627</v>
      </c>
      <c r="D157" s="9">
        <f t="shared" si="18"/>
        <v>55797.216939323254</v>
      </c>
      <c r="E157" s="10">
        <f t="shared" si="19"/>
        <v>297195.58799018571</v>
      </c>
      <c r="F157" s="11">
        <f t="shared" si="20"/>
        <v>1</v>
      </c>
      <c r="G157" s="11" t="str">
        <f t="shared" si="21"/>
        <v>0 01 11.25</v>
      </c>
      <c r="H157" s="12">
        <f t="shared" si="22"/>
        <v>1.0000049751469986</v>
      </c>
      <c r="I157" s="53" t="str">
        <f t="shared" si="23"/>
        <v>-20 49 00.45343</v>
      </c>
      <c r="J157" s="53" t="str">
        <f t="shared" si="24"/>
        <v>117 59 20.48546</v>
      </c>
      <c r="K157" s="54">
        <f t="shared" si="25"/>
        <v>1.0000049751469986</v>
      </c>
      <c r="L157" s="55" t="str">
        <f t="shared" si="26"/>
        <v>0 01 11.25</v>
      </c>
    </row>
    <row r="158" spans="1:12" x14ac:dyDescent="0.25">
      <c r="A158" s="50" t="s">
        <v>628</v>
      </c>
      <c r="B158" s="51" t="s">
        <v>629</v>
      </c>
      <c r="C158" s="51" t="s">
        <v>630</v>
      </c>
      <c r="D158" s="9">
        <f t="shared" si="18"/>
        <v>51909.369053990864</v>
      </c>
      <c r="E158" s="10">
        <f t="shared" si="19"/>
        <v>391287.00787844928</v>
      </c>
      <c r="F158" s="11">
        <f t="shared" si="20"/>
        <v>1</v>
      </c>
      <c r="G158" s="11" t="str">
        <f t="shared" si="21"/>
        <v>0 00 23.53</v>
      </c>
      <c r="H158" s="12">
        <f t="shared" si="22"/>
        <v>1.0000016150339683</v>
      </c>
      <c r="I158" s="53" t="str">
        <f t="shared" si="23"/>
        <v>-20 52 12.82894</v>
      </c>
      <c r="J158" s="53" t="str">
        <f t="shared" si="24"/>
        <v>117 35 06.05533</v>
      </c>
      <c r="K158" s="54">
        <f t="shared" si="25"/>
        <v>1.0000016150339683</v>
      </c>
      <c r="L158" s="55" t="str">
        <f t="shared" si="26"/>
        <v>0 00 23.53</v>
      </c>
    </row>
    <row r="159" spans="1:12" x14ac:dyDescent="0.25">
      <c r="A159" s="50" t="s">
        <v>631</v>
      </c>
      <c r="B159" s="51" t="s">
        <v>632</v>
      </c>
      <c r="C159" s="51" t="s">
        <v>633</v>
      </c>
      <c r="D159" s="9">
        <f t="shared" si="18"/>
        <v>54822.305858593238</v>
      </c>
      <c r="E159" s="10">
        <f t="shared" si="19"/>
        <v>310363.44713130686</v>
      </c>
      <c r="F159" s="11">
        <f t="shared" si="20"/>
        <v>1</v>
      </c>
      <c r="G159" s="11" t="str">
        <f t="shared" si="21"/>
        <v>0 01 22.73</v>
      </c>
      <c r="H159" s="12">
        <f t="shared" si="22"/>
        <v>1.0000673468800569</v>
      </c>
      <c r="I159" s="53" t="str">
        <f t="shared" si="23"/>
        <v>-27 57 49.61437</v>
      </c>
      <c r="J159" s="53" t="str">
        <f t="shared" si="24"/>
        <v>123 24 07.42342</v>
      </c>
      <c r="K159" s="54">
        <f t="shared" si="25"/>
        <v>1.0000673468800567</v>
      </c>
      <c r="L159" s="55" t="str">
        <f t="shared" si="26"/>
        <v>0 01 22.73</v>
      </c>
    </row>
    <row r="160" spans="1:12" x14ac:dyDescent="0.25">
      <c r="A160" s="50" t="s">
        <v>634</v>
      </c>
      <c r="B160" s="51" t="s">
        <v>635</v>
      </c>
      <c r="C160" s="51" t="s">
        <v>636</v>
      </c>
      <c r="D160" s="9">
        <f t="shared" si="18"/>
        <v>56751.050516868134</v>
      </c>
      <c r="E160" s="10">
        <f t="shared" si="19"/>
        <v>238449.76101243496</v>
      </c>
      <c r="F160" s="11">
        <f t="shared" si="20"/>
        <v>1</v>
      </c>
      <c r="G160" s="11" t="str">
        <f t="shared" si="21"/>
        <v>0 01 49.42</v>
      </c>
      <c r="H160" s="12">
        <f t="shared" si="22"/>
        <v>1.0000771423923707</v>
      </c>
      <c r="I160" s="53" t="str">
        <f t="shared" si="23"/>
        <v>-26 38 10.37623</v>
      </c>
      <c r="J160" s="53" t="str">
        <f t="shared" si="24"/>
        <v>120 16 04.06308</v>
      </c>
      <c r="K160" s="54">
        <f t="shared" si="25"/>
        <v>1.0000771423923704</v>
      </c>
      <c r="L160" s="55" t="str">
        <f t="shared" si="26"/>
        <v>0 01 49.42</v>
      </c>
    </row>
    <row r="161" spans="1:12" x14ac:dyDescent="0.25">
      <c r="A161" s="50" t="s">
        <v>637</v>
      </c>
      <c r="B161" s="51" t="s">
        <v>638</v>
      </c>
      <c r="C161" s="51" t="s">
        <v>639</v>
      </c>
      <c r="D161" s="9">
        <f t="shared" si="18"/>
        <v>48610.719478372142</v>
      </c>
      <c r="E161" s="10">
        <f t="shared" si="19"/>
        <v>338539.64013561094</v>
      </c>
      <c r="F161" s="11">
        <f t="shared" si="20"/>
        <v>1</v>
      </c>
      <c r="G161" s="11" t="str">
        <f t="shared" si="21"/>
        <v>0 00 18.37</v>
      </c>
      <c r="H161" s="12">
        <f t="shared" si="22"/>
        <v>1.0000822038347006</v>
      </c>
      <c r="I161" s="53" t="str">
        <f t="shared" si="23"/>
        <v>-22 14 52.67094</v>
      </c>
      <c r="J161" s="53" t="str">
        <f t="shared" si="24"/>
        <v>118 03 11.48508</v>
      </c>
      <c r="K161" s="54">
        <f t="shared" si="25"/>
        <v>1.0000822038347004</v>
      </c>
      <c r="L161" s="55" t="str">
        <f t="shared" si="26"/>
        <v>0 00 18.37</v>
      </c>
    </row>
    <row r="162" spans="1:12" x14ac:dyDescent="0.25">
      <c r="A162" s="50" t="s">
        <v>640</v>
      </c>
      <c r="B162" s="51" t="s">
        <v>641</v>
      </c>
      <c r="C162" s="51" t="s">
        <v>642</v>
      </c>
      <c r="D162" s="9">
        <f t="shared" si="18"/>
        <v>50761.656005611454</v>
      </c>
      <c r="E162" s="10">
        <f t="shared" si="19"/>
        <v>327142.66493422724</v>
      </c>
      <c r="F162" s="11">
        <f t="shared" si="20"/>
        <v>1</v>
      </c>
      <c r="G162" s="11" t="str">
        <f t="shared" si="21"/>
        <v>0 00 09.61</v>
      </c>
      <c r="H162" s="12">
        <f t="shared" si="22"/>
        <v>1.0000360171652674</v>
      </c>
      <c r="I162" s="53" t="str">
        <f t="shared" si="23"/>
        <v>-21 19 20.62898</v>
      </c>
      <c r="J162" s="53" t="str">
        <f t="shared" si="24"/>
        <v>118 48 56.42874</v>
      </c>
      <c r="K162" s="54">
        <f t="shared" si="25"/>
        <v>1.0000360171652674</v>
      </c>
      <c r="L162" s="55" t="str">
        <f t="shared" si="26"/>
        <v>0 00 09.61</v>
      </c>
    </row>
    <row r="163" spans="1:12" x14ac:dyDescent="0.25">
      <c r="A163" s="50" t="s">
        <v>643</v>
      </c>
      <c r="B163" s="51" t="s">
        <v>644</v>
      </c>
      <c r="C163" s="51" t="s">
        <v>645</v>
      </c>
      <c r="D163" s="9">
        <f t="shared" si="18"/>
        <v>52813.009000522608</v>
      </c>
      <c r="E163" s="10">
        <f t="shared" si="19"/>
        <v>316610.34560335195</v>
      </c>
      <c r="F163" s="11">
        <f t="shared" si="20"/>
        <v>1</v>
      </c>
      <c r="G163" s="11" t="str">
        <f t="shared" si="21"/>
        <v>0 00 57.62</v>
      </c>
      <c r="H163" s="12">
        <f t="shared" si="22"/>
        <v>1.0000169075361718</v>
      </c>
      <c r="I163" s="53" t="str">
        <f t="shared" si="23"/>
        <v>-32 22 26.52006</v>
      </c>
      <c r="J163" s="53" t="str">
        <f t="shared" si="24"/>
        <v>124 40 47.60735</v>
      </c>
      <c r="K163" s="54">
        <f t="shared" si="25"/>
        <v>1.0000169075361718</v>
      </c>
      <c r="L163" s="55" t="str">
        <f t="shared" si="26"/>
        <v>0 00 57.62</v>
      </c>
    </row>
    <row r="164" spans="1:12" x14ac:dyDescent="0.25">
      <c r="A164" s="50" t="s">
        <v>646</v>
      </c>
      <c r="B164" s="51" t="s">
        <v>647</v>
      </c>
      <c r="C164" s="51" t="s">
        <v>648</v>
      </c>
      <c r="D164" s="9">
        <f t="shared" si="18"/>
        <v>54532.728656459687</v>
      </c>
      <c r="E164" s="10">
        <f t="shared" si="19"/>
        <v>381184.28845295683</v>
      </c>
      <c r="F164" s="11">
        <f t="shared" si="20"/>
        <v>1</v>
      </c>
      <c r="G164" s="11" t="str">
        <f t="shared" si="21"/>
        <v>0 01 24.51</v>
      </c>
      <c r="H164" s="12">
        <f t="shared" si="22"/>
        <v>1.000045973364228</v>
      </c>
      <c r="I164" s="53" t="str">
        <f t="shared" si="23"/>
        <v>-29 59 12.89915</v>
      </c>
      <c r="J164" s="53" t="str">
        <f t="shared" si="24"/>
        <v>116 44 49.09074</v>
      </c>
      <c r="K164" s="54">
        <f t="shared" si="25"/>
        <v>1.000045973364228</v>
      </c>
      <c r="L164" s="55" t="str">
        <f t="shared" si="26"/>
        <v>0 01 24.51</v>
      </c>
    </row>
    <row r="165" spans="1:12" x14ac:dyDescent="0.25">
      <c r="A165" s="50" t="s">
        <v>649</v>
      </c>
      <c r="B165" s="51" t="s">
        <v>650</v>
      </c>
      <c r="C165" s="51" t="s">
        <v>651</v>
      </c>
      <c r="D165" s="9">
        <f t="shared" si="18"/>
        <v>55305.787575491653</v>
      </c>
      <c r="E165" s="10">
        <f t="shared" si="19"/>
        <v>387186.76485262718</v>
      </c>
      <c r="F165" s="11">
        <f t="shared" si="20"/>
        <v>1</v>
      </c>
      <c r="G165" s="11" t="str">
        <f t="shared" si="21"/>
        <v>0 01 11.78</v>
      </c>
      <c r="H165" s="12">
        <f t="shared" si="22"/>
        <v>1.0000383676284943</v>
      </c>
      <c r="I165" s="53" t="str">
        <f t="shared" si="23"/>
        <v>-22 42 45.56977</v>
      </c>
      <c r="J165" s="53" t="str">
        <f t="shared" si="24"/>
        <v>116 33 05.91037</v>
      </c>
      <c r="K165" s="54">
        <f t="shared" si="25"/>
        <v>1.0000383676284943</v>
      </c>
      <c r="L165" s="55" t="str">
        <f t="shared" si="26"/>
        <v>0 01 11.78</v>
      </c>
    </row>
    <row r="166" spans="1:12" x14ac:dyDescent="0.25">
      <c r="A166" s="50" t="s">
        <v>652</v>
      </c>
      <c r="B166" s="51" t="s">
        <v>653</v>
      </c>
      <c r="C166" s="51" t="s">
        <v>654</v>
      </c>
      <c r="D166" s="9">
        <f t="shared" si="18"/>
        <v>48586.824012207959</v>
      </c>
      <c r="E166" s="10">
        <f t="shared" si="19"/>
        <v>312086.95640581101</v>
      </c>
      <c r="F166" s="11">
        <f t="shared" si="20"/>
        <v>1</v>
      </c>
      <c r="G166" s="11" t="str">
        <f t="shared" si="21"/>
        <v>0 00 13.01</v>
      </c>
      <c r="H166" s="12">
        <f t="shared" si="22"/>
        <v>1.0000235946857035</v>
      </c>
      <c r="I166" s="53" t="str">
        <f t="shared" si="23"/>
        <v>-15 53 37.03675</v>
      </c>
      <c r="J166" s="53" t="str">
        <f t="shared" si="24"/>
        <v>128 11 12.49534</v>
      </c>
      <c r="K166" s="54">
        <f t="shared" si="25"/>
        <v>1.0000235946857032</v>
      </c>
      <c r="L166" s="55" t="str">
        <f t="shared" si="26"/>
        <v>0 00 13.01</v>
      </c>
    </row>
    <row r="167" spans="1:12" x14ac:dyDescent="0.25">
      <c r="A167" s="50" t="s">
        <v>655</v>
      </c>
      <c r="B167" s="51" t="s">
        <v>656</v>
      </c>
      <c r="C167" s="51" t="s">
        <v>657</v>
      </c>
      <c r="D167" s="9">
        <f t="shared" si="18"/>
        <v>54458.117984088007</v>
      </c>
      <c r="E167" s="10">
        <f t="shared" si="19"/>
        <v>324005.30767163355</v>
      </c>
      <c r="F167" s="11">
        <f t="shared" si="20"/>
        <v>1</v>
      </c>
      <c r="G167" s="11" t="str">
        <f t="shared" si="21"/>
        <v>0 01 17.98</v>
      </c>
      <c r="H167" s="12">
        <f t="shared" si="22"/>
        <v>1.0000476351676908</v>
      </c>
      <c r="I167" s="53" t="str">
        <f t="shared" si="23"/>
        <v>-28 25 39.85194</v>
      </c>
      <c r="J167" s="53" t="str">
        <f t="shared" si="24"/>
        <v>116 54 14.94875</v>
      </c>
      <c r="K167" s="54">
        <f t="shared" si="25"/>
        <v>1.0000476351676908</v>
      </c>
      <c r="L167" s="55" t="str">
        <f t="shared" si="26"/>
        <v>0 01 17.98</v>
      </c>
    </row>
    <row r="168" spans="1:12" x14ac:dyDescent="0.25">
      <c r="A168" s="50" t="s">
        <v>658</v>
      </c>
      <c r="B168" s="51" t="s">
        <v>659</v>
      </c>
      <c r="C168" s="51" t="s">
        <v>660</v>
      </c>
      <c r="D168" s="9">
        <f t="shared" si="18"/>
        <v>53436.537666390963</v>
      </c>
      <c r="E168" s="10">
        <f t="shared" si="19"/>
        <v>354762.15674899938</v>
      </c>
      <c r="F168" s="11">
        <f t="shared" si="20"/>
        <v>1</v>
      </c>
      <c r="G168" s="11" t="str">
        <f t="shared" si="21"/>
        <v>0 00 46.59</v>
      </c>
      <c r="H168" s="12">
        <f t="shared" si="22"/>
        <v>1.000014145836204</v>
      </c>
      <c r="I168" s="53" t="str">
        <f t="shared" si="23"/>
        <v>-22 45 11.38453</v>
      </c>
      <c r="J168" s="53" t="str">
        <f t="shared" si="24"/>
        <v>115 07 00.45178</v>
      </c>
      <c r="K168" s="54">
        <f t="shared" si="25"/>
        <v>1.0000141458362037</v>
      </c>
      <c r="L168" s="55" t="str">
        <f t="shared" si="26"/>
        <v>0 00 46.59</v>
      </c>
    </row>
    <row r="169" spans="1:12" x14ac:dyDescent="0.25">
      <c r="A169" s="50" t="s">
        <v>661</v>
      </c>
      <c r="B169" s="51" t="s">
        <v>662</v>
      </c>
      <c r="C169" s="51" t="s">
        <v>663</v>
      </c>
      <c r="D169" s="9">
        <f t="shared" si="18"/>
        <v>57020.262741687788</v>
      </c>
      <c r="E169" s="10">
        <f t="shared" si="19"/>
        <v>312486.55963583197</v>
      </c>
      <c r="F169" s="11">
        <f t="shared" si="20"/>
        <v>1</v>
      </c>
      <c r="G169" s="11" t="str">
        <f t="shared" si="21"/>
        <v>0 01 51.13</v>
      </c>
      <c r="H169" s="12">
        <f t="shared" si="22"/>
        <v>1.0000065782439174</v>
      </c>
      <c r="I169" s="53" t="str">
        <f t="shared" si="23"/>
        <v>-26 05 46.38052</v>
      </c>
      <c r="J169" s="53" t="str">
        <f t="shared" si="24"/>
        <v>114 26 12.63692</v>
      </c>
      <c r="K169" s="54">
        <f t="shared" si="25"/>
        <v>1.0000065782439174</v>
      </c>
      <c r="L169" s="55" t="str">
        <f t="shared" si="26"/>
        <v>0 01 51.13</v>
      </c>
    </row>
    <row r="170" spans="1:12" x14ac:dyDescent="0.25">
      <c r="A170" s="50" t="s">
        <v>664</v>
      </c>
      <c r="B170" s="51" t="s">
        <v>665</v>
      </c>
      <c r="C170" s="51" t="s">
        <v>666</v>
      </c>
      <c r="D170" s="9">
        <f t="shared" si="18"/>
        <v>51173.591180252261</v>
      </c>
      <c r="E170" s="10">
        <f t="shared" si="19"/>
        <v>355138.4214171418</v>
      </c>
      <c r="F170" s="11">
        <f t="shared" si="20"/>
        <v>1</v>
      </c>
      <c r="G170" s="11" t="str">
        <f t="shared" si="21"/>
        <v>0 00 14.75</v>
      </c>
      <c r="H170" s="12">
        <f t="shared" si="22"/>
        <v>1.0000395470118586</v>
      </c>
      <c r="I170" s="53" t="str">
        <f t="shared" si="23"/>
        <v>-21 15 00.39269</v>
      </c>
      <c r="J170" s="53" t="str">
        <f t="shared" si="24"/>
        <v>120 47 10.70246</v>
      </c>
      <c r="K170" s="54">
        <f t="shared" si="25"/>
        <v>1.0000395470118586</v>
      </c>
      <c r="L170" s="55" t="str">
        <f t="shared" si="26"/>
        <v>0 00 14.75</v>
      </c>
    </row>
    <row r="171" spans="1:12" x14ac:dyDescent="0.25">
      <c r="A171" s="50" t="s">
        <v>667</v>
      </c>
      <c r="B171" s="51" t="s">
        <v>668</v>
      </c>
      <c r="C171" s="51" t="s">
        <v>669</v>
      </c>
      <c r="D171" s="9">
        <f t="shared" si="18"/>
        <v>52062.509390557323</v>
      </c>
      <c r="E171" s="10">
        <f t="shared" si="19"/>
        <v>349694.77848679945</v>
      </c>
      <c r="F171" s="11">
        <f t="shared" si="20"/>
        <v>1</v>
      </c>
      <c r="G171" s="11" t="str">
        <f t="shared" si="21"/>
        <v>0 00 26.71</v>
      </c>
      <c r="H171" s="12">
        <f t="shared" si="22"/>
        <v>1.0000463125371697</v>
      </c>
      <c r="I171" s="53" t="str">
        <f t="shared" si="23"/>
        <v>-21 49 55.04977</v>
      </c>
      <c r="J171" s="53" t="str">
        <f t="shared" si="24"/>
        <v>118 51 11.81707</v>
      </c>
      <c r="K171" s="54">
        <f t="shared" si="25"/>
        <v>1.0000463125371697</v>
      </c>
      <c r="L171" s="55" t="str">
        <f t="shared" si="26"/>
        <v>0 00 26.71</v>
      </c>
    </row>
    <row r="172" spans="1:12" x14ac:dyDescent="0.25">
      <c r="A172" s="50" t="s">
        <v>670</v>
      </c>
      <c r="B172" s="51" t="s">
        <v>671</v>
      </c>
      <c r="C172" s="51" t="s">
        <v>672</v>
      </c>
      <c r="D172" s="9">
        <f t="shared" si="18"/>
        <v>52194.040695162694</v>
      </c>
      <c r="E172" s="10">
        <f t="shared" si="19"/>
        <v>320514.33698533569</v>
      </c>
      <c r="F172" s="11">
        <f t="shared" si="20"/>
        <v>1</v>
      </c>
      <c r="G172" s="11" t="str">
        <f t="shared" si="21"/>
        <v>0 00 38.16</v>
      </c>
      <c r="H172" s="12">
        <f t="shared" si="22"/>
        <v>1.0000345893836526</v>
      </c>
      <c r="I172" s="53" t="str">
        <f t="shared" si="23"/>
        <v>-28 17 17.41553</v>
      </c>
      <c r="J172" s="53" t="str">
        <f t="shared" si="24"/>
        <v>114 56 20.51333</v>
      </c>
      <c r="K172" s="54">
        <f t="shared" si="25"/>
        <v>1.0000345893836526</v>
      </c>
      <c r="L172" s="55" t="str">
        <f t="shared" si="26"/>
        <v>0 00 38.16</v>
      </c>
    </row>
    <row r="173" spans="1:12" x14ac:dyDescent="0.25">
      <c r="A173" s="13" t="s">
        <v>673</v>
      </c>
      <c r="B173" s="14" t="s">
        <v>674</v>
      </c>
      <c r="C173" s="14" t="s">
        <v>675</v>
      </c>
      <c r="D173" s="9">
        <f t="shared" si="18"/>
        <v>51871.489035470942</v>
      </c>
      <c r="E173" s="10">
        <f t="shared" si="19"/>
        <v>250933.63725601695</v>
      </c>
      <c r="F173" s="11">
        <f t="shared" si="20"/>
        <v>1</v>
      </c>
      <c r="G173" s="11" t="str">
        <f t="shared" si="21"/>
        <v>0 00 37.22</v>
      </c>
      <c r="H173" s="12">
        <f t="shared" si="22"/>
        <v>1.0000317831778562</v>
      </c>
      <c r="I173" s="53" t="str">
        <f t="shared" si="23"/>
        <v>-31 36 47.27372</v>
      </c>
      <c r="J173" s="53" t="str">
        <f t="shared" si="24"/>
        <v>116 26 11.00123</v>
      </c>
      <c r="K173" s="54">
        <f t="shared" si="25"/>
        <v>1.0000317831778562</v>
      </c>
      <c r="L173" s="55" t="str">
        <f t="shared" si="26"/>
        <v>0 00 37.22</v>
      </c>
    </row>
    <row r="174" spans="1:12" x14ac:dyDescent="0.25">
      <c r="A174" s="13" t="s">
        <v>676</v>
      </c>
      <c r="B174" s="14" t="s">
        <v>677</v>
      </c>
      <c r="C174" s="14" t="s">
        <v>678</v>
      </c>
      <c r="D174" s="9">
        <f t="shared" si="18"/>
        <v>50638.163919944331</v>
      </c>
      <c r="E174" s="10">
        <f t="shared" si="19"/>
        <v>204728.19888539193</v>
      </c>
      <c r="F174" s="11">
        <f t="shared" si="20"/>
        <v>1</v>
      </c>
      <c r="G174" s="11" t="str">
        <f t="shared" si="21"/>
        <v>0 00 10.88</v>
      </c>
      <c r="H174" s="12">
        <f t="shared" si="22"/>
        <v>1.0000276350243975</v>
      </c>
      <c r="I174" s="53" t="str">
        <f t="shared" si="23"/>
        <v>-27 49 34.48686</v>
      </c>
      <c r="J174" s="53" t="str">
        <f t="shared" si="24"/>
        <v>114 40 53.31857</v>
      </c>
      <c r="K174" s="54">
        <f t="shared" si="25"/>
        <v>1.0000276350243977</v>
      </c>
      <c r="L174" s="55" t="str">
        <f t="shared" si="26"/>
        <v>0 00 10.88</v>
      </c>
    </row>
    <row r="175" spans="1:12" x14ac:dyDescent="0.25">
      <c r="A175" s="13" t="s">
        <v>679</v>
      </c>
      <c r="B175" s="14" t="s">
        <v>680</v>
      </c>
      <c r="C175" s="14" t="s">
        <v>681</v>
      </c>
      <c r="D175" s="9">
        <f t="shared" si="18"/>
        <v>50231.771879903543</v>
      </c>
      <c r="E175" s="10">
        <f t="shared" si="19"/>
        <v>277867.99427329842</v>
      </c>
      <c r="F175" s="11">
        <f t="shared" si="20"/>
        <v>1</v>
      </c>
      <c r="G175" s="11" t="str">
        <f t="shared" si="21"/>
        <v>0 00 04.09</v>
      </c>
      <c r="H175" s="12">
        <f t="shared" si="22"/>
        <v>1.0000308006626262</v>
      </c>
      <c r="I175" s="53" t="str">
        <f t="shared" si="23"/>
        <v>-28 39 50.55815</v>
      </c>
      <c r="J175" s="53" t="str">
        <f t="shared" si="24"/>
        <v>115 15 08.53538</v>
      </c>
      <c r="K175" s="54">
        <f t="shared" si="25"/>
        <v>1.0000308006626262</v>
      </c>
      <c r="L175" s="55" t="str">
        <f t="shared" si="26"/>
        <v>0 00 04.09</v>
      </c>
    </row>
    <row r="176" spans="1:12" x14ac:dyDescent="0.25">
      <c r="A176" s="13" t="s">
        <v>682</v>
      </c>
      <c r="B176" s="14" t="s">
        <v>683</v>
      </c>
      <c r="C176" s="14" t="s">
        <v>684</v>
      </c>
      <c r="D176" s="9">
        <f t="shared" si="18"/>
        <v>44962.547628922628</v>
      </c>
      <c r="E176" s="10">
        <f t="shared" si="19"/>
        <v>212205.03856796818</v>
      </c>
      <c r="F176" s="11">
        <f t="shared" si="20"/>
        <v>1</v>
      </c>
      <c r="G176" s="11" t="str">
        <f t="shared" si="21"/>
        <v>0 01 50.66</v>
      </c>
      <c r="H176" s="12">
        <f t="shared" si="22"/>
        <v>1.0000399126537234</v>
      </c>
      <c r="I176" s="53" t="str">
        <f t="shared" si="23"/>
        <v>-34 12 58.33087</v>
      </c>
      <c r="J176" s="53" t="str">
        <f t="shared" si="24"/>
        <v>118 15 43.21112</v>
      </c>
      <c r="K176" s="54">
        <f t="shared" si="25"/>
        <v>1.0000399126537234</v>
      </c>
      <c r="L176" s="55" t="str">
        <f t="shared" si="26"/>
        <v>0 01 50.66</v>
      </c>
    </row>
    <row r="177" spans="1:12" x14ac:dyDescent="0.25">
      <c r="A177" s="13" t="s">
        <v>685</v>
      </c>
      <c r="B177" s="14" t="s">
        <v>686</v>
      </c>
      <c r="C177" s="14" t="s">
        <v>687</v>
      </c>
      <c r="D177" s="9">
        <f t="shared" si="18"/>
        <v>52747.343864337789</v>
      </c>
      <c r="E177" s="10">
        <f t="shared" si="19"/>
        <v>223918.04016627232</v>
      </c>
      <c r="F177" s="11">
        <f t="shared" si="20"/>
        <v>1</v>
      </c>
      <c r="G177" s="11" t="str">
        <f t="shared" si="21"/>
        <v>0 00 47.46</v>
      </c>
      <c r="H177" s="12">
        <f t="shared" si="22"/>
        <v>1.0000816231100569</v>
      </c>
      <c r="I177" s="53" t="str">
        <f t="shared" si="23"/>
        <v>-28 07 47.33220</v>
      </c>
      <c r="J177" s="53" t="str">
        <f t="shared" si="24"/>
        <v>119 04 44.66424</v>
      </c>
      <c r="K177" s="54">
        <f t="shared" si="25"/>
        <v>1.0000816231100569</v>
      </c>
      <c r="L177" s="55" t="str">
        <f t="shared" si="26"/>
        <v>0 00 47.46</v>
      </c>
    </row>
    <row r="178" spans="1:12" x14ac:dyDescent="0.25">
      <c r="A178" s="13" t="s">
        <v>688</v>
      </c>
      <c r="B178" s="14" t="s">
        <v>689</v>
      </c>
      <c r="C178" s="14" t="s">
        <v>690</v>
      </c>
      <c r="D178" s="9">
        <f t="shared" si="18"/>
        <v>50149.260856964174</v>
      </c>
      <c r="E178" s="10">
        <f t="shared" si="19"/>
        <v>235502.5186770712</v>
      </c>
      <c r="F178" s="11">
        <f t="shared" si="20"/>
        <v>1</v>
      </c>
      <c r="G178" s="11" t="str">
        <f t="shared" si="21"/>
        <v>0 00 03.00</v>
      </c>
      <c r="H178" s="12">
        <f t="shared" si="22"/>
        <v>1.0000279902746361</v>
      </c>
      <c r="I178" s="53" t="str">
        <f t="shared" si="23"/>
        <v>-31 51 38.28316</v>
      </c>
      <c r="J178" s="53" t="str">
        <f t="shared" si="24"/>
        <v>116 48 45.67781</v>
      </c>
      <c r="K178" s="54">
        <f t="shared" si="25"/>
        <v>1.0000279902746361</v>
      </c>
      <c r="L178" s="55" t="str">
        <f t="shared" si="26"/>
        <v>0 00 03.00</v>
      </c>
    </row>
    <row r="179" spans="1:12" x14ac:dyDescent="0.25">
      <c r="A179" s="13" t="s">
        <v>691</v>
      </c>
      <c r="B179" s="14" t="s">
        <v>692</v>
      </c>
      <c r="C179" s="14" t="s">
        <v>693</v>
      </c>
      <c r="D179" s="9">
        <f t="shared" si="18"/>
        <v>50768.63930250048</v>
      </c>
      <c r="E179" s="10">
        <f t="shared" si="19"/>
        <v>186551.17362652766</v>
      </c>
      <c r="F179" s="11">
        <f t="shared" si="20"/>
        <v>1</v>
      </c>
      <c r="G179" s="11" t="str">
        <f t="shared" si="21"/>
        <v>0 00 12.51</v>
      </c>
      <c r="H179" s="12">
        <f t="shared" si="22"/>
        <v>1.0000607672902326</v>
      </c>
      <c r="I179" s="53" t="str">
        <f t="shared" si="23"/>
        <v>-26 43 33.54802</v>
      </c>
      <c r="J179" s="53" t="str">
        <f t="shared" si="24"/>
        <v>126 08 10.80996</v>
      </c>
      <c r="K179" s="54">
        <f t="shared" si="25"/>
        <v>1.0000607672902326</v>
      </c>
      <c r="L179" s="55" t="str">
        <f t="shared" si="26"/>
        <v>0 00 12.51</v>
      </c>
    </row>
    <row r="180" spans="1:12" x14ac:dyDescent="0.25">
      <c r="A180" s="13" t="s">
        <v>694</v>
      </c>
      <c r="B180" s="14" t="s">
        <v>695</v>
      </c>
      <c r="C180" s="14" t="s">
        <v>696</v>
      </c>
      <c r="D180" s="9">
        <f t="shared" si="18"/>
        <v>55244.445729758365</v>
      </c>
      <c r="E180" s="10">
        <f t="shared" si="19"/>
        <v>315605.12694891216</v>
      </c>
      <c r="F180" s="11">
        <f t="shared" si="20"/>
        <v>1</v>
      </c>
      <c r="G180" s="11" t="str">
        <f t="shared" si="21"/>
        <v>0 01 47.46</v>
      </c>
      <c r="H180" s="12">
        <f t="shared" si="22"/>
        <v>1.0000193490165417</v>
      </c>
      <c r="I180" s="53" t="str">
        <f t="shared" si="23"/>
        <v>-32 22 58.86494</v>
      </c>
      <c r="J180" s="53" t="str">
        <f t="shared" si="24"/>
        <v>123 56 20.63764</v>
      </c>
      <c r="K180" s="54">
        <f t="shared" si="25"/>
        <v>1.0000193490165417</v>
      </c>
      <c r="L180" s="55" t="str">
        <f t="shared" si="26"/>
        <v>0 01 47.46</v>
      </c>
    </row>
    <row r="181" spans="1:12" x14ac:dyDescent="0.25">
      <c r="A181" s="13" t="s">
        <v>89</v>
      </c>
      <c r="B181" s="14" t="s">
        <v>697</v>
      </c>
      <c r="C181" s="14" t="s">
        <v>698</v>
      </c>
      <c r="D181" s="9">
        <f t="shared" si="18"/>
        <v>54764.638713061664</v>
      </c>
      <c r="E181" s="10">
        <f t="shared" si="19"/>
        <v>170908.71763599105</v>
      </c>
      <c r="F181" s="11">
        <f t="shared" si="20"/>
        <v>1</v>
      </c>
      <c r="G181" s="11" t="str">
        <f t="shared" si="21"/>
        <v>0 01 42.61</v>
      </c>
      <c r="H181" s="12">
        <f t="shared" si="22"/>
        <v>0.99999619975016074</v>
      </c>
      <c r="I181" s="53" t="str">
        <f t="shared" si="23"/>
        <v>-33 41 18.44804</v>
      </c>
      <c r="J181" s="53" t="str">
        <f t="shared" si="24"/>
        <v>115 29 04.99398</v>
      </c>
      <c r="K181" s="54">
        <f t="shared" si="25"/>
        <v>0.99999619975016074</v>
      </c>
      <c r="L181" s="55" t="str">
        <f t="shared" si="26"/>
        <v>0 01 42.61</v>
      </c>
    </row>
    <row r="182" spans="1:12" x14ac:dyDescent="0.25">
      <c r="A182" s="13" t="s">
        <v>699</v>
      </c>
      <c r="B182" s="14" t="s">
        <v>700</v>
      </c>
      <c r="C182" s="14" t="s">
        <v>701</v>
      </c>
      <c r="D182" s="9">
        <f t="shared" si="18"/>
        <v>59551.654832107888</v>
      </c>
      <c r="E182" s="10">
        <f t="shared" si="19"/>
        <v>255694.97261208342</v>
      </c>
      <c r="F182" s="11">
        <f t="shared" si="20"/>
        <v>1</v>
      </c>
      <c r="G182" s="11" t="str">
        <f t="shared" si="21"/>
        <v>0 02 11.01</v>
      </c>
      <c r="H182" s="12">
        <f t="shared" si="22"/>
        <v>1.0001025664835019</v>
      </c>
      <c r="I182" s="53" t="str">
        <f t="shared" si="23"/>
        <v>-22 59 43.95264</v>
      </c>
      <c r="J182" s="53" t="str">
        <f t="shared" si="24"/>
        <v>117 59 47.35388</v>
      </c>
      <c r="K182" s="54">
        <f t="shared" si="25"/>
        <v>1.0001025664835019</v>
      </c>
      <c r="L182" s="55" t="str">
        <f t="shared" si="26"/>
        <v>0 02 11.01</v>
      </c>
    </row>
    <row r="183" spans="1:12" x14ac:dyDescent="0.25">
      <c r="A183" s="13" t="s">
        <v>702</v>
      </c>
      <c r="B183" s="14" t="s">
        <v>703</v>
      </c>
      <c r="C183" s="14" t="s">
        <v>704</v>
      </c>
      <c r="D183" s="9">
        <f t="shared" si="18"/>
        <v>55446.903115270288</v>
      </c>
      <c r="E183" s="10">
        <f t="shared" si="19"/>
        <v>222337.82040950214</v>
      </c>
      <c r="F183" s="11">
        <f t="shared" si="20"/>
        <v>1</v>
      </c>
      <c r="G183" s="11" t="str">
        <f t="shared" si="21"/>
        <v>0 00 59.48</v>
      </c>
      <c r="H183" s="12">
        <f t="shared" si="22"/>
        <v>1.0000073266063156</v>
      </c>
      <c r="I183" s="53" t="str">
        <f t="shared" si="23"/>
        <v>-18 39 55.95408</v>
      </c>
      <c r="J183" s="53" t="str">
        <f t="shared" si="24"/>
        <v>121 58 53.86354</v>
      </c>
      <c r="K183" s="54">
        <f t="shared" si="25"/>
        <v>1.0000073266063156</v>
      </c>
      <c r="L183" s="55" t="str">
        <f t="shared" si="26"/>
        <v>0 00 59.48</v>
      </c>
    </row>
    <row r="184" spans="1:12" x14ac:dyDescent="0.25">
      <c r="A184" s="13" t="s">
        <v>705</v>
      </c>
      <c r="B184" s="14" t="s">
        <v>706</v>
      </c>
      <c r="C184" s="14" t="s">
        <v>707</v>
      </c>
      <c r="D184" s="9">
        <f t="shared" si="18"/>
        <v>50865.494777921427</v>
      </c>
      <c r="E184" s="10">
        <f t="shared" si="19"/>
        <v>215942.86910022027</v>
      </c>
      <c r="F184" s="11">
        <f t="shared" si="20"/>
        <v>1</v>
      </c>
      <c r="G184" s="11" t="str">
        <f t="shared" si="21"/>
        <v>0 00 09.58</v>
      </c>
      <c r="H184" s="12">
        <f t="shared" si="22"/>
        <v>1.0000385992555367</v>
      </c>
      <c r="I184" s="53" t="str">
        <f t="shared" si="23"/>
        <v>-18 53 39.75400</v>
      </c>
      <c r="J184" s="53" t="str">
        <f t="shared" si="24"/>
        <v>126 07 46.57206</v>
      </c>
      <c r="K184" s="54">
        <f t="shared" si="25"/>
        <v>1.0000385992555367</v>
      </c>
      <c r="L184" s="55" t="str">
        <f t="shared" si="26"/>
        <v>0 00 09.58</v>
      </c>
    </row>
    <row r="185" spans="1:12" x14ac:dyDescent="0.25">
      <c r="A185" s="13" t="s">
        <v>708</v>
      </c>
      <c r="B185" s="14" t="s">
        <v>709</v>
      </c>
      <c r="C185" s="14" t="s">
        <v>710</v>
      </c>
      <c r="D185" s="9">
        <f t="shared" si="18"/>
        <v>100887.03793129273</v>
      </c>
      <c r="E185" s="10">
        <f t="shared" si="19"/>
        <v>190424.6561872391</v>
      </c>
      <c r="F185" s="11">
        <f t="shared" si="20"/>
        <v>1</v>
      </c>
      <c r="G185" s="11" t="str">
        <f t="shared" si="21"/>
        <v>0 00 14.46</v>
      </c>
      <c r="H185" s="12">
        <f t="shared" si="22"/>
        <v>1.0000546597091107</v>
      </c>
      <c r="I185" s="53" t="str">
        <f t="shared" si="23"/>
        <v>-26 46 20.69188</v>
      </c>
      <c r="J185" s="53" t="str">
        <f t="shared" si="24"/>
        <v>116 35 32.10695</v>
      </c>
      <c r="K185" s="54">
        <f t="shared" si="25"/>
        <v>1.0000546597091107</v>
      </c>
      <c r="L185" s="55" t="str">
        <f t="shared" si="26"/>
        <v>0 00 14.46</v>
      </c>
    </row>
    <row r="186" spans="1:12" x14ac:dyDescent="0.25">
      <c r="A186" s="13" t="s">
        <v>711</v>
      </c>
      <c r="B186" s="14" t="s">
        <v>712</v>
      </c>
      <c r="C186" s="14" t="s">
        <v>713</v>
      </c>
      <c r="D186" s="9">
        <f t="shared" si="18"/>
        <v>52567.902581744376</v>
      </c>
      <c r="E186" s="10">
        <f t="shared" si="19"/>
        <v>242747.49486852903</v>
      </c>
      <c r="F186" s="11">
        <f t="shared" si="20"/>
        <v>1</v>
      </c>
      <c r="G186" s="11" t="str">
        <f t="shared" si="21"/>
        <v>0 00 50.14</v>
      </c>
      <c r="H186" s="12">
        <f t="shared" si="22"/>
        <v>1.0000639512965224</v>
      </c>
      <c r="I186" s="53" t="str">
        <f t="shared" si="23"/>
        <v>-31 08 41.39783</v>
      </c>
      <c r="J186" s="53" t="str">
        <f t="shared" si="24"/>
        <v>120 18 36.93683</v>
      </c>
      <c r="K186" s="54">
        <f t="shared" si="25"/>
        <v>1.0000639512965224</v>
      </c>
      <c r="L186" s="55" t="str">
        <f t="shared" si="26"/>
        <v>0 00 50.14</v>
      </c>
    </row>
    <row r="187" spans="1:12" x14ac:dyDescent="0.25">
      <c r="A187" s="13" t="s">
        <v>714</v>
      </c>
      <c r="B187" s="14" t="s">
        <v>715</v>
      </c>
      <c r="C187" s="14" t="s">
        <v>716</v>
      </c>
      <c r="D187" s="9">
        <f t="shared" si="18"/>
        <v>50098.70670978252</v>
      </c>
      <c r="E187" s="10">
        <f t="shared" si="19"/>
        <v>248152.15351569885</v>
      </c>
      <c r="F187" s="11">
        <f t="shared" si="20"/>
        <v>1</v>
      </c>
      <c r="G187" s="11" t="str">
        <f t="shared" si="21"/>
        <v>0 00 01.79</v>
      </c>
      <c r="H187" s="12">
        <f t="shared" si="22"/>
        <v>1.0000421501201657</v>
      </c>
      <c r="I187" s="53" t="str">
        <f t="shared" si="23"/>
        <v>-29 18 38.66062</v>
      </c>
      <c r="J187" s="53" t="str">
        <f t="shared" si="24"/>
        <v>116 08 54.21768</v>
      </c>
      <c r="K187" s="54">
        <f t="shared" si="25"/>
        <v>1.0000421501201657</v>
      </c>
      <c r="L187" s="55" t="str">
        <f t="shared" si="26"/>
        <v>0 00 01.79</v>
      </c>
    </row>
    <row r="188" spans="1:12" x14ac:dyDescent="0.25">
      <c r="A188" s="13" t="s">
        <v>717</v>
      </c>
      <c r="B188" s="14" t="s">
        <v>718</v>
      </c>
      <c r="C188" s="14" t="s">
        <v>719</v>
      </c>
      <c r="D188" s="9">
        <f t="shared" si="18"/>
        <v>55635.083088370862</v>
      </c>
      <c r="E188" s="10">
        <f t="shared" si="19"/>
        <v>197325.31038761046</v>
      </c>
      <c r="F188" s="11">
        <f t="shared" si="20"/>
        <v>1</v>
      </c>
      <c r="G188" s="11" t="str">
        <f t="shared" si="21"/>
        <v>0 02 04.42</v>
      </c>
      <c r="H188" s="12">
        <f t="shared" si="22"/>
        <v>1.000011391238858</v>
      </c>
      <c r="I188" s="53" t="str">
        <f t="shared" si="23"/>
        <v>-34 21 04.73090</v>
      </c>
      <c r="J188" s="53" t="str">
        <f t="shared" si="24"/>
        <v>118 48 40.49428</v>
      </c>
      <c r="K188" s="54">
        <f t="shared" si="25"/>
        <v>1.000011391238858</v>
      </c>
      <c r="L188" s="55" t="str">
        <f t="shared" si="26"/>
        <v>0 02 04.42</v>
      </c>
    </row>
    <row r="189" spans="1:12" x14ac:dyDescent="0.25">
      <c r="A189" s="13" t="s">
        <v>720</v>
      </c>
      <c r="B189" s="14" t="s">
        <v>721</v>
      </c>
      <c r="C189" s="14" t="s">
        <v>722</v>
      </c>
      <c r="D189" s="9">
        <f t="shared" si="18"/>
        <v>50834.57852652506</v>
      </c>
      <c r="E189" s="10">
        <f t="shared" si="19"/>
        <v>271572.97804511245</v>
      </c>
      <c r="F189" s="11">
        <f t="shared" si="20"/>
        <v>1</v>
      </c>
      <c r="G189" s="11" t="str">
        <f t="shared" si="21"/>
        <v>0 00 17.97</v>
      </c>
      <c r="H189" s="12">
        <f t="shared" si="22"/>
        <v>1.0000342585827966</v>
      </c>
      <c r="I189" s="53" t="str">
        <f t="shared" si="23"/>
        <v>-33 40 52.28720</v>
      </c>
      <c r="J189" s="53" t="str">
        <f t="shared" si="24"/>
        <v>116 09 32.39975</v>
      </c>
      <c r="K189" s="54">
        <f t="shared" si="25"/>
        <v>1.0000342585827966</v>
      </c>
      <c r="L189" s="55" t="str">
        <f t="shared" si="26"/>
        <v>0 00 17.97</v>
      </c>
    </row>
    <row r="190" spans="1:12" x14ac:dyDescent="0.25">
      <c r="A190" s="13" t="s">
        <v>723</v>
      </c>
      <c r="B190" s="14" t="s">
        <v>724</v>
      </c>
      <c r="C190" s="14" t="s">
        <v>725</v>
      </c>
      <c r="D190" s="9">
        <f t="shared" si="18"/>
        <v>52514.313786597391</v>
      </c>
      <c r="E190" s="10">
        <f t="shared" si="19"/>
        <v>224089.40969087183</v>
      </c>
      <c r="F190" s="11">
        <f t="shared" si="20"/>
        <v>1</v>
      </c>
      <c r="G190" s="11" t="str">
        <f t="shared" si="21"/>
        <v>0 00 51.36</v>
      </c>
      <c r="H190" s="12">
        <f t="shared" si="22"/>
        <v>1.0000413979216323</v>
      </c>
      <c r="I190" s="53" t="str">
        <f t="shared" si="23"/>
        <v>-32 18 20.88281</v>
      </c>
      <c r="J190" s="53" t="str">
        <f t="shared" si="24"/>
        <v>117 01 36.10672</v>
      </c>
      <c r="K190" s="54">
        <f t="shared" si="25"/>
        <v>1.0000413979216325</v>
      </c>
      <c r="L190" s="55" t="str">
        <f t="shared" si="26"/>
        <v>0 00 51.36</v>
      </c>
    </row>
    <row r="191" spans="1:12" x14ac:dyDescent="0.25">
      <c r="A191" s="13" t="s">
        <v>726</v>
      </c>
      <c r="B191" s="14" t="s">
        <v>727</v>
      </c>
      <c r="C191" s="14" t="s">
        <v>728</v>
      </c>
      <c r="D191" s="9">
        <f t="shared" si="18"/>
        <v>52587.965230547888</v>
      </c>
      <c r="E191" s="10">
        <f t="shared" si="19"/>
        <v>213527.15789899859</v>
      </c>
      <c r="F191" s="11">
        <f t="shared" si="20"/>
        <v>1</v>
      </c>
      <c r="G191" s="11" t="str">
        <f t="shared" si="21"/>
        <v>0 00 27.12</v>
      </c>
      <c r="H191" s="12">
        <f t="shared" si="22"/>
        <v>1.0000030627679153</v>
      </c>
      <c r="I191" s="53" t="str">
        <f t="shared" si="23"/>
        <v>-17 57 33.13847</v>
      </c>
      <c r="J191" s="53" t="str">
        <f t="shared" si="24"/>
        <v>122 21 27.95155</v>
      </c>
      <c r="K191" s="54">
        <f t="shared" si="25"/>
        <v>1.0000030627679151</v>
      </c>
      <c r="L191" s="55" t="str">
        <f t="shared" si="26"/>
        <v>0 00 27.12</v>
      </c>
    </row>
    <row r="192" spans="1:12" x14ac:dyDescent="0.25">
      <c r="A192" s="13" t="s">
        <v>729</v>
      </c>
      <c r="B192" s="14" t="s">
        <v>730</v>
      </c>
      <c r="C192" s="14" t="s">
        <v>731</v>
      </c>
      <c r="D192" s="9">
        <f t="shared" si="18"/>
        <v>53449.938209438347</v>
      </c>
      <c r="E192" s="10">
        <f t="shared" si="19"/>
        <v>232289.11155201355</v>
      </c>
      <c r="F192" s="11">
        <f t="shared" si="20"/>
        <v>1</v>
      </c>
      <c r="G192" s="11" t="str">
        <f t="shared" si="21"/>
        <v>0 01 09.79</v>
      </c>
      <c r="H192" s="12">
        <f t="shared" si="22"/>
        <v>1.0000431967115446</v>
      </c>
      <c r="I192" s="53" t="str">
        <f t="shared" si="23"/>
        <v>-32 03 05.21996</v>
      </c>
      <c r="J192" s="53" t="str">
        <f t="shared" si="24"/>
        <v>122 09 11.50358</v>
      </c>
      <c r="K192" s="54">
        <f t="shared" si="25"/>
        <v>1.0000431967115446</v>
      </c>
      <c r="L192" s="55" t="str">
        <f t="shared" si="26"/>
        <v>0 01 09.79</v>
      </c>
    </row>
    <row r="193" spans="1:12" x14ac:dyDescent="0.25">
      <c r="A193" s="13" t="s">
        <v>732</v>
      </c>
      <c r="B193" s="14" t="s">
        <v>733</v>
      </c>
      <c r="C193" s="14" t="s">
        <v>734</v>
      </c>
      <c r="D193" s="9">
        <f t="shared" si="18"/>
        <v>51488.163115452138</v>
      </c>
      <c r="E193" s="10">
        <f t="shared" si="19"/>
        <v>229889.65792225348</v>
      </c>
      <c r="F193" s="11">
        <f t="shared" si="20"/>
        <v>1</v>
      </c>
      <c r="G193" s="11" t="str">
        <f t="shared" si="21"/>
        <v>0 00 28.98</v>
      </c>
      <c r="H193" s="12">
        <f t="shared" si="22"/>
        <v>1.0000623773037562</v>
      </c>
      <c r="I193" s="53" t="str">
        <f t="shared" si="23"/>
        <v>-31 04 49.68275</v>
      </c>
      <c r="J193" s="53" t="str">
        <f t="shared" si="24"/>
        <v>120 52 56.13949</v>
      </c>
      <c r="K193" s="54">
        <f t="shared" si="25"/>
        <v>1.0000623773037565</v>
      </c>
      <c r="L193" s="55" t="str">
        <f t="shared" si="26"/>
        <v>0 00 28.98</v>
      </c>
    </row>
    <row r="194" spans="1:12" x14ac:dyDescent="0.25">
      <c r="A194" s="13" t="s">
        <v>735</v>
      </c>
      <c r="B194" s="14" t="s">
        <v>736</v>
      </c>
      <c r="C194" s="14" t="s">
        <v>737</v>
      </c>
      <c r="D194" s="9">
        <f t="shared" si="18"/>
        <v>52917.448291377572</v>
      </c>
      <c r="E194" s="10">
        <f t="shared" si="19"/>
        <v>229250.91321544349</v>
      </c>
      <c r="F194" s="11">
        <f t="shared" si="20"/>
        <v>1</v>
      </c>
      <c r="G194" s="11" t="str">
        <f t="shared" si="21"/>
        <v>0 00 29.41</v>
      </c>
      <c r="H194" s="12">
        <f t="shared" si="22"/>
        <v>1.0000265151910528</v>
      </c>
      <c r="I194" s="53" t="str">
        <f t="shared" si="23"/>
        <v>-17 19 11.23252</v>
      </c>
      <c r="J194" s="53" t="str">
        <f t="shared" si="24"/>
        <v>122 30 08.79757</v>
      </c>
      <c r="K194" s="54">
        <f t="shared" si="25"/>
        <v>1.000026515191053</v>
      </c>
      <c r="L194" s="55" t="str">
        <f t="shared" si="26"/>
        <v>0 00 29.41</v>
      </c>
    </row>
    <row r="195" spans="1:12" x14ac:dyDescent="0.25">
      <c r="A195" s="13" t="s">
        <v>738</v>
      </c>
      <c r="B195" s="14" t="s">
        <v>739</v>
      </c>
      <c r="C195" s="14" t="s">
        <v>740</v>
      </c>
      <c r="D195" s="9">
        <f t="shared" ref="D195:D258" si="27">grideasting(B195,C195,A195)</f>
        <v>51331.417881870177</v>
      </c>
      <c r="E195" s="10">
        <f t="shared" ref="E195:E258" si="28">gridnorthing(B195,C195,A195)</f>
        <v>248025.67842293251</v>
      </c>
      <c r="F195" s="11">
        <f t="shared" ref="F195:F258" si="29">gridzone(B195,C195,A195)</f>
        <v>1</v>
      </c>
      <c r="G195" s="11" t="str">
        <f t="shared" ref="G195:G258" si="30">GridGridCon(B195,C195,A195)</f>
        <v>0 00 22.94</v>
      </c>
      <c r="H195" s="12">
        <f t="shared" ref="H195:H258" si="31">GridPntScleFact(B195,C195,A195)</f>
        <v>1.0000704318680236</v>
      </c>
      <c r="I195" s="53" t="str">
        <f t="shared" ref="I195:I258" si="32">datumlat(D195,E195,F195,A195)</f>
        <v>-28 03 57.59042</v>
      </c>
      <c r="J195" s="53" t="str">
        <f t="shared" ref="J195:J258" si="33">datumlong(D195,E195,F195,A195)</f>
        <v>118 24 04.75560</v>
      </c>
      <c r="K195" s="54">
        <f t="shared" ref="K195:K258" si="34">DatumPntScle(D195,E195,F195,A195)</f>
        <v>1.0000704318680236</v>
      </c>
      <c r="L195" s="55" t="str">
        <f t="shared" ref="L195:L258" si="35">DatumGridConv(D195,E195,F195,A195)</f>
        <v>0 00 22.94</v>
      </c>
    </row>
    <row r="196" spans="1:12" x14ac:dyDescent="0.25">
      <c r="A196" s="13" t="s">
        <v>741</v>
      </c>
      <c r="B196" s="14" t="s">
        <v>742</v>
      </c>
      <c r="C196" s="14" t="s">
        <v>743</v>
      </c>
      <c r="D196" s="9">
        <f t="shared" si="27"/>
        <v>56082.149765462571</v>
      </c>
      <c r="E196" s="10">
        <f t="shared" si="28"/>
        <v>260132.57773026312</v>
      </c>
      <c r="F196" s="11">
        <f t="shared" si="29"/>
        <v>1</v>
      </c>
      <c r="G196" s="11" t="str">
        <f t="shared" si="30"/>
        <v>0 01 23.28</v>
      </c>
      <c r="H196" s="12">
        <f t="shared" si="31"/>
        <v>1.0000510467794468</v>
      </c>
      <c r="I196" s="53" t="str">
        <f t="shared" si="32"/>
        <v>-22 57 30.59950</v>
      </c>
      <c r="J196" s="53" t="str">
        <f t="shared" si="33"/>
        <v>117 03 33.49397</v>
      </c>
      <c r="K196" s="54">
        <f t="shared" si="34"/>
        <v>1.0000510467794468</v>
      </c>
      <c r="L196" s="55" t="str">
        <f t="shared" si="35"/>
        <v>0 01 23.28</v>
      </c>
    </row>
    <row r="197" spans="1:12" x14ac:dyDescent="0.25">
      <c r="A197" s="13" t="s">
        <v>744</v>
      </c>
      <c r="B197" s="14" t="s">
        <v>745</v>
      </c>
      <c r="C197" s="14" t="s">
        <v>746</v>
      </c>
      <c r="D197" s="9">
        <f t="shared" si="27"/>
        <v>56905.412428651245</v>
      </c>
      <c r="E197" s="10">
        <f t="shared" si="28"/>
        <v>241630.24069188861</v>
      </c>
      <c r="F197" s="11">
        <f t="shared" si="29"/>
        <v>1</v>
      </c>
      <c r="G197" s="11" t="str">
        <f t="shared" si="30"/>
        <v>0 01 31.18</v>
      </c>
      <c r="H197" s="12">
        <f t="shared" si="31"/>
        <v>1.0000672188677988</v>
      </c>
      <c r="I197" s="53" t="str">
        <f t="shared" si="32"/>
        <v>-22 13 13.39723</v>
      </c>
      <c r="J197" s="53" t="str">
        <f t="shared" si="33"/>
        <v>118 55 31.09973</v>
      </c>
      <c r="K197" s="54">
        <f t="shared" si="34"/>
        <v>1.0000672188677986</v>
      </c>
      <c r="L197" s="55" t="str">
        <f t="shared" si="35"/>
        <v>0 01 31.18</v>
      </c>
    </row>
    <row r="198" spans="1:12" x14ac:dyDescent="0.25">
      <c r="A198" s="13" t="s">
        <v>747</v>
      </c>
      <c r="B198" s="14" t="s">
        <v>748</v>
      </c>
      <c r="C198" s="14" t="s">
        <v>749</v>
      </c>
      <c r="D198" s="9">
        <f t="shared" si="27"/>
        <v>44242.685182993446</v>
      </c>
      <c r="E198" s="10">
        <f t="shared" si="28"/>
        <v>238193.11794160493</v>
      </c>
      <c r="F198" s="11">
        <f t="shared" si="29"/>
        <v>1</v>
      </c>
      <c r="G198" s="11" t="str">
        <f t="shared" si="30"/>
        <v>0 01 13.42</v>
      </c>
      <c r="H198" s="12">
        <f t="shared" si="31"/>
        <v>1.0000464493888215</v>
      </c>
      <c r="I198" s="53" t="str">
        <f t="shared" si="32"/>
        <v>-21 31 45.96704</v>
      </c>
      <c r="J198" s="53" t="str">
        <f t="shared" si="33"/>
        <v>117 16 39.94684</v>
      </c>
      <c r="K198" s="54">
        <f t="shared" si="34"/>
        <v>1.0000464493888215</v>
      </c>
      <c r="L198" s="55" t="str">
        <f t="shared" si="35"/>
        <v>0 01 13.42</v>
      </c>
    </row>
    <row r="199" spans="1:12" x14ac:dyDescent="0.25">
      <c r="A199" s="13" t="s">
        <v>750</v>
      </c>
      <c r="B199" s="14" t="s">
        <v>751</v>
      </c>
      <c r="C199" s="14" t="s">
        <v>752</v>
      </c>
      <c r="D199" s="9">
        <f t="shared" si="27"/>
        <v>51290.357488094858</v>
      </c>
      <c r="E199" s="10">
        <f t="shared" si="28"/>
        <v>277712.49536639638</v>
      </c>
      <c r="F199" s="11">
        <f t="shared" si="29"/>
        <v>1</v>
      </c>
      <c r="G199" s="11" t="str">
        <f t="shared" si="30"/>
        <v>0 00 24.09</v>
      </c>
      <c r="H199" s="12">
        <f t="shared" si="31"/>
        <v>1.0000350605327812</v>
      </c>
      <c r="I199" s="53" t="str">
        <f t="shared" si="32"/>
        <v>-30 01 06.82244</v>
      </c>
      <c r="J199" s="53" t="str">
        <f t="shared" si="33"/>
        <v>115 55 48.15181</v>
      </c>
      <c r="K199" s="54">
        <f t="shared" si="34"/>
        <v>1.0000350605327812</v>
      </c>
      <c r="L199" s="55" t="str">
        <f t="shared" si="35"/>
        <v>0 00 24.09</v>
      </c>
    </row>
    <row r="200" spans="1:12" x14ac:dyDescent="0.25">
      <c r="A200" s="13" t="s">
        <v>753</v>
      </c>
      <c r="B200" s="14" t="s">
        <v>754</v>
      </c>
      <c r="C200" s="14" t="s">
        <v>755</v>
      </c>
      <c r="D200" s="9">
        <f t="shared" si="27"/>
        <v>50003.688139190897</v>
      </c>
      <c r="E200" s="10">
        <f t="shared" si="28"/>
        <v>269435.51858419739</v>
      </c>
      <c r="F200" s="11">
        <f t="shared" si="29"/>
        <v>1</v>
      </c>
      <c r="G200" s="11" t="str">
        <f t="shared" si="30"/>
        <v>0 00 00.08</v>
      </c>
      <c r="H200" s="12">
        <f t="shared" si="31"/>
        <v>1.0000407000001676</v>
      </c>
      <c r="I200" s="53" t="str">
        <f t="shared" si="32"/>
        <v>-32 20 52.04206</v>
      </c>
      <c r="J200" s="53" t="str">
        <f t="shared" si="33"/>
        <v>117 35 00.14104</v>
      </c>
      <c r="K200" s="54">
        <f t="shared" si="34"/>
        <v>1.0000407000001676</v>
      </c>
      <c r="L200" s="55" t="str">
        <f t="shared" si="35"/>
        <v>0 00 00.08</v>
      </c>
    </row>
    <row r="201" spans="1:12" x14ac:dyDescent="0.25">
      <c r="A201" s="13" t="s">
        <v>756</v>
      </c>
      <c r="B201" s="14" t="s">
        <v>757</v>
      </c>
      <c r="C201" s="14" t="s">
        <v>758</v>
      </c>
      <c r="D201" s="9">
        <f t="shared" si="27"/>
        <v>52847.445214632018</v>
      </c>
      <c r="E201" s="10">
        <f t="shared" si="28"/>
        <v>216239.13543837192</v>
      </c>
      <c r="F201" s="11">
        <f t="shared" si="29"/>
        <v>1</v>
      </c>
      <c r="G201" s="11" t="str">
        <f t="shared" si="30"/>
        <v>0 00 49.39</v>
      </c>
      <c r="H201" s="12">
        <f t="shared" si="31"/>
        <v>1.0000770200173039</v>
      </c>
      <c r="I201" s="53" t="str">
        <f t="shared" si="32"/>
        <v>-28 13 34.66895</v>
      </c>
      <c r="J201" s="53" t="str">
        <f t="shared" si="33"/>
        <v>122 42 44.42616</v>
      </c>
      <c r="K201" s="54">
        <f t="shared" si="34"/>
        <v>1.0000770200173039</v>
      </c>
      <c r="L201" s="55" t="str">
        <f t="shared" si="35"/>
        <v>0 00 49.39</v>
      </c>
    </row>
    <row r="202" spans="1:12" x14ac:dyDescent="0.25">
      <c r="A202" s="13" t="s">
        <v>759</v>
      </c>
      <c r="B202" s="14" t="s">
        <v>760</v>
      </c>
      <c r="C202" s="14" t="s">
        <v>761</v>
      </c>
      <c r="D202" s="9">
        <f t="shared" si="27"/>
        <v>55334.045513608893</v>
      </c>
      <c r="E202" s="10">
        <f t="shared" si="28"/>
        <v>371580.50618550833</v>
      </c>
      <c r="F202" s="11">
        <f t="shared" si="29"/>
        <v>1</v>
      </c>
      <c r="G202" s="11" t="str">
        <f t="shared" si="30"/>
        <v>0 01 54.84</v>
      </c>
      <c r="H202" s="12">
        <f t="shared" si="31"/>
        <v>1.0000361705961964</v>
      </c>
      <c r="I202" s="53" t="str">
        <f t="shared" si="32"/>
        <v>-33 40 51.80588</v>
      </c>
      <c r="J202" s="53" t="str">
        <f t="shared" si="33"/>
        <v>117 34 27.07601</v>
      </c>
      <c r="K202" s="54">
        <f t="shared" si="34"/>
        <v>1.0000361705961964</v>
      </c>
      <c r="L202" s="55" t="str">
        <f t="shared" si="35"/>
        <v>0 01 54.84</v>
      </c>
    </row>
    <row r="203" spans="1:12" x14ac:dyDescent="0.25">
      <c r="A203" s="13" t="s">
        <v>762</v>
      </c>
      <c r="B203" s="14" t="s">
        <v>763</v>
      </c>
      <c r="C203" s="14" t="s">
        <v>764</v>
      </c>
      <c r="D203" s="9">
        <f t="shared" si="27"/>
        <v>54912.277086999275</v>
      </c>
      <c r="E203" s="10">
        <f t="shared" si="28"/>
        <v>219893.5786199565</v>
      </c>
      <c r="F203" s="11">
        <f t="shared" si="29"/>
        <v>1</v>
      </c>
      <c r="G203" s="11" t="str">
        <f t="shared" si="30"/>
        <v>0 01 23.17</v>
      </c>
      <c r="H203" s="12">
        <f t="shared" si="31"/>
        <v>1.0000623277041392</v>
      </c>
      <c r="I203" s="53" t="str">
        <f t="shared" si="32"/>
        <v>-27 39 08.43685</v>
      </c>
      <c r="J203" s="53" t="str">
        <f t="shared" si="33"/>
        <v>117 57 51.77412</v>
      </c>
      <c r="K203" s="54">
        <f t="shared" si="34"/>
        <v>1.0000623277041392</v>
      </c>
      <c r="L203" s="55" t="str">
        <f t="shared" si="35"/>
        <v>0 01 23.17</v>
      </c>
    </row>
    <row r="204" spans="1:12" x14ac:dyDescent="0.25">
      <c r="A204" s="13" t="s">
        <v>765</v>
      </c>
      <c r="B204" s="14" t="s">
        <v>766</v>
      </c>
      <c r="C204" s="14" t="s">
        <v>767</v>
      </c>
      <c r="D204" s="9">
        <f t="shared" si="27"/>
        <v>53062.622775859971</v>
      </c>
      <c r="E204" s="10">
        <f t="shared" si="28"/>
        <v>241449.89141084859</v>
      </c>
      <c r="F204" s="11">
        <f t="shared" si="29"/>
        <v>1</v>
      </c>
      <c r="G204" s="11" t="str">
        <f t="shared" si="30"/>
        <v>0 01 01.65</v>
      </c>
      <c r="H204" s="12">
        <f t="shared" si="31"/>
        <v>1.0000445956217983</v>
      </c>
      <c r="I204" s="53" t="str">
        <f t="shared" si="32"/>
        <v>-31 55 25.34156</v>
      </c>
      <c r="J204" s="53" t="str">
        <f t="shared" si="33"/>
        <v>123 09 40.57819</v>
      </c>
      <c r="K204" s="54">
        <f t="shared" si="34"/>
        <v>1.0000445956217985</v>
      </c>
      <c r="L204" s="55" t="str">
        <f t="shared" si="35"/>
        <v>0 01 01.65</v>
      </c>
    </row>
    <row r="205" spans="1:12" x14ac:dyDescent="0.25">
      <c r="A205" s="13" t="s">
        <v>768</v>
      </c>
      <c r="B205" s="14" t="s">
        <v>769</v>
      </c>
      <c r="C205" s="14" t="s">
        <v>770</v>
      </c>
      <c r="D205" s="9">
        <f t="shared" si="27"/>
        <v>57700.114135634743</v>
      </c>
      <c r="E205" s="10">
        <f t="shared" si="28"/>
        <v>217493.11963888537</v>
      </c>
      <c r="F205" s="11">
        <f t="shared" si="29"/>
        <v>1</v>
      </c>
      <c r="G205" s="11" t="str">
        <f t="shared" si="30"/>
        <v>0 02 28.26</v>
      </c>
      <c r="H205" s="12">
        <f t="shared" si="31"/>
        <v>1.0000327810628675</v>
      </c>
      <c r="I205" s="53" t="str">
        <f t="shared" si="32"/>
        <v>-30 47 31.13646</v>
      </c>
      <c r="J205" s="53" t="str">
        <f t="shared" si="33"/>
        <v>115 42 19.61701</v>
      </c>
      <c r="K205" s="54">
        <f t="shared" si="34"/>
        <v>1.0000327810628673</v>
      </c>
      <c r="L205" s="55" t="str">
        <f t="shared" si="35"/>
        <v>0 02 28.26</v>
      </c>
    </row>
    <row r="206" spans="1:12" x14ac:dyDescent="0.25">
      <c r="A206" s="13" t="s">
        <v>771</v>
      </c>
      <c r="B206" s="14" t="s">
        <v>772</v>
      </c>
      <c r="C206" s="14" t="s">
        <v>773</v>
      </c>
      <c r="D206" s="9">
        <f t="shared" si="27"/>
        <v>50313.668738744142</v>
      </c>
      <c r="E206" s="10">
        <f t="shared" si="28"/>
        <v>346913.23015975207</v>
      </c>
      <c r="F206" s="11">
        <f t="shared" si="29"/>
        <v>1</v>
      </c>
      <c r="G206" s="11" t="str">
        <f t="shared" si="30"/>
        <v>0 00 05.37</v>
      </c>
      <c r="H206" s="12">
        <f t="shared" si="31"/>
        <v>1.0000661512137734</v>
      </c>
      <c r="I206" s="53" t="str">
        <f t="shared" si="32"/>
        <v>-27 55 05.70299</v>
      </c>
      <c r="J206" s="53" t="str">
        <f t="shared" si="33"/>
        <v>120 03 53.47073</v>
      </c>
      <c r="K206" s="54">
        <f t="shared" si="34"/>
        <v>1.0000661512137734</v>
      </c>
      <c r="L206" s="55" t="str">
        <f t="shared" si="35"/>
        <v>0 00 05.37</v>
      </c>
    </row>
    <row r="207" spans="1:12" x14ac:dyDescent="0.25">
      <c r="A207" s="13" t="s">
        <v>774</v>
      </c>
      <c r="B207" s="14" t="s">
        <v>775</v>
      </c>
      <c r="C207" s="14" t="s">
        <v>776</v>
      </c>
      <c r="D207" s="9">
        <f t="shared" si="27"/>
        <v>50975.64369123162</v>
      </c>
      <c r="E207" s="10">
        <f t="shared" si="28"/>
        <v>258494.38367737434</v>
      </c>
      <c r="F207" s="11">
        <f t="shared" si="29"/>
        <v>1</v>
      </c>
      <c r="G207" s="11" t="str">
        <f t="shared" si="30"/>
        <v>0 00 09.98</v>
      </c>
      <c r="H207" s="12">
        <f t="shared" si="31"/>
        <v>1.0000039417638957</v>
      </c>
      <c r="I207" s="53" t="str">
        <f t="shared" si="32"/>
        <v>-17 33 10.44317</v>
      </c>
      <c r="J207" s="53" t="str">
        <f t="shared" si="33"/>
        <v>123 41 33.08230</v>
      </c>
      <c r="K207" s="54">
        <f t="shared" si="34"/>
        <v>1.000003941763896</v>
      </c>
      <c r="L207" s="55" t="str">
        <f t="shared" si="35"/>
        <v>0 00 09.98</v>
      </c>
    </row>
    <row r="208" spans="1:12" x14ac:dyDescent="0.25">
      <c r="A208" s="13" t="s">
        <v>777</v>
      </c>
      <c r="B208" s="14" t="s">
        <v>778</v>
      </c>
      <c r="C208" s="14" t="s">
        <v>779</v>
      </c>
      <c r="D208" s="9">
        <f t="shared" si="27"/>
        <v>56932.823529320507</v>
      </c>
      <c r="E208" s="10">
        <f t="shared" si="28"/>
        <v>253776.2468969035</v>
      </c>
      <c r="F208" s="11">
        <f t="shared" si="29"/>
        <v>1</v>
      </c>
      <c r="G208" s="11" t="str">
        <f t="shared" si="30"/>
        <v>0 01 43.85</v>
      </c>
      <c r="H208" s="12">
        <f t="shared" si="31"/>
        <v>1.0001004532632949</v>
      </c>
      <c r="I208" s="53" t="str">
        <f t="shared" si="32"/>
        <v>-24 52 05.28654</v>
      </c>
      <c r="J208" s="53" t="str">
        <f t="shared" si="33"/>
        <v>129 10 54.94508</v>
      </c>
      <c r="K208" s="54">
        <f t="shared" si="34"/>
        <v>1.0001004532632949</v>
      </c>
      <c r="L208" s="55" t="str">
        <f t="shared" si="35"/>
        <v>0 01 43.85</v>
      </c>
    </row>
    <row r="209" spans="1:12" x14ac:dyDescent="0.25">
      <c r="A209" s="13" t="s">
        <v>780</v>
      </c>
      <c r="B209" s="14" t="s">
        <v>781</v>
      </c>
      <c r="C209" s="14" t="s">
        <v>782</v>
      </c>
      <c r="D209" s="9">
        <f t="shared" si="27"/>
        <v>56643.606103460683</v>
      </c>
      <c r="E209" s="10">
        <f t="shared" si="28"/>
        <v>595940.7191859805</v>
      </c>
      <c r="F209" s="11">
        <f t="shared" si="29"/>
        <v>1</v>
      </c>
      <c r="G209" s="11" t="str">
        <f t="shared" si="30"/>
        <v>0 01 45.84</v>
      </c>
      <c r="H209" s="12">
        <f t="shared" si="31"/>
        <v>1.0000846546694346</v>
      </c>
      <c r="I209" s="53" t="str">
        <f t="shared" si="32"/>
        <v>-26 14 36.64655</v>
      </c>
      <c r="J209" s="53" t="str">
        <f t="shared" si="33"/>
        <v>119 33 59.36414</v>
      </c>
      <c r="K209" s="54">
        <f t="shared" si="34"/>
        <v>1.0000846546694344</v>
      </c>
      <c r="L209" s="55" t="str">
        <f t="shared" si="35"/>
        <v>0 01 45.84</v>
      </c>
    </row>
    <row r="210" spans="1:12" x14ac:dyDescent="0.25">
      <c r="A210" s="13" t="s">
        <v>783</v>
      </c>
      <c r="B210" s="14" t="s">
        <v>784</v>
      </c>
      <c r="C210" s="14" t="s">
        <v>785</v>
      </c>
      <c r="D210" s="9">
        <f t="shared" si="27"/>
        <v>53852.503811934235</v>
      </c>
      <c r="E210" s="10">
        <f t="shared" si="28"/>
        <v>596575.12014607387</v>
      </c>
      <c r="F210" s="11">
        <f t="shared" si="29"/>
        <v>1</v>
      </c>
      <c r="G210" s="11" t="str">
        <f t="shared" si="30"/>
        <v>0 01 14.05</v>
      </c>
      <c r="H210" s="12">
        <f t="shared" si="31"/>
        <v>1.0000412729979906</v>
      </c>
      <c r="I210" s="53" t="str">
        <f t="shared" si="32"/>
        <v>-30 45 00.87199</v>
      </c>
      <c r="J210" s="53" t="str">
        <f t="shared" si="33"/>
        <v>116 53 24.83671</v>
      </c>
      <c r="K210" s="54">
        <f t="shared" si="34"/>
        <v>1.0000412729979906</v>
      </c>
      <c r="L210" s="55" t="str">
        <f t="shared" si="35"/>
        <v>0 01 14.05</v>
      </c>
    </row>
    <row r="211" spans="1:12" x14ac:dyDescent="0.25">
      <c r="A211" s="13" t="s">
        <v>786</v>
      </c>
      <c r="B211" s="14" t="s">
        <v>787</v>
      </c>
      <c r="C211" s="14" t="s">
        <v>788</v>
      </c>
      <c r="D211" s="9">
        <f t="shared" si="27"/>
        <v>52043.539955309927</v>
      </c>
      <c r="E211" s="10">
        <f t="shared" si="28"/>
        <v>267872.974062389</v>
      </c>
      <c r="F211" s="11">
        <f t="shared" si="29"/>
        <v>1</v>
      </c>
      <c r="G211" s="11" t="str">
        <f t="shared" si="30"/>
        <v>0 00 18.52</v>
      </c>
      <c r="H211" s="12">
        <f t="shared" si="31"/>
        <v>1.0000249216215567</v>
      </c>
      <c r="I211" s="53" t="str">
        <f t="shared" si="32"/>
        <v>-15 39 38.08174</v>
      </c>
      <c r="J211" s="53" t="str">
        <f t="shared" si="33"/>
        <v>127 49 08.61618</v>
      </c>
      <c r="K211" s="54">
        <f t="shared" si="34"/>
        <v>1.0000249216215569</v>
      </c>
      <c r="L211" s="55" t="str">
        <f t="shared" si="35"/>
        <v>0 00 18.52</v>
      </c>
    </row>
    <row r="212" spans="1:12" x14ac:dyDescent="0.25">
      <c r="A212" s="13" t="s">
        <v>789</v>
      </c>
      <c r="B212" s="14" t="s">
        <v>790</v>
      </c>
      <c r="C212" s="14" t="s">
        <v>791</v>
      </c>
      <c r="D212" s="9">
        <f t="shared" si="27"/>
        <v>58552.495402655295</v>
      </c>
      <c r="E212" s="10">
        <f t="shared" si="28"/>
        <v>150721.60576686542</v>
      </c>
      <c r="F212" s="11">
        <f t="shared" si="29"/>
        <v>1</v>
      </c>
      <c r="G212" s="11" t="str">
        <f t="shared" si="30"/>
        <v>0 03 11.81</v>
      </c>
      <c r="H212" s="12">
        <f t="shared" si="31"/>
        <v>1.0000136111278524</v>
      </c>
      <c r="I212" s="53" t="str">
        <f t="shared" si="32"/>
        <v>-34 46 16.81705</v>
      </c>
      <c r="J212" s="53" t="str">
        <f t="shared" si="33"/>
        <v>118 25 36.33514</v>
      </c>
      <c r="K212" s="54">
        <f t="shared" si="34"/>
        <v>1.0000136111278521</v>
      </c>
      <c r="L212" s="55" t="str">
        <f t="shared" si="35"/>
        <v>0 03 11.81</v>
      </c>
    </row>
    <row r="213" spans="1:12" x14ac:dyDescent="0.25">
      <c r="A213" s="13" t="s">
        <v>792</v>
      </c>
      <c r="B213" s="14" t="s">
        <v>793</v>
      </c>
      <c r="C213" s="14" t="s">
        <v>794</v>
      </c>
      <c r="D213" s="9">
        <f t="shared" si="27"/>
        <v>51888.12470918335</v>
      </c>
      <c r="E213" s="10">
        <f t="shared" si="28"/>
        <v>256929.9149560174</v>
      </c>
      <c r="F213" s="11">
        <f t="shared" si="29"/>
        <v>1</v>
      </c>
      <c r="G213" s="11" t="str">
        <f t="shared" si="30"/>
        <v>0 00 23.65</v>
      </c>
      <c r="H213" s="12">
        <f t="shared" si="31"/>
        <v>1.0000414940335236</v>
      </c>
      <c r="I213" s="53" t="str">
        <f t="shared" si="32"/>
        <v>-21 10 46.91777</v>
      </c>
      <c r="J213" s="53" t="str">
        <f t="shared" si="33"/>
        <v>120 14 45.45272</v>
      </c>
      <c r="K213" s="54">
        <f t="shared" si="34"/>
        <v>1.0000414940335236</v>
      </c>
      <c r="L213" s="55" t="str">
        <f t="shared" si="35"/>
        <v>0 00 23.65</v>
      </c>
    </row>
    <row r="214" spans="1:12" x14ac:dyDescent="0.25">
      <c r="A214" s="13" t="s">
        <v>795</v>
      </c>
      <c r="B214" s="14" t="s">
        <v>796</v>
      </c>
      <c r="C214" s="14" t="s">
        <v>797</v>
      </c>
      <c r="D214" s="9">
        <f t="shared" si="27"/>
        <v>57369.152888639524</v>
      </c>
      <c r="E214" s="10">
        <f t="shared" si="28"/>
        <v>229045.44013768667</v>
      </c>
      <c r="F214" s="11">
        <f t="shared" si="29"/>
        <v>1</v>
      </c>
      <c r="G214" s="11" t="str">
        <f t="shared" si="30"/>
        <v>0 01 08.36</v>
      </c>
      <c r="H214" s="12">
        <f t="shared" si="31"/>
        <v>1.0000632112201377</v>
      </c>
      <c r="I214" s="53" t="str">
        <f t="shared" si="32"/>
        <v>-16 00 39.01802</v>
      </c>
      <c r="J214" s="53" t="str">
        <f t="shared" si="33"/>
        <v>126 57 38.85228</v>
      </c>
      <c r="K214" s="54">
        <f t="shared" si="34"/>
        <v>1.0000632112201377</v>
      </c>
      <c r="L214" s="55" t="str">
        <f t="shared" si="35"/>
        <v>0 01 08.36</v>
      </c>
    </row>
    <row r="215" spans="1:12" x14ac:dyDescent="0.25">
      <c r="A215" s="13" t="s">
        <v>798</v>
      </c>
      <c r="B215" s="14" t="s">
        <v>799</v>
      </c>
      <c r="C215" s="14" t="s">
        <v>800</v>
      </c>
      <c r="D215" s="9">
        <f t="shared" si="27"/>
        <v>55197.781561805881</v>
      </c>
      <c r="E215" s="10">
        <f t="shared" si="28"/>
        <v>251883.78858038131</v>
      </c>
      <c r="F215" s="11">
        <f t="shared" si="29"/>
        <v>1</v>
      </c>
      <c r="G215" s="11" t="str">
        <f t="shared" si="30"/>
        <v>0 01 43.34</v>
      </c>
      <c r="H215" s="12">
        <f t="shared" si="31"/>
        <v>1.0000061630692407</v>
      </c>
      <c r="I215" s="53" t="str">
        <f t="shared" si="32"/>
        <v>-31 36 19.33146</v>
      </c>
      <c r="J215" s="53" t="str">
        <f t="shared" si="33"/>
        <v>128 48 17.18406</v>
      </c>
      <c r="K215" s="54">
        <f t="shared" si="34"/>
        <v>1.0000061630692407</v>
      </c>
      <c r="L215" s="55" t="str">
        <f t="shared" si="35"/>
        <v>0 01 43.34</v>
      </c>
    </row>
    <row r="216" spans="1:12" x14ac:dyDescent="0.25">
      <c r="A216" s="13" t="s">
        <v>801</v>
      </c>
      <c r="B216" s="14" t="s">
        <v>802</v>
      </c>
      <c r="C216" s="14" t="s">
        <v>803</v>
      </c>
      <c r="D216" s="9">
        <f t="shared" si="27"/>
        <v>54180.450712794431</v>
      </c>
      <c r="E216" s="10">
        <f t="shared" si="28"/>
        <v>427925.22136799339</v>
      </c>
      <c r="F216" s="11">
        <f t="shared" si="29"/>
        <v>1</v>
      </c>
      <c r="G216" s="11" t="str">
        <f t="shared" si="30"/>
        <v>0 00 58.05</v>
      </c>
      <c r="H216" s="12">
        <f t="shared" si="31"/>
        <v>1.0000059057927075</v>
      </c>
      <c r="I216" s="53" t="str">
        <f t="shared" si="32"/>
        <v>-23 14 54.65389</v>
      </c>
      <c r="J216" s="53" t="str">
        <f t="shared" si="33"/>
        <v>114 03 27.06307</v>
      </c>
      <c r="K216" s="54">
        <f t="shared" si="34"/>
        <v>1.0000059057927075</v>
      </c>
      <c r="L216" s="55" t="str">
        <f t="shared" si="35"/>
        <v>0 00 58.05</v>
      </c>
    </row>
    <row r="217" spans="1:12" x14ac:dyDescent="0.25">
      <c r="A217" s="13" t="s">
        <v>804</v>
      </c>
      <c r="B217" s="14" t="s">
        <v>805</v>
      </c>
      <c r="C217" s="14" t="s">
        <v>806</v>
      </c>
      <c r="D217" s="9">
        <f t="shared" si="27"/>
        <v>49897.730636380671</v>
      </c>
      <c r="E217" s="10">
        <f t="shared" si="28"/>
        <v>252059.03649287811</v>
      </c>
      <c r="F217" s="11">
        <f t="shared" si="29"/>
        <v>1</v>
      </c>
      <c r="G217" s="11" t="str">
        <f t="shared" si="30"/>
        <v>0 00 02.21</v>
      </c>
      <c r="H217" s="12">
        <f t="shared" si="31"/>
        <v>1.0000356101288785</v>
      </c>
      <c r="I217" s="53" t="str">
        <f t="shared" si="32"/>
        <v>-33 43 51.08164</v>
      </c>
      <c r="J217" s="53" t="str">
        <f t="shared" si="33"/>
        <v>119 30 56.02745</v>
      </c>
      <c r="K217" s="54">
        <f t="shared" si="34"/>
        <v>1.0000356101288785</v>
      </c>
      <c r="L217" s="55" t="str">
        <f t="shared" si="35"/>
        <v>0 00 02.21</v>
      </c>
    </row>
    <row r="218" spans="1:12" x14ac:dyDescent="0.25">
      <c r="A218" s="13" t="s">
        <v>807</v>
      </c>
      <c r="B218" s="14" t="s">
        <v>808</v>
      </c>
      <c r="C218" s="14" t="s">
        <v>809</v>
      </c>
      <c r="D218" s="9">
        <f t="shared" si="27"/>
        <v>58149.612682673236</v>
      </c>
      <c r="E218" s="10">
        <f t="shared" si="28"/>
        <v>277554.68447202863</v>
      </c>
      <c r="F218" s="11">
        <f t="shared" si="29"/>
        <v>1</v>
      </c>
      <c r="G218" s="11" t="str">
        <f t="shared" si="30"/>
        <v>0 01 27.05</v>
      </c>
      <c r="H218" s="12">
        <f t="shared" si="31"/>
        <v>1.0000232907127451</v>
      </c>
      <c r="I218" s="53" t="str">
        <f t="shared" si="32"/>
        <v>-18 17 01.83163</v>
      </c>
      <c r="J218" s="53" t="str">
        <f t="shared" si="33"/>
        <v>125 38 37.46864</v>
      </c>
      <c r="K218" s="54">
        <f t="shared" si="34"/>
        <v>1.0000232907127451</v>
      </c>
      <c r="L218" s="55" t="str">
        <f t="shared" si="35"/>
        <v>0 01 27.05</v>
      </c>
    </row>
    <row r="219" spans="1:12" x14ac:dyDescent="0.25">
      <c r="A219" s="13" t="s">
        <v>810</v>
      </c>
      <c r="B219" s="14" t="s">
        <v>811</v>
      </c>
      <c r="C219" s="14" t="s">
        <v>812</v>
      </c>
      <c r="D219" s="9">
        <f t="shared" si="27"/>
        <v>52059.145227217123</v>
      </c>
      <c r="E219" s="10">
        <f t="shared" si="28"/>
        <v>255410.73880493641</v>
      </c>
      <c r="F219" s="11">
        <f t="shared" si="29"/>
        <v>1</v>
      </c>
      <c r="G219" s="11" t="str">
        <f t="shared" si="30"/>
        <v>0 00 26.15</v>
      </c>
      <c r="H219" s="12">
        <f t="shared" si="31"/>
        <v>1.0000173323706767</v>
      </c>
      <c r="I219" s="53" t="str">
        <f t="shared" si="32"/>
        <v>-21 26 47.49133</v>
      </c>
      <c r="J219" s="53" t="str">
        <f t="shared" si="33"/>
        <v>115 57 11.51201</v>
      </c>
      <c r="K219" s="54">
        <f t="shared" si="34"/>
        <v>1.0000173323706767</v>
      </c>
      <c r="L219" s="55" t="str">
        <f t="shared" si="35"/>
        <v>0 00 26.15</v>
      </c>
    </row>
    <row r="220" spans="1:12" x14ac:dyDescent="0.25">
      <c r="A220" s="13" t="s">
        <v>813</v>
      </c>
      <c r="B220" s="14" t="s">
        <v>814</v>
      </c>
      <c r="C220" s="14" t="s">
        <v>815</v>
      </c>
      <c r="D220" s="9">
        <f t="shared" si="27"/>
        <v>55602.95911841427</v>
      </c>
      <c r="E220" s="10">
        <f t="shared" si="28"/>
        <v>231960.66253999854</v>
      </c>
      <c r="F220" s="11">
        <f t="shared" si="29"/>
        <v>1</v>
      </c>
      <c r="G220" s="11" t="str">
        <f t="shared" si="30"/>
        <v>0 02 05.06</v>
      </c>
      <c r="H220" s="12">
        <f t="shared" si="31"/>
        <v>1.0000164167642942</v>
      </c>
      <c r="I220" s="53" t="str">
        <f t="shared" si="32"/>
        <v>-34 38 34.40677</v>
      </c>
      <c r="J220" s="53" t="str">
        <f t="shared" si="33"/>
        <v>116 30 53.00075</v>
      </c>
      <c r="K220" s="54">
        <f t="shared" si="34"/>
        <v>1.0000164167642942</v>
      </c>
      <c r="L220" s="55" t="str">
        <f t="shared" si="35"/>
        <v>0 02 05.06</v>
      </c>
    </row>
    <row r="221" spans="1:12" x14ac:dyDescent="0.25">
      <c r="A221" s="13" t="s">
        <v>816</v>
      </c>
      <c r="B221" s="14" t="s">
        <v>817</v>
      </c>
      <c r="C221" s="14" t="s">
        <v>818</v>
      </c>
      <c r="D221" s="9">
        <f t="shared" si="27"/>
        <v>51307.254077037578</v>
      </c>
      <c r="E221" s="10">
        <f t="shared" si="28"/>
        <v>260868.00580391521</v>
      </c>
      <c r="F221" s="11">
        <f t="shared" si="29"/>
        <v>1</v>
      </c>
      <c r="G221" s="11" t="str">
        <f t="shared" si="30"/>
        <v>0 00 26.36</v>
      </c>
      <c r="H221" s="12">
        <f t="shared" si="31"/>
        <v>1.0000432310653491</v>
      </c>
      <c r="I221" s="53" t="str">
        <f t="shared" si="32"/>
        <v>-31 58 26.71194</v>
      </c>
      <c r="J221" s="53" t="str">
        <f t="shared" si="33"/>
        <v>122 28 49.78762</v>
      </c>
      <c r="K221" s="54">
        <f t="shared" si="34"/>
        <v>1.0000432310653491</v>
      </c>
      <c r="L221" s="55" t="str">
        <f t="shared" si="35"/>
        <v>0 00 26.36</v>
      </c>
    </row>
    <row r="222" spans="1:12" x14ac:dyDescent="0.25">
      <c r="A222" s="13" t="s">
        <v>819</v>
      </c>
      <c r="B222" s="14" t="s">
        <v>820</v>
      </c>
      <c r="C222" s="14" t="s">
        <v>821</v>
      </c>
      <c r="D222" s="9">
        <f t="shared" si="27"/>
        <v>59441.737039908301</v>
      </c>
      <c r="E222" s="10">
        <f t="shared" si="28"/>
        <v>220803.23369441461</v>
      </c>
      <c r="F222" s="11">
        <f t="shared" si="29"/>
        <v>1</v>
      </c>
      <c r="G222" s="11" t="str">
        <f t="shared" si="30"/>
        <v>0 02 45.35</v>
      </c>
      <c r="H222" s="12">
        <f t="shared" si="31"/>
        <v>1.0000484696678662</v>
      </c>
      <c r="I222" s="53" t="str">
        <f t="shared" si="32"/>
        <v>-28 27 23.76702</v>
      </c>
      <c r="J222" s="53" t="str">
        <f t="shared" si="33"/>
        <v>116 26 50.94060</v>
      </c>
      <c r="K222" s="54">
        <f t="shared" si="34"/>
        <v>1.0000484696678662</v>
      </c>
      <c r="L222" s="55" t="str">
        <f t="shared" si="35"/>
        <v>0 02 45.35</v>
      </c>
    </row>
    <row r="223" spans="1:12" x14ac:dyDescent="0.25">
      <c r="A223" s="13" t="s">
        <v>822</v>
      </c>
      <c r="B223" s="14" t="s">
        <v>823</v>
      </c>
      <c r="C223" s="14" t="s">
        <v>824</v>
      </c>
      <c r="D223" s="9">
        <f t="shared" si="27"/>
        <v>49750.398978892154</v>
      </c>
      <c r="E223" s="10">
        <f t="shared" si="28"/>
        <v>204460.01164036733</v>
      </c>
      <c r="F223" s="11">
        <f t="shared" si="29"/>
        <v>1</v>
      </c>
      <c r="G223" s="11" t="str">
        <f t="shared" si="30"/>
        <v>0 00 02.43</v>
      </c>
      <c r="H223" s="12">
        <f t="shared" si="31"/>
        <v>1.0000699207699761</v>
      </c>
      <c r="I223" s="53" t="str">
        <f t="shared" si="32"/>
        <v>-16 46 30.11084</v>
      </c>
      <c r="J223" s="53" t="str">
        <f t="shared" si="33"/>
        <v>125 49 51.57224</v>
      </c>
      <c r="K223" s="54">
        <f t="shared" si="34"/>
        <v>1.0000699207699761</v>
      </c>
      <c r="L223" s="55" t="str">
        <f t="shared" si="35"/>
        <v>0 00 02.43</v>
      </c>
    </row>
    <row r="224" spans="1:12" x14ac:dyDescent="0.25">
      <c r="A224" s="13" t="s">
        <v>825</v>
      </c>
      <c r="B224" s="14" t="s">
        <v>826</v>
      </c>
      <c r="C224" s="14" t="s">
        <v>827</v>
      </c>
      <c r="D224" s="9">
        <f t="shared" si="27"/>
        <v>50379.449186856778</v>
      </c>
      <c r="E224" s="10">
        <f t="shared" si="28"/>
        <v>248624.01373617817</v>
      </c>
      <c r="F224" s="11">
        <f t="shared" si="29"/>
        <v>1</v>
      </c>
      <c r="G224" s="11" t="str">
        <f t="shared" si="30"/>
        <v>0 00 05.74</v>
      </c>
      <c r="H224" s="12">
        <f t="shared" si="31"/>
        <v>1.0000202717772708</v>
      </c>
      <c r="I224" s="53" t="str">
        <f t="shared" si="32"/>
        <v>-25 03 56.12306</v>
      </c>
      <c r="J224" s="53" t="str">
        <f t="shared" si="33"/>
        <v>115 17 43.53853</v>
      </c>
      <c r="K224" s="54">
        <f t="shared" si="34"/>
        <v>1.0000202717772708</v>
      </c>
      <c r="L224" s="55" t="str">
        <f t="shared" si="35"/>
        <v>0 00 05.74</v>
      </c>
    </row>
    <row r="225" spans="1:12" x14ac:dyDescent="0.25">
      <c r="A225" s="13" t="s">
        <v>828</v>
      </c>
      <c r="B225" s="14" t="s">
        <v>829</v>
      </c>
      <c r="C225" s="14" t="s">
        <v>830</v>
      </c>
      <c r="D225" s="9">
        <f t="shared" si="27"/>
        <v>56419.156572384753</v>
      </c>
      <c r="E225" s="10">
        <f t="shared" si="28"/>
        <v>93559.611879287753</v>
      </c>
      <c r="F225" s="11">
        <f t="shared" si="29"/>
        <v>1</v>
      </c>
      <c r="G225" s="11" t="str">
        <f t="shared" si="30"/>
        <v>0 01 04.38</v>
      </c>
      <c r="H225" s="12">
        <f t="shared" si="31"/>
        <v>1.0000162192580655</v>
      </c>
      <c r="I225" s="53" t="str">
        <f t="shared" si="32"/>
        <v>-17 14 09.08052</v>
      </c>
      <c r="J225" s="53" t="str">
        <f t="shared" si="33"/>
        <v>124 36 37.28462</v>
      </c>
      <c r="K225" s="54">
        <f t="shared" si="34"/>
        <v>1.0000162192580655</v>
      </c>
      <c r="L225" s="55" t="str">
        <f t="shared" si="35"/>
        <v>0 01 04.38</v>
      </c>
    </row>
    <row r="226" spans="1:12" x14ac:dyDescent="0.25">
      <c r="A226" s="13" t="s">
        <v>831</v>
      </c>
      <c r="B226" s="14" t="s">
        <v>832</v>
      </c>
      <c r="C226" s="14" t="s">
        <v>833</v>
      </c>
      <c r="D226" s="9">
        <f t="shared" si="27"/>
        <v>104487.11565473193</v>
      </c>
      <c r="E226" s="10">
        <f t="shared" si="28"/>
        <v>193947.27401412372</v>
      </c>
      <c r="F226" s="11">
        <f t="shared" si="29"/>
        <v>1</v>
      </c>
      <c r="G226" s="11" t="str">
        <f t="shared" si="30"/>
        <v>0 00 42.12</v>
      </c>
      <c r="H226" s="12">
        <f t="shared" si="31"/>
        <v>1.0000783888557909</v>
      </c>
      <c r="I226" s="53" t="str">
        <f t="shared" si="32"/>
        <v>-16 11 31.92983</v>
      </c>
      <c r="J226" s="53" t="str">
        <f t="shared" si="33"/>
        <v>126 23 52.05332</v>
      </c>
      <c r="K226" s="54">
        <f t="shared" si="34"/>
        <v>1.0000783888557909</v>
      </c>
      <c r="L226" s="55" t="str">
        <f t="shared" si="35"/>
        <v>0 00 42.12</v>
      </c>
    </row>
    <row r="227" spans="1:12" x14ac:dyDescent="0.25">
      <c r="A227" s="13" t="s">
        <v>834</v>
      </c>
      <c r="B227" s="14" t="s">
        <v>835</v>
      </c>
      <c r="C227" s="14" t="s">
        <v>836</v>
      </c>
      <c r="D227" s="9">
        <f t="shared" si="27"/>
        <v>51086.492373885929</v>
      </c>
      <c r="E227" s="10">
        <f t="shared" si="28"/>
        <v>234607.67913197214</v>
      </c>
      <c r="F227" s="11">
        <f t="shared" si="29"/>
        <v>1</v>
      </c>
      <c r="G227" s="11" t="str">
        <f t="shared" si="30"/>
        <v>0 00 16.58</v>
      </c>
      <c r="H227" s="12">
        <f t="shared" si="31"/>
        <v>1.000084944569841</v>
      </c>
      <c r="I227" s="53" t="str">
        <f t="shared" si="32"/>
        <v>-25 16 50.71526</v>
      </c>
      <c r="J227" s="53" t="str">
        <f t="shared" si="33"/>
        <v>127 53 55.83102</v>
      </c>
      <c r="K227" s="54">
        <f t="shared" si="34"/>
        <v>1.0000849445698408</v>
      </c>
      <c r="L227" s="55" t="str">
        <f t="shared" si="35"/>
        <v>0 00 16.58</v>
      </c>
    </row>
    <row r="228" spans="1:12" x14ac:dyDescent="0.25">
      <c r="A228" s="13" t="s">
        <v>837</v>
      </c>
      <c r="B228" s="14" t="s">
        <v>838</v>
      </c>
      <c r="C228" s="14" t="s">
        <v>839</v>
      </c>
      <c r="D228" s="9">
        <f t="shared" si="27"/>
        <v>54095.10278633063</v>
      </c>
      <c r="E228" s="10">
        <f t="shared" si="28"/>
        <v>217418.55127300788</v>
      </c>
      <c r="F228" s="11">
        <f t="shared" si="29"/>
        <v>1</v>
      </c>
      <c r="G228" s="11" t="str">
        <f t="shared" si="30"/>
        <v>0 00 54.67</v>
      </c>
      <c r="H228" s="12">
        <f t="shared" si="31"/>
        <v>1.0000044470997294</v>
      </c>
      <c r="I228" s="53" t="str">
        <f t="shared" si="32"/>
        <v>-22 26 25.53670</v>
      </c>
      <c r="J228" s="53" t="str">
        <f t="shared" si="33"/>
        <v>114 45 23.21226</v>
      </c>
      <c r="K228" s="54">
        <f t="shared" si="34"/>
        <v>1.0000044470997294</v>
      </c>
      <c r="L228" s="55" t="str">
        <f t="shared" si="35"/>
        <v>0 00 54.67</v>
      </c>
    </row>
    <row r="229" spans="1:12" x14ac:dyDescent="0.25">
      <c r="A229" s="13" t="s">
        <v>840</v>
      </c>
      <c r="B229" s="14" t="s">
        <v>841</v>
      </c>
      <c r="C229" s="14" t="s">
        <v>842</v>
      </c>
      <c r="D229" s="9">
        <f t="shared" si="27"/>
        <v>53078.273621025321</v>
      </c>
      <c r="E229" s="10">
        <f t="shared" si="28"/>
        <v>264849.38925466966</v>
      </c>
      <c r="F229" s="11">
        <f t="shared" si="29"/>
        <v>1</v>
      </c>
      <c r="G229" s="11" t="str">
        <f t="shared" si="30"/>
        <v>0 01 04.19</v>
      </c>
      <c r="H229" s="12">
        <f t="shared" si="31"/>
        <v>1.0000445867838774</v>
      </c>
      <c r="I229" s="53" t="str">
        <f t="shared" si="32"/>
        <v>-32 50 23.51069</v>
      </c>
      <c r="J229" s="53" t="str">
        <f t="shared" si="33"/>
        <v>116 41 58.36247</v>
      </c>
      <c r="K229" s="54">
        <f t="shared" si="34"/>
        <v>1.0000445867838772</v>
      </c>
      <c r="L229" s="55" t="str">
        <f t="shared" si="35"/>
        <v>0 01 04.19</v>
      </c>
    </row>
    <row r="230" spans="1:12" x14ac:dyDescent="0.25">
      <c r="A230" s="13" t="s">
        <v>843</v>
      </c>
      <c r="B230" s="14" t="s">
        <v>844</v>
      </c>
      <c r="C230" s="14" t="s">
        <v>845</v>
      </c>
      <c r="D230" s="9">
        <f t="shared" si="27"/>
        <v>50291.545008395784</v>
      </c>
      <c r="E230" s="10">
        <f t="shared" si="28"/>
        <v>280021.58120979182</v>
      </c>
      <c r="F230" s="11">
        <f t="shared" si="29"/>
        <v>1</v>
      </c>
      <c r="G230" s="11" t="str">
        <f t="shared" si="30"/>
        <v>0 00 02.86</v>
      </c>
      <c r="H230" s="12">
        <f t="shared" si="31"/>
        <v>1.000047611050505</v>
      </c>
      <c r="I230" s="53" t="str">
        <f t="shared" si="32"/>
        <v>-16 54 21.11515</v>
      </c>
      <c r="J230" s="53" t="str">
        <f t="shared" si="33"/>
        <v>128 10 09.85098</v>
      </c>
      <c r="K230" s="54">
        <f t="shared" si="34"/>
        <v>1.000047611050505</v>
      </c>
      <c r="L230" s="55" t="str">
        <f t="shared" si="35"/>
        <v>0 00 02.86</v>
      </c>
    </row>
    <row r="231" spans="1:12" x14ac:dyDescent="0.25">
      <c r="A231" s="13" t="s">
        <v>846</v>
      </c>
      <c r="B231" s="14" t="s">
        <v>847</v>
      </c>
      <c r="C231" s="14" t="s">
        <v>848</v>
      </c>
      <c r="D231" s="9">
        <f t="shared" si="27"/>
        <v>53230.695476731889</v>
      </c>
      <c r="E231" s="10">
        <f t="shared" si="28"/>
        <v>182063.25362693472</v>
      </c>
      <c r="F231" s="11">
        <f t="shared" si="29"/>
        <v>1</v>
      </c>
      <c r="G231" s="11" t="str">
        <f t="shared" si="30"/>
        <v>0 00 35.34</v>
      </c>
      <c r="H231" s="12">
        <f t="shared" si="31"/>
        <v>1.0000565389642777</v>
      </c>
      <c r="I231" s="53" t="str">
        <f t="shared" si="32"/>
        <v>-18 41 39.14549</v>
      </c>
      <c r="J231" s="53" t="str">
        <f t="shared" si="33"/>
        <v>127 48 50.25344</v>
      </c>
      <c r="K231" s="54">
        <f t="shared" si="34"/>
        <v>1.0000565389642777</v>
      </c>
      <c r="L231" s="55" t="str">
        <f t="shared" si="35"/>
        <v>0 00 35.34</v>
      </c>
    </row>
    <row r="232" spans="1:12" x14ac:dyDescent="0.25">
      <c r="A232" s="13" t="s">
        <v>849</v>
      </c>
      <c r="B232" s="14" t="s">
        <v>850</v>
      </c>
      <c r="C232" s="14" t="s">
        <v>851</v>
      </c>
      <c r="D232" s="9">
        <f t="shared" si="27"/>
        <v>54501.176938053293</v>
      </c>
      <c r="E232" s="10">
        <f t="shared" si="28"/>
        <v>287340.05170444679</v>
      </c>
      <c r="F232" s="11">
        <f t="shared" si="29"/>
        <v>1</v>
      </c>
      <c r="G232" s="11" t="str">
        <f t="shared" si="30"/>
        <v>0 01 40.73</v>
      </c>
      <c r="H232" s="12">
        <f t="shared" si="31"/>
        <v>1.0000101496087068</v>
      </c>
      <c r="I232" s="53" t="str">
        <f t="shared" si="32"/>
        <v>-34 42 42.48713</v>
      </c>
      <c r="J232" s="53" t="str">
        <f t="shared" si="33"/>
        <v>117 01 56.88671</v>
      </c>
      <c r="K232" s="54">
        <f t="shared" si="34"/>
        <v>1.000010149608707</v>
      </c>
      <c r="L232" s="55" t="str">
        <f t="shared" si="35"/>
        <v>0 01 40.73</v>
      </c>
    </row>
    <row r="233" spans="1:12" x14ac:dyDescent="0.25">
      <c r="A233" s="13" t="s">
        <v>852</v>
      </c>
      <c r="B233" s="14" t="s">
        <v>853</v>
      </c>
      <c r="C233" s="14" t="s">
        <v>854</v>
      </c>
      <c r="D233" s="9">
        <f t="shared" si="27"/>
        <v>51490.258068300565</v>
      </c>
      <c r="E233" s="10">
        <f t="shared" si="28"/>
        <v>232312.48283878202</v>
      </c>
      <c r="F233" s="11">
        <f t="shared" si="29"/>
        <v>1</v>
      </c>
      <c r="G233" s="11" t="str">
        <f t="shared" si="30"/>
        <v>0 00 31.42</v>
      </c>
      <c r="H233" s="12">
        <f t="shared" si="31"/>
        <v>1.0000462273692827</v>
      </c>
      <c r="I233" s="53" t="str">
        <f t="shared" si="32"/>
        <v>-33 07 59.43202</v>
      </c>
      <c r="J233" s="53" t="str">
        <f t="shared" si="33"/>
        <v>120 20 57.49152</v>
      </c>
      <c r="K233" s="54">
        <f t="shared" si="34"/>
        <v>1.0000462273692827</v>
      </c>
      <c r="L233" s="55" t="str">
        <f t="shared" si="35"/>
        <v>0 00 31.42</v>
      </c>
    </row>
    <row r="234" spans="1:12" x14ac:dyDescent="0.25">
      <c r="A234" s="13" t="s">
        <v>855</v>
      </c>
      <c r="B234" s="14" t="s">
        <v>856</v>
      </c>
      <c r="C234" s="14" t="s">
        <v>857</v>
      </c>
      <c r="D234" s="9">
        <f t="shared" si="27"/>
        <v>54878.826570544814</v>
      </c>
      <c r="E234" s="10">
        <f t="shared" si="28"/>
        <v>248639.06135024223</v>
      </c>
      <c r="F234" s="11">
        <f t="shared" si="29"/>
        <v>1</v>
      </c>
      <c r="G234" s="11" t="str">
        <f t="shared" si="30"/>
        <v>0 01 03.64</v>
      </c>
      <c r="H234" s="12">
        <f t="shared" si="31"/>
        <v>1.0000714739575391</v>
      </c>
      <c r="I234" s="53" t="str">
        <f t="shared" si="32"/>
        <v>-21 58 35.03633</v>
      </c>
      <c r="J234" s="53" t="str">
        <f t="shared" si="33"/>
        <v>117 44 50.04895</v>
      </c>
      <c r="K234" s="54">
        <f t="shared" si="34"/>
        <v>1.0000714739575391</v>
      </c>
      <c r="L234" s="55" t="str">
        <f t="shared" si="35"/>
        <v>0 01 03.64</v>
      </c>
    </row>
    <row r="235" spans="1:12" x14ac:dyDescent="0.25">
      <c r="A235" s="13" t="s">
        <v>858</v>
      </c>
      <c r="B235" s="14" t="s">
        <v>859</v>
      </c>
      <c r="C235" s="14" t="s">
        <v>860</v>
      </c>
      <c r="D235" s="9">
        <f t="shared" si="27"/>
        <v>100176.75894024767</v>
      </c>
      <c r="E235" s="10">
        <f t="shared" si="28"/>
        <v>226053.59606698016</v>
      </c>
      <c r="F235" s="11">
        <f t="shared" si="29"/>
        <v>1</v>
      </c>
      <c r="G235" s="11" t="str">
        <f t="shared" si="30"/>
        <v>0 00 03.53</v>
      </c>
      <c r="H235" s="12">
        <f t="shared" si="31"/>
        <v>1.0000124603851652</v>
      </c>
      <c r="I235" s="53" t="str">
        <f t="shared" si="32"/>
        <v>-31 43 47.64324</v>
      </c>
      <c r="J235" s="53" t="str">
        <f t="shared" si="33"/>
        <v>128 09 56.71447</v>
      </c>
      <c r="K235" s="54">
        <f t="shared" si="34"/>
        <v>1.0000124603851652</v>
      </c>
      <c r="L235" s="55" t="str">
        <f t="shared" si="35"/>
        <v>0 00 03.53</v>
      </c>
    </row>
    <row r="236" spans="1:12" x14ac:dyDescent="0.25">
      <c r="A236" s="13" t="s">
        <v>861</v>
      </c>
      <c r="B236" s="14" t="s">
        <v>862</v>
      </c>
      <c r="C236" s="14" t="s">
        <v>863</v>
      </c>
      <c r="D236" s="9">
        <f t="shared" si="27"/>
        <v>67136.5987000163</v>
      </c>
      <c r="E236" s="10">
        <f t="shared" si="28"/>
        <v>237195.58862595633</v>
      </c>
      <c r="F236" s="11">
        <f t="shared" si="29"/>
        <v>1</v>
      </c>
      <c r="G236" s="11" t="str">
        <f t="shared" si="30"/>
        <v>0 05 48.49</v>
      </c>
      <c r="H236" s="12">
        <f t="shared" si="31"/>
        <v>1.0000314298058377</v>
      </c>
      <c r="I236" s="53" t="str">
        <f t="shared" si="32"/>
        <v>-32 11 16.52057</v>
      </c>
      <c r="J236" s="53" t="str">
        <f t="shared" si="33"/>
        <v>123 24 54.18936</v>
      </c>
      <c r="K236" s="54">
        <f t="shared" si="34"/>
        <v>1.0000314298058377</v>
      </c>
      <c r="L236" s="55" t="str">
        <f t="shared" si="35"/>
        <v>0 05 48.49</v>
      </c>
    </row>
    <row r="237" spans="1:12" x14ac:dyDescent="0.25">
      <c r="A237" s="13" t="s">
        <v>864</v>
      </c>
      <c r="B237" s="14" t="s">
        <v>865</v>
      </c>
      <c r="C237" s="14" t="s">
        <v>866</v>
      </c>
      <c r="D237" s="9">
        <f t="shared" si="27"/>
        <v>55217.198463826877</v>
      </c>
      <c r="E237" s="10">
        <f t="shared" si="28"/>
        <v>220920.16029600636</v>
      </c>
      <c r="F237" s="11">
        <f t="shared" si="29"/>
        <v>1</v>
      </c>
      <c r="G237" s="11" t="str">
        <f t="shared" si="30"/>
        <v>0 00 48.26</v>
      </c>
      <c r="H237" s="12">
        <f t="shared" si="31"/>
        <v>1.0000525464429095</v>
      </c>
      <c r="I237" s="53" t="str">
        <f t="shared" si="32"/>
        <v>-15 58 01.05442</v>
      </c>
      <c r="J237" s="53" t="str">
        <f t="shared" si="33"/>
        <v>127 27 04.43754</v>
      </c>
      <c r="K237" s="54">
        <f t="shared" si="34"/>
        <v>1.0000525464429095</v>
      </c>
      <c r="L237" s="55" t="str">
        <f t="shared" si="35"/>
        <v>0 00 48.26</v>
      </c>
    </row>
    <row r="238" spans="1:12" x14ac:dyDescent="0.25">
      <c r="A238" s="13" t="s">
        <v>867</v>
      </c>
      <c r="B238" s="14" t="s">
        <v>868</v>
      </c>
      <c r="C238" s="14" t="s">
        <v>869</v>
      </c>
      <c r="D238" s="9">
        <f t="shared" si="27"/>
        <v>50616.336892130523</v>
      </c>
      <c r="E238" s="10">
        <f t="shared" si="28"/>
        <v>265368.33489332767</v>
      </c>
      <c r="F238" s="11">
        <f t="shared" si="29"/>
        <v>1</v>
      </c>
      <c r="G238" s="11" t="str">
        <f t="shared" si="30"/>
        <v>0 00 13.30</v>
      </c>
      <c r="H238" s="12">
        <f t="shared" si="31"/>
        <v>1.0000086646809772</v>
      </c>
      <c r="I238" s="53" t="str">
        <f t="shared" si="32"/>
        <v>-33 44 16.76454</v>
      </c>
      <c r="J238" s="53" t="str">
        <f t="shared" si="33"/>
        <v>120 07 23.94361</v>
      </c>
      <c r="K238" s="54">
        <f t="shared" si="34"/>
        <v>1.0000086646809772</v>
      </c>
      <c r="L238" s="55" t="str">
        <f t="shared" si="35"/>
        <v>0 00 13.30</v>
      </c>
    </row>
    <row r="239" spans="1:12" x14ac:dyDescent="0.25">
      <c r="A239" s="13" t="s">
        <v>870</v>
      </c>
      <c r="B239" s="14" t="s">
        <v>871</v>
      </c>
      <c r="C239" s="14" t="s">
        <v>872</v>
      </c>
      <c r="D239" s="9">
        <f t="shared" si="27"/>
        <v>58187.713424968402</v>
      </c>
      <c r="E239" s="10">
        <f t="shared" si="28"/>
        <v>446004.65873512812</v>
      </c>
      <c r="F239" s="11">
        <f t="shared" si="29"/>
        <v>1</v>
      </c>
      <c r="G239" s="11" t="str">
        <f t="shared" si="30"/>
        <v>0 02 45.99</v>
      </c>
      <c r="H239" s="12">
        <f t="shared" si="31"/>
        <v>1.0000355463525685</v>
      </c>
      <c r="I239" s="53" t="str">
        <f t="shared" si="32"/>
        <v>-32 06 30.10979</v>
      </c>
      <c r="J239" s="53" t="str">
        <f t="shared" si="33"/>
        <v>116 19 12.29250</v>
      </c>
      <c r="K239" s="54">
        <f t="shared" si="34"/>
        <v>1.0000355463525683</v>
      </c>
      <c r="L239" s="55" t="str">
        <f t="shared" si="35"/>
        <v>0 02 45.99</v>
      </c>
    </row>
    <row r="240" spans="1:12" x14ac:dyDescent="0.25">
      <c r="A240" s="13" t="s">
        <v>873</v>
      </c>
      <c r="B240" s="14" t="s">
        <v>874</v>
      </c>
      <c r="C240" s="14" t="s">
        <v>875</v>
      </c>
      <c r="D240" s="9">
        <f t="shared" si="27"/>
        <v>52565.573652715662</v>
      </c>
      <c r="E240" s="10">
        <f t="shared" si="28"/>
        <v>305458.26911653019</v>
      </c>
      <c r="F240" s="11">
        <f t="shared" si="29"/>
        <v>1</v>
      </c>
      <c r="G240" s="11" t="str">
        <f t="shared" si="30"/>
        <v>0 00 52.75</v>
      </c>
      <c r="H240" s="12">
        <f t="shared" si="31"/>
        <v>1.0000454211280196</v>
      </c>
      <c r="I240" s="53" t="str">
        <f t="shared" si="32"/>
        <v>-32 28 25.22096</v>
      </c>
      <c r="J240" s="53" t="str">
        <f t="shared" si="33"/>
        <v>119 01 38.24724</v>
      </c>
      <c r="K240" s="54">
        <f t="shared" si="34"/>
        <v>1.0000454211280196</v>
      </c>
      <c r="L240" s="55" t="str">
        <f t="shared" si="35"/>
        <v>0 00 52.75</v>
      </c>
    </row>
    <row r="241" spans="1:12" x14ac:dyDescent="0.25">
      <c r="A241" s="13" t="s">
        <v>876</v>
      </c>
      <c r="B241" s="14" t="s">
        <v>877</v>
      </c>
      <c r="C241" s="14" t="s">
        <v>878</v>
      </c>
      <c r="D241" s="9">
        <f t="shared" si="27"/>
        <v>54523.077351983236</v>
      </c>
      <c r="E241" s="10">
        <f t="shared" si="28"/>
        <v>222266.14971648226</v>
      </c>
      <c r="F241" s="11">
        <f t="shared" si="29"/>
        <v>1</v>
      </c>
      <c r="G241" s="11" t="str">
        <f t="shared" si="30"/>
        <v>0 00 44.89</v>
      </c>
      <c r="H241" s="12">
        <f t="shared" si="31"/>
        <v>1.0000643128358839</v>
      </c>
      <c r="I241" s="53" t="str">
        <f t="shared" si="32"/>
        <v>-17 03 57.63528</v>
      </c>
      <c r="J241" s="53" t="str">
        <f t="shared" si="33"/>
        <v>125 28 01.95694</v>
      </c>
      <c r="K241" s="54">
        <f t="shared" si="34"/>
        <v>1.0000643128358839</v>
      </c>
      <c r="L241" s="55" t="str">
        <f t="shared" si="35"/>
        <v>0 00 44.89</v>
      </c>
    </row>
    <row r="242" spans="1:12" x14ac:dyDescent="0.25">
      <c r="A242" s="13" t="s">
        <v>879</v>
      </c>
      <c r="B242" s="14" t="s">
        <v>880</v>
      </c>
      <c r="C242" s="14" t="s">
        <v>881</v>
      </c>
      <c r="D242" s="9">
        <f t="shared" si="27"/>
        <v>50030.129363816442</v>
      </c>
      <c r="E242" s="10">
        <f t="shared" si="28"/>
        <v>260038.98683331674</v>
      </c>
      <c r="F242" s="11">
        <f t="shared" si="29"/>
        <v>1</v>
      </c>
      <c r="G242" s="11" t="str">
        <f t="shared" si="30"/>
        <v>0 00 00.66</v>
      </c>
      <c r="H242" s="12">
        <f t="shared" si="31"/>
        <v>1.000034720011185</v>
      </c>
      <c r="I242" s="53" t="str">
        <f t="shared" si="32"/>
        <v>-34 03 20.20446</v>
      </c>
      <c r="J242" s="53" t="str">
        <f t="shared" si="33"/>
        <v>118 54 01.17479</v>
      </c>
      <c r="K242" s="54">
        <f t="shared" si="34"/>
        <v>1.000034720011185</v>
      </c>
      <c r="L242" s="55" t="str">
        <f t="shared" si="35"/>
        <v>0 00 00.66</v>
      </c>
    </row>
    <row r="243" spans="1:12" x14ac:dyDescent="0.25">
      <c r="A243" s="13" t="s">
        <v>882</v>
      </c>
      <c r="B243" s="14" t="s">
        <v>883</v>
      </c>
      <c r="C243" s="14" t="s">
        <v>884</v>
      </c>
      <c r="D243" s="9">
        <f t="shared" si="27"/>
        <v>50150.89975192702</v>
      </c>
      <c r="E243" s="10">
        <f t="shared" si="28"/>
        <v>255516.25607798668</v>
      </c>
      <c r="F243" s="11">
        <f t="shared" si="29"/>
        <v>1</v>
      </c>
      <c r="G243" s="11" t="str">
        <f t="shared" si="30"/>
        <v>0 00 03.05</v>
      </c>
      <c r="H243" s="12">
        <f t="shared" si="31"/>
        <v>1.0000130002806946</v>
      </c>
      <c r="I243" s="53" t="str">
        <f t="shared" si="32"/>
        <v>-32 01 23.93076</v>
      </c>
      <c r="J243" s="53" t="str">
        <f t="shared" si="33"/>
        <v>125 43 05.75036</v>
      </c>
      <c r="K243" s="54">
        <f t="shared" si="34"/>
        <v>1.0000130002806946</v>
      </c>
      <c r="L243" s="55" t="str">
        <f t="shared" si="35"/>
        <v>0 00 03.05</v>
      </c>
    </row>
    <row r="244" spans="1:12" x14ac:dyDescent="0.25">
      <c r="A244" s="13" t="s">
        <v>885</v>
      </c>
      <c r="B244" s="14" t="s">
        <v>886</v>
      </c>
      <c r="C244" s="14" t="s">
        <v>887</v>
      </c>
      <c r="D244" s="9">
        <f t="shared" si="27"/>
        <v>58095.362498269817</v>
      </c>
      <c r="E244" s="10">
        <f t="shared" si="28"/>
        <v>215358.06954900641</v>
      </c>
      <c r="F244" s="11">
        <f t="shared" si="29"/>
        <v>1</v>
      </c>
      <c r="G244" s="11" t="str">
        <f t="shared" si="30"/>
        <v>0 01 50.57</v>
      </c>
      <c r="H244" s="12">
        <f t="shared" si="31"/>
        <v>1.0000718292071251</v>
      </c>
      <c r="I244" s="53" t="str">
        <f t="shared" si="32"/>
        <v>-22 54 32.39453</v>
      </c>
      <c r="J244" s="53" t="str">
        <f t="shared" si="33"/>
        <v>117 33 44.05212</v>
      </c>
      <c r="K244" s="54">
        <f t="shared" si="34"/>
        <v>1.0000718292071253</v>
      </c>
      <c r="L244" s="55" t="str">
        <f t="shared" si="35"/>
        <v>0 01 50.57</v>
      </c>
    </row>
    <row r="245" spans="1:12" x14ac:dyDescent="0.25">
      <c r="A245" s="13" t="s">
        <v>888</v>
      </c>
      <c r="B245" s="14" t="s">
        <v>889</v>
      </c>
      <c r="C245" s="14" t="s">
        <v>890</v>
      </c>
      <c r="D245" s="9">
        <f t="shared" si="27"/>
        <v>53506.220031633384</v>
      </c>
      <c r="E245" s="10">
        <f t="shared" si="28"/>
        <v>266669.52593046194</v>
      </c>
      <c r="F245" s="11">
        <f t="shared" si="29"/>
        <v>1</v>
      </c>
      <c r="G245" s="11" t="str">
        <f t="shared" si="30"/>
        <v>0 00 58.76</v>
      </c>
      <c r="H245" s="12">
        <f t="shared" si="31"/>
        <v>1.0000201016826098</v>
      </c>
      <c r="I245" s="53" t="str">
        <f t="shared" si="32"/>
        <v>-27 24 42.77038</v>
      </c>
      <c r="J245" s="53" t="str">
        <f t="shared" si="33"/>
        <v>114 21 07.63726</v>
      </c>
      <c r="K245" s="54">
        <f t="shared" si="34"/>
        <v>1.0000201016826098</v>
      </c>
      <c r="L245" s="55" t="str">
        <f t="shared" si="35"/>
        <v>0 00 58.76</v>
      </c>
    </row>
    <row r="246" spans="1:12" x14ac:dyDescent="0.25">
      <c r="A246" s="13" t="s">
        <v>891</v>
      </c>
      <c r="B246" s="14" t="s">
        <v>892</v>
      </c>
      <c r="C246" s="14" t="s">
        <v>893</v>
      </c>
      <c r="D246" s="9">
        <f t="shared" si="27"/>
        <v>58708.914687270648</v>
      </c>
      <c r="E246" s="10">
        <f t="shared" si="28"/>
        <v>237061.20071817841</v>
      </c>
      <c r="F246" s="11">
        <f t="shared" si="29"/>
        <v>1</v>
      </c>
      <c r="G246" s="11" t="str">
        <f t="shared" si="30"/>
        <v>0 02 29.64</v>
      </c>
      <c r="H246" s="12">
        <f t="shared" si="31"/>
        <v>1.0000851556389501</v>
      </c>
      <c r="I246" s="53" t="str">
        <f t="shared" si="32"/>
        <v>-28 00 07.56655</v>
      </c>
      <c r="J246" s="53" t="str">
        <f t="shared" si="33"/>
        <v>119 40 44.72162</v>
      </c>
      <c r="K246" s="54">
        <f t="shared" si="34"/>
        <v>1.0000851556389503</v>
      </c>
      <c r="L246" s="55" t="str">
        <f t="shared" si="35"/>
        <v>0 02 29.64</v>
      </c>
    </row>
    <row r="247" spans="1:12" x14ac:dyDescent="0.25">
      <c r="A247" s="13" t="s">
        <v>894</v>
      </c>
      <c r="B247" s="14" t="s">
        <v>895</v>
      </c>
      <c r="C247" s="14" t="s">
        <v>896</v>
      </c>
      <c r="D247" s="9">
        <f t="shared" si="27"/>
        <v>51338.226225617735</v>
      </c>
      <c r="E247" s="10">
        <f t="shared" si="28"/>
        <v>180582.90811515925</v>
      </c>
      <c r="F247" s="11">
        <f t="shared" si="29"/>
        <v>1</v>
      </c>
      <c r="G247" s="11" t="str">
        <f t="shared" si="30"/>
        <v>0 00 18.03</v>
      </c>
      <c r="H247" s="12">
        <f t="shared" si="31"/>
        <v>1.0001130421130033</v>
      </c>
      <c r="I247" s="53" t="str">
        <f t="shared" si="32"/>
        <v>-22 38 06.55505</v>
      </c>
      <c r="J247" s="53" t="str">
        <f t="shared" si="33"/>
        <v>118 21 46.86048</v>
      </c>
      <c r="K247" s="54">
        <f t="shared" si="34"/>
        <v>1.0001130421130031</v>
      </c>
      <c r="L247" s="55" t="str">
        <f t="shared" si="35"/>
        <v>0 00 18.03</v>
      </c>
    </row>
    <row r="248" spans="1:12" x14ac:dyDescent="0.25">
      <c r="A248" s="13" t="s">
        <v>897</v>
      </c>
      <c r="B248" s="14" t="s">
        <v>898</v>
      </c>
      <c r="C248" s="14" t="s">
        <v>899</v>
      </c>
      <c r="D248" s="9">
        <f t="shared" si="27"/>
        <v>54471.32065838838</v>
      </c>
      <c r="E248" s="10">
        <f t="shared" si="28"/>
        <v>233128.7520818105</v>
      </c>
      <c r="F248" s="11">
        <f t="shared" si="29"/>
        <v>1</v>
      </c>
      <c r="G248" s="11" t="str">
        <f t="shared" si="30"/>
        <v>0 01 28.22</v>
      </c>
      <c r="H248" s="12">
        <f t="shared" si="31"/>
        <v>1.0000417264745507</v>
      </c>
      <c r="I248" s="53" t="str">
        <f t="shared" si="32"/>
        <v>-31 24 45.54007</v>
      </c>
      <c r="J248" s="53" t="str">
        <f t="shared" si="33"/>
        <v>117 41 49.27117</v>
      </c>
      <c r="K248" s="54">
        <f t="shared" si="34"/>
        <v>1.0000417264745507</v>
      </c>
      <c r="L248" s="55" t="str">
        <f t="shared" si="35"/>
        <v>0 01 28.22</v>
      </c>
    </row>
    <row r="249" spans="1:12" x14ac:dyDescent="0.25">
      <c r="A249" s="13" t="s">
        <v>900</v>
      </c>
      <c r="B249" s="14" t="s">
        <v>901</v>
      </c>
      <c r="C249" s="14" t="s">
        <v>902</v>
      </c>
      <c r="D249" s="9">
        <f t="shared" si="27"/>
        <v>52989.401448562581</v>
      </c>
      <c r="E249" s="10">
        <f t="shared" si="28"/>
        <v>167738.58137250319</v>
      </c>
      <c r="F249" s="11">
        <f t="shared" si="29"/>
        <v>1</v>
      </c>
      <c r="G249" s="11" t="str">
        <f t="shared" si="30"/>
        <v>0 00 48.35</v>
      </c>
      <c r="H249" s="12">
        <f t="shared" si="31"/>
        <v>1.0000915902713265</v>
      </c>
      <c r="I249" s="53" t="str">
        <f t="shared" si="32"/>
        <v>-26 35 17.16911</v>
      </c>
      <c r="J249" s="53" t="str">
        <f t="shared" si="33"/>
        <v>119 01 59.81563</v>
      </c>
      <c r="K249" s="54">
        <f t="shared" si="34"/>
        <v>1.0000915902713265</v>
      </c>
      <c r="L249" s="55" t="str">
        <f t="shared" si="35"/>
        <v>0 00 48.35</v>
      </c>
    </row>
    <row r="250" spans="1:12" x14ac:dyDescent="0.25">
      <c r="A250" s="13" t="s">
        <v>903</v>
      </c>
      <c r="B250" s="14" t="s">
        <v>904</v>
      </c>
      <c r="C250" s="14" t="s">
        <v>905</v>
      </c>
      <c r="D250" s="9">
        <f t="shared" si="27"/>
        <v>50914.880693502164</v>
      </c>
      <c r="E250" s="10">
        <f t="shared" si="28"/>
        <v>255366.18305544322</v>
      </c>
      <c r="F250" s="11">
        <f t="shared" si="29"/>
        <v>1</v>
      </c>
      <c r="G250" s="11" t="str">
        <f t="shared" si="30"/>
        <v>0 00 19.81</v>
      </c>
      <c r="H250" s="12">
        <f t="shared" si="31"/>
        <v>1.0000381903135436</v>
      </c>
      <c r="I250" s="53" t="str">
        <f t="shared" si="32"/>
        <v>-33 49 37.80592</v>
      </c>
      <c r="J250" s="53" t="str">
        <f t="shared" si="33"/>
        <v>117 03 35.57732</v>
      </c>
      <c r="K250" s="54">
        <f t="shared" si="34"/>
        <v>1.0000381903135436</v>
      </c>
      <c r="L250" s="55" t="str">
        <f t="shared" si="35"/>
        <v>0 00 19.81</v>
      </c>
    </row>
    <row r="251" spans="1:12" x14ac:dyDescent="0.25">
      <c r="A251" s="13" t="s">
        <v>906</v>
      </c>
      <c r="B251" s="14" t="s">
        <v>907</v>
      </c>
      <c r="C251" s="14" t="s">
        <v>908</v>
      </c>
      <c r="D251" s="9">
        <f t="shared" si="27"/>
        <v>51364.569003356228</v>
      </c>
      <c r="E251" s="10">
        <f t="shared" si="28"/>
        <v>259504.74936471414</v>
      </c>
      <c r="F251" s="11">
        <f t="shared" si="29"/>
        <v>1</v>
      </c>
      <c r="G251" s="11" t="str">
        <f t="shared" si="30"/>
        <v>0 00 27.92</v>
      </c>
      <c r="H251" s="12">
        <f t="shared" si="31"/>
        <v>1.0000430729512078</v>
      </c>
      <c r="I251" s="53" t="str">
        <f t="shared" si="32"/>
        <v>-32 20 49.51853</v>
      </c>
      <c r="J251" s="53" t="str">
        <f t="shared" si="33"/>
        <v>118 12 52.18265</v>
      </c>
      <c r="K251" s="54">
        <f t="shared" si="34"/>
        <v>1.0000430729512075</v>
      </c>
      <c r="L251" s="55" t="str">
        <f t="shared" si="35"/>
        <v>0 00 27.92</v>
      </c>
    </row>
    <row r="252" spans="1:12" x14ac:dyDescent="0.25">
      <c r="A252" s="13" t="s">
        <v>909</v>
      </c>
      <c r="B252" s="14" t="s">
        <v>910</v>
      </c>
      <c r="C252" s="14" t="s">
        <v>911</v>
      </c>
      <c r="D252" s="9">
        <f t="shared" si="27"/>
        <v>52951.145064419819</v>
      </c>
      <c r="E252" s="10">
        <f t="shared" si="28"/>
        <v>704127.68279228499</v>
      </c>
      <c r="F252" s="11">
        <f t="shared" si="29"/>
        <v>1</v>
      </c>
      <c r="G252" s="11" t="str">
        <f t="shared" si="30"/>
        <v>0 00 54.57</v>
      </c>
      <c r="H252" s="12">
        <f t="shared" si="31"/>
        <v>1.0000501974046914</v>
      </c>
      <c r="I252" s="53" t="str">
        <f t="shared" si="32"/>
        <v>-29 46 47.36921</v>
      </c>
      <c r="J252" s="53" t="str">
        <f t="shared" si="33"/>
        <v>117 25 49.86296</v>
      </c>
      <c r="K252" s="54">
        <f t="shared" si="34"/>
        <v>1.0000501974046914</v>
      </c>
      <c r="L252" s="55" t="str">
        <f t="shared" si="35"/>
        <v>0 00 54.57</v>
      </c>
    </row>
    <row r="253" spans="1:12" x14ac:dyDescent="0.25">
      <c r="A253" s="13" t="s">
        <v>912</v>
      </c>
      <c r="B253" s="14" t="s">
        <v>913</v>
      </c>
      <c r="C253" s="14" t="s">
        <v>914</v>
      </c>
      <c r="D253" s="9">
        <f t="shared" si="27"/>
        <v>102857.52198564423</v>
      </c>
      <c r="E253" s="10">
        <f t="shared" si="28"/>
        <v>217737.1561479778</v>
      </c>
      <c r="F253" s="11">
        <f t="shared" si="29"/>
        <v>1</v>
      </c>
      <c r="G253" s="11" t="str">
        <f t="shared" si="30"/>
        <v>0 00 42.76</v>
      </c>
      <c r="H253" s="12">
        <f t="shared" si="31"/>
        <v>1.0000882807889881</v>
      </c>
      <c r="I253" s="53" t="str">
        <f t="shared" si="32"/>
        <v>-24 50 46.40658</v>
      </c>
      <c r="J253" s="53" t="str">
        <f t="shared" si="33"/>
        <v>119 30 31.76734</v>
      </c>
      <c r="K253" s="54">
        <f t="shared" si="34"/>
        <v>1.0000882807889881</v>
      </c>
      <c r="L253" s="55" t="str">
        <f t="shared" si="35"/>
        <v>0 00 42.76</v>
      </c>
    </row>
    <row r="254" spans="1:12" x14ac:dyDescent="0.25">
      <c r="A254" s="13" t="s">
        <v>915</v>
      </c>
      <c r="B254" s="14" t="s">
        <v>916</v>
      </c>
      <c r="C254" s="14" t="s">
        <v>917</v>
      </c>
      <c r="D254" s="9">
        <f t="shared" si="27"/>
        <v>51392.374491409028</v>
      </c>
      <c r="E254" s="10">
        <f t="shared" si="28"/>
        <v>232310.38629334234</v>
      </c>
      <c r="F254" s="11">
        <f t="shared" si="29"/>
        <v>1</v>
      </c>
      <c r="G254" s="11" t="str">
        <f t="shared" si="30"/>
        <v>0 00 29.56</v>
      </c>
      <c r="H254" s="12">
        <f t="shared" si="31"/>
        <v>1.0000427638911604</v>
      </c>
      <c r="I254" s="53" t="str">
        <f t="shared" si="32"/>
        <v>-33 18 49.06879</v>
      </c>
      <c r="J254" s="53" t="str">
        <f t="shared" si="33"/>
        <v>118 17 53.82593</v>
      </c>
      <c r="K254" s="54">
        <f t="shared" si="34"/>
        <v>1.0000427638911604</v>
      </c>
      <c r="L254" s="55" t="str">
        <f t="shared" si="35"/>
        <v>0 00 29.56</v>
      </c>
    </row>
    <row r="255" spans="1:12" x14ac:dyDescent="0.25">
      <c r="A255" s="13" t="s">
        <v>918</v>
      </c>
      <c r="B255" s="14" t="s">
        <v>919</v>
      </c>
      <c r="C255" s="14" t="s">
        <v>920</v>
      </c>
      <c r="D255" s="9">
        <f t="shared" si="27"/>
        <v>51673.88784333285</v>
      </c>
      <c r="E255" s="10">
        <f t="shared" si="28"/>
        <v>229223.38897290407</v>
      </c>
      <c r="F255" s="11">
        <f t="shared" si="29"/>
        <v>1</v>
      </c>
      <c r="G255" s="11" t="str">
        <f t="shared" si="30"/>
        <v>0 00 35.09</v>
      </c>
      <c r="H255" s="12">
        <f t="shared" si="31"/>
        <v>1.0000460445308619</v>
      </c>
      <c r="I255" s="53" t="str">
        <f t="shared" si="32"/>
        <v>-32 58 50.54966</v>
      </c>
      <c r="J255" s="53" t="str">
        <f t="shared" si="33"/>
        <v>119 42 28.26443</v>
      </c>
      <c r="K255" s="54">
        <f t="shared" si="34"/>
        <v>1.0000460445308619</v>
      </c>
      <c r="L255" s="55" t="str">
        <f t="shared" si="35"/>
        <v>0 00 35.09</v>
      </c>
    </row>
    <row r="256" spans="1:12" x14ac:dyDescent="0.25">
      <c r="A256" s="13" t="s">
        <v>921</v>
      </c>
      <c r="B256" s="14" t="s">
        <v>922</v>
      </c>
      <c r="C256" s="14" t="s">
        <v>923</v>
      </c>
      <c r="D256" s="9">
        <f t="shared" si="27"/>
        <v>51425.069146815906</v>
      </c>
      <c r="E256" s="10">
        <f t="shared" si="28"/>
        <v>229480.99207955622</v>
      </c>
      <c r="F256" s="11">
        <f t="shared" si="29"/>
        <v>1</v>
      </c>
      <c r="G256" s="11" t="str">
        <f t="shared" si="30"/>
        <v>0 00 15.49</v>
      </c>
      <c r="H256" s="12">
        <f t="shared" si="31"/>
        <v>1.0000583350931582</v>
      </c>
      <c r="I256" s="53" t="str">
        <f t="shared" si="32"/>
        <v>-18 34 55.17505</v>
      </c>
      <c r="J256" s="53" t="str">
        <f t="shared" si="33"/>
        <v>127 16 00.60110</v>
      </c>
      <c r="K256" s="54">
        <f t="shared" si="34"/>
        <v>1.0000583350931582</v>
      </c>
      <c r="L256" s="55" t="str">
        <f t="shared" si="35"/>
        <v>0 00 15.49</v>
      </c>
    </row>
    <row r="257" spans="1:12" x14ac:dyDescent="0.25">
      <c r="A257" s="13" t="s">
        <v>924</v>
      </c>
      <c r="B257" s="14" t="s">
        <v>925</v>
      </c>
      <c r="C257" s="14" t="s">
        <v>926</v>
      </c>
      <c r="D257" s="9">
        <f t="shared" si="27"/>
        <v>53702.765812236001</v>
      </c>
      <c r="E257" s="10">
        <f t="shared" si="28"/>
        <v>126872.63436875446</v>
      </c>
      <c r="F257" s="11">
        <f t="shared" si="29"/>
        <v>1</v>
      </c>
      <c r="G257" s="11" t="str">
        <f t="shared" si="30"/>
        <v>0 01 05.92</v>
      </c>
      <c r="H257" s="12">
        <f t="shared" si="31"/>
        <v>1.0000650491097662</v>
      </c>
      <c r="I257" s="53" t="str">
        <f t="shared" si="32"/>
        <v>-28 51 08.94769</v>
      </c>
      <c r="J257" s="53" t="str">
        <f t="shared" si="33"/>
        <v>122 08 16.60085</v>
      </c>
      <c r="K257" s="54">
        <f t="shared" si="34"/>
        <v>1.0000650491097662</v>
      </c>
      <c r="L257" s="55" t="str">
        <f t="shared" si="35"/>
        <v>0 01 05.92</v>
      </c>
    </row>
    <row r="258" spans="1:12" x14ac:dyDescent="0.25">
      <c r="A258" s="13" t="s">
        <v>927</v>
      </c>
      <c r="B258" s="14" t="s">
        <v>928</v>
      </c>
      <c r="C258" s="14" t="s">
        <v>929</v>
      </c>
      <c r="D258" s="9">
        <f t="shared" si="27"/>
        <v>52854.746611518589</v>
      </c>
      <c r="E258" s="10">
        <f t="shared" si="28"/>
        <v>218839.43327519996</v>
      </c>
      <c r="F258" s="11">
        <f t="shared" si="29"/>
        <v>1</v>
      </c>
      <c r="G258" s="11" t="str">
        <f t="shared" si="30"/>
        <v>0 00 48.72</v>
      </c>
      <c r="H258" s="12">
        <f t="shared" si="31"/>
        <v>1.0000778805383062</v>
      </c>
      <c r="I258" s="53" t="str">
        <f t="shared" si="32"/>
        <v>-27 50 30.81408</v>
      </c>
      <c r="J258" s="53" t="str">
        <f t="shared" si="33"/>
        <v>120 40 18.60244</v>
      </c>
      <c r="K258" s="54">
        <f t="shared" si="34"/>
        <v>1.0000778805383062</v>
      </c>
      <c r="L258" s="55" t="str">
        <f t="shared" si="35"/>
        <v>0 00 48.72</v>
      </c>
    </row>
    <row r="259" spans="1:12" x14ac:dyDescent="0.25">
      <c r="A259" s="13" t="s">
        <v>930</v>
      </c>
      <c r="B259" s="14" t="s">
        <v>931</v>
      </c>
      <c r="C259" s="14" t="s">
        <v>932</v>
      </c>
      <c r="D259" s="9">
        <f t="shared" ref="D259:D322" si="36">grideasting(B259,C259,A259)</f>
        <v>51643.01688974072</v>
      </c>
      <c r="E259" s="10">
        <f t="shared" ref="E259:E322" si="37">gridnorthing(B259,C259,A259)</f>
        <v>313925.07034040801</v>
      </c>
      <c r="F259" s="11">
        <f t="shared" ref="F259:F322" si="38">gridzone(B259,C259,A259)</f>
        <v>1</v>
      </c>
      <c r="G259" s="11" t="str">
        <f t="shared" ref="G259:G322" si="39">GridGridCon(B259,C259,A259)</f>
        <v>0 00 19.08</v>
      </c>
      <c r="H259" s="12">
        <f t="shared" ref="H259:H322" si="40">GridPntScleFact(B259,C259,A259)</f>
        <v>1.0000666533495217</v>
      </c>
      <c r="I259" s="53" t="str">
        <f t="shared" ref="I259:I322" si="41">datumlat(D259,E259,F259,A259)</f>
        <v>-19 45 40.28105</v>
      </c>
      <c r="J259" s="53" t="str">
        <f t="shared" ref="J259:J322" si="42">datumlong(D259,E259,F259,A259)</f>
        <v>128 48 56.43360</v>
      </c>
      <c r="K259" s="54">
        <f t="shared" ref="K259:K322" si="43">DatumPntScle(D259,E259,F259,A259)</f>
        <v>1.0000666533495217</v>
      </c>
      <c r="L259" s="55" t="str">
        <f t="shared" ref="L259:L322" si="44">DatumGridConv(D259,E259,F259,A259)</f>
        <v>0 00 19.08</v>
      </c>
    </row>
    <row r="260" spans="1:12" x14ac:dyDescent="0.25">
      <c r="A260" s="13" t="s">
        <v>933</v>
      </c>
      <c r="B260" s="14" t="s">
        <v>934</v>
      </c>
      <c r="C260" s="14" t="s">
        <v>935</v>
      </c>
      <c r="D260" s="9">
        <f t="shared" si="36"/>
        <v>54562.674778882116</v>
      </c>
      <c r="E260" s="10">
        <f t="shared" si="37"/>
        <v>245200.00404518587</v>
      </c>
      <c r="F260" s="11">
        <f t="shared" si="38"/>
        <v>1</v>
      </c>
      <c r="G260" s="11" t="str">
        <f t="shared" si="39"/>
        <v>0 00 47.00</v>
      </c>
      <c r="H260" s="12">
        <f t="shared" si="40"/>
        <v>1.0000082572757993</v>
      </c>
      <c r="I260" s="53" t="str">
        <f t="shared" si="41"/>
        <v>-17 40 22.59779</v>
      </c>
      <c r="J260" s="53" t="str">
        <f t="shared" si="42"/>
        <v>123 03 34.81366</v>
      </c>
      <c r="K260" s="54">
        <f t="shared" si="43"/>
        <v>1.0000082572757993</v>
      </c>
      <c r="L260" s="55" t="str">
        <f t="shared" si="44"/>
        <v>0 00 47.00</v>
      </c>
    </row>
    <row r="261" spans="1:12" x14ac:dyDescent="0.25">
      <c r="A261" s="13" t="s">
        <v>936</v>
      </c>
      <c r="B261" s="14" t="s">
        <v>937</v>
      </c>
      <c r="C261" s="14" t="s">
        <v>938</v>
      </c>
      <c r="D261" s="9">
        <f t="shared" si="36"/>
        <v>50224.209355276384</v>
      </c>
      <c r="E261" s="10">
        <f t="shared" si="37"/>
        <v>225564.05234540743</v>
      </c>
      <c r="F261" s="11">
        <f t="shared" si="38"/>
        <v>1</v>
      </c>
      <c r="G261" s="11" t="str">
        <f t="shared" si="39"/>
        <v>0 00 02.47</v>
      </c>
      <c r="H261" s="12">
        <f t="shared" si="40"/>
        <v>1.0000453306211288</v>
      </c>
      <c r="I261" s="53" t="str">
        <f t="shared" si="41"/>
        <v>-18 49 31.44288</v>
      </c>
      <c r="J261" s="53" t="str">
        <f t="shared" si="42"/>
        <v>126 41 40.65756</v>
      </c>
      <c r="K261" s="54">
        <f t="shared" si="43"/>
        <v>1.0000453306211288</v>
      </c>
      <c r="L261" s="55" t="str">
        <f t="shared" si="44"/>
        <v>0 00 02.47</v>
      </c>
    </row>
    <row r="262" spans="1:12" x14ac:dyDescent="0.25">
      <c r="A262" s="13" t="s">
        <v>939</v>
      </c>
      <c r="B262" s="14" t="s">
        <v>940</v>
      </c>
      <c r="C262" s="14" t="s">
        <v>941</v>
      </c>
      <c r="D262" s="9">
        <f t="shared" si="36"/>
        <v>55135.474117574755</v>
      </c>
      <c r="E262" s="10">
        <f t="shared" si="37"/>
        <v>269800.65902859019</v>
      </c>
      <c r="F262" s="11">
        <f t="shared" si="38"/>
        <v>1</v>
      </c>
      <c r="G262" s="11" t="str">
        <f t="shared" si="39"/>
        <v>0 01 43.26</v>
      </c>
      <c r="H262" s="12">
        <f t="shared" si="40"/>
        <v>1.0000012951137494</v>
      </c>
      <c r="I262" s="53" t="str">
        <f t="shared" si="41"/>
        <v>-31 53 41.52001</v>
      </c>
      <c r="J262" s="53" t="str">
        <f t="shared" si="42"/>
        <v>127 05 15.42844</v>
      </c>
      <c r="K262" s="54">
        <f t="shared" si="43"/>
        <v>1.0000012951137494</v>
      </c>
      <c r="L262" s="55" t="str">
        <f t="shared" si="44"/>
        <v>0 01 43.26</v>
      </c>
    </row>
    <row r="263" spans="1:12" x14ac:dyDescent="0.25">
      <c r="A263" s="13" t="s">
        <v>942</v>
      </c>
      <c r="B263" s="14" t="s">
        <v>943</v>
      </c>
      <c r="C263" s="14" t="s">
        <v>944</v>
      </c>
      <c r="D263" s="9">
        <f t="shared" si="36"/>
        <v>49710.703587967422</v>
      </c>
      <c r="E263" s="10">
        <f t="shared" si="37"/>
        <v>236033.47134265676</v>
      </c>
      <c r="F263" s="11">
        <f t="shared" si="38"/>
        <v>1</v>
      </c>
      <c r="G263" s="11" t="str">
        <f t="shared" si="39"/>
        <v>0 00 05.84</v>
      </c>
      <c r="H263" s="12">
        <f t="shared" si="40"/>
        <v>1.0000496510316397</v>
      </c>
      <c r="I263" s="53" t="str">
        <f t="shared" si="41"/>
        <v>-32 01 02.92271</v>
      </c>
      <c r="J263" s="53" t="str">
        <f t="shared" si="42"/>
        <v>122 47 48.97684</v>
      </c>
      <c r="K263" s="54">
        <f t="shared" si="43"/>
        <v>1.0000496510316397</v>
      </c>
      <c r="L263" s="55" t="str">
        <f t="shared" si="44"/>
        <v>0 00 05.84</v>
      </c>
    </row>
    <row r="264" spans="1:12" x14ac:dyDescent="0.25">
      <c r="A264" s="13" t="s">
        <v>945</v>
      </c>
      <c r="B264" s="14" t="s">
        <v>946</v>
      </c>
      <c r="C264" s="14" t="s">
        <v>947</v>
      </c>
      <c r="D264" s="9">
        <f t="shared" si="36"/>
        <v>50135.658971762095</v>
      </c>
      <c r="E264" s="10">
        <f t="shared" si="37"/>
        <v>293689.87728780415</v>
      </c>
      <c r="F264" s="11">
        <f t="shared" si="38"/>
        <v>1</v>
      </c>
      <c r="G264" s="11" t="str">
        <f t="shared" si="39"/>
        <v>0 00 01.67</v>
      </c>
      <c r="H264" s="12">
        <f t="shared" si="40"/>
        <v>1.000023880227326</v>
      </c>
      <c r="I264" s="53" t="str">
        <f t="shared" si="41"/>
        <v>-20 50 53.02820</v>
      </c>
      <c r="J264" s="53" t="str">
        <f t="shared" si="42"/>
        <v>119 51 04.69238</v>
      </c>
      <c r="K264" s="54">
        <f t="shared" si="43"/>
        <v>1.000023880227326</v>
      </c>
      <c r="L264" s="55" t="str">
        <f t="shared" si="44"/>
        <v>0 00 01.67</v>
      </c>
    </row>
    <row r="265" spans="1:12" x14ac:dyDescent="0.25">
      <c r="A265" s="13" t="s">
        <v>948</v>
      </c>
      <c r="B265" s="14" t="s">
        <v>949</v>
      </c>
      <c r="C265" s="14" t="s">
        <v>950</v>
      </c>
      <c r="D265" s="9">
        <f t="shared" si="36"/>
        <v>52057.089861129178</v>
      </c>
      <c r="E265" s="10">
        <f t="shared" si="37"/>
        <v>208247.74177199835</v>
      </c>
      <c r="F265" s="11">
        <f t="shared" si="38"/>
        <v>1</v>
      </c>
      <c r="G265" s="11" t="str">
        <f t="shared" si="39"/>
        <v>0 00 40.23</v>
      </c>
      <c r="H265" s="12">
        <f t="shared" si="40"/>
        <v>1.0000624321697065</v>
      </c>
      <c r="I265" s="53" t="str">
        <f t="shared" si="41"/>
        <v>-31 11 07.66511</v>
      </c>
      <c r="J265" s="53" t="str">
        <f t="shared" si="42"/>
        <v>119 37 17.68721</v>
      </c>
      <c r="K265" s="54">
        <f t="shared" si="43"/>
        <v>1.0000624321697065</v>
      </c>
      <c r="L265" s="55" t="str">
        <f t="shared" si="44"/>
        <v>0 00 40.23</v>
      </c>
    </row>
    <row r="266" spans="1:12" x14ac:dyDescent="0.25">
      <c r="A266" s="13" t="s">
        <v>951</v>
      </c>
      <c r="B266" s="14" t="s">
        <v>952</v>
      </c>
      <c r="C266" s="14" t="s">
        <v>953</v>
      </c>
      <c r="D266" s="9">
        <f t="shared" si="36"/>
        <v>52213.872897051719</v>
      </c>
      <c r="E266" s="10">
        <f t="shared" si="37"/>
        <v>240641.57031306485</v>
      </c>
      <c r="F266" s="11">
        <f t="shared" si="38"/>
        <v>1</v>
      </c>
      <c r="G266" s="11" t="str">
        <f t="shared" si="39"/>
        <v>0 00 22.61</v>
      </c>
      <c r="H266" s="12">
        <f t="shared" si="40"/>
        <v>1.0000200205714886</v>
      </c>
      <c r="I266" s="53" t="str">
        <f t="shared" si="41"/>
        <v>-17 31 59.58624</v>
      </c>
      <c r="J266" s="53" t="str">
        <f t="shared" si="42"/>
        <v>124 06 15.05909</v>
      </c>
      <c r="K266" s="54">
        <f t="shared" si="43"/>
        <v>1.0000200205714886</v>
      </c>
      <c r="L266" s="55" t="str">
        <f t="shared" si="44"/>
        <v>0 00 22.61</v>
      </c>
    </row>
    <row r="267" spans="1:12" x14ac:dyDescent="0.25">
      <c r="A267" s="13" t="s">
        <v>954</v>
      </c>
      <c r="B267" s="14" t="s">
        <v>955</v>
      </c>
      <c r="C267" s="14" t="s">
        <v>956</v>
      </c>
      <c r="D267" s="9">
        <f t="shared" si="36"/>
        <v>50690.1547272803</v>
      </c>
      <c r="E267" s="10">
        <f t="shared" si="37"/>
        <v>65056.709930624347</v>
      </c>
      <c r="F267" s="11">
        <f t="shared" si="38"/>
        <v>1</v>
      </c>
      <c r="G267" s="11" t="str">
        <f t="shared" si="39"/>
        <v>0 00 11.13</v>
      </c>
      <c r="H267" s="12">
        <f t="shared" si="40"/>
        <v>1.0000764458775848</v>
      </c>
      <c r="I267" s="53" t="str">
        <f t="shared" si="41"/>
        <v>-26 31 20.85514</v>
      </c>
      <c r="J267" s="53" t="str">
        <f t="shared" si="42"/>
        <v>118 18 24.92575</v>
      </c>
      <c r="K267" s="54">
        <f t="shared" si="43"/>
        <v>1.0000764458775848</v>
      </c>
      <c r="L267" s="55" t="str">
        <f t="shared" si="44"/>
        <v>0 00 11.13</v>
      </c>
    </row>
    <row r="268" spans="1:12" x14ac:dyDescent="0.25">
      <c r="A268" s="13" t="s">
        <v>957</v>
      </c>
      <c r="B268" s="14" t="s">
        <v>958</v>
      </c>
      <c r="C268" s="14" t="s">
        <v>959</v>
      </c>
      <c r="D268" s="9">
        <f t="shared" si="36"/>
        <v>53537.090560704768</v>
      </c>
      <c r="E268" s="10">
        <f t="shared" si="37"/>
        <v>221328.84063128708</v>
      </c>
      <c r="F268" s="11">
        <f t="shared" si="38"/>
        <v>1</v>
      </c>
      <c r="G268" s="11" t="str">
        <f t="shared" si="39"/>
        <v>0 01 04.99</v>
      </c>
      <c r="H268" s="12">
        <f t="shared" si="40"/>
        <v>1.0000650442913879</v>
      </c>
      <c r="I268" s="53" t="str">
        <f t="shared" si="41"/>
        <v>-29 37 27.17281</v>
      </c>
      <c r="J268" s="53" t="str">
        <f t="shared" si="42"/>
        <v>121 06 11.47133</v>
      </c>
      <c r="K268" s="54">
        <f t="shared" si="43"/>
        <v>1.0000650442913879</v>
      </c>
      <c r="L268" s="55" t="str">
        <f t="shared" si="44"/>
        <v>0 01 04.99</v>
      </c>
    </row>
    <row r="269" spans="1:12" x14ac:dyDescent="0.25">
      <c r="A269" s="13" t="s">
        <v>960</v>
      </c>
      <c r="B269" s="14" t="s">
        <v>961</v>
      </c>
      <c r="C269" s="14" t="s">
        <v>962</v>
      </c>
      <c r="D269" s="9">
        <f t="shared" si="36"/>
        <v>61829.494607802262</v>
      </c>
      <c r="E269" s="10">
        <f t="shared" si="37"/>
        <v>216482.32634971663</v>
      </c>
      <c r="F269" s="11">
        <f t="shared" si="38"/>
        <v>1</v>
      </c>
      <c r="G269" s="11" t="str">
        <f t="shared" si="39"/>
        <v>0 03 53.95</v>
      </c>
      <c r="H269" s="12">
        <f t="shared" si="40"/>
        <v>1.0000512151388734</v>
      </c>
      <c r="I269" s="53" t="str">
        <f t="shared" si="41"/>
        <v>-31 28 20.23716</v>
      </c>
      <c r="J269" s="53" t="str">
        <f t="shared" si="42"/>
        <v>118 24 28.11017</v>
      </c>
      <c r="K269" s="54">
        <f t="shared" si="43"/>
        <v>1.0000512151388734</v>
      </c>
      <c r="L269" s="55" t="str">
        <f t="shared" si="44"/>
        <v>0 03 53.95</v>
      </c>
    </row>
    <row r="270" spans="1:12" x14ac:dyDescent="0.25">
      <c r="A270" s="13" t="s">
        <v>963</v>
      </c>
      <c r="B270" s="14" t="s">
        <v>964</v>
      </c>
      <c r="C270" s="14" t="s">
        <v>965</v>
      </c>
      <c r="D270" s="9">
        <f t="shared" si="36"/>
        <v>55488.156631137928</v>
      </c>
      <c r="E270" s="10">
        <f t="shared" si="37"/>
        <v>223372.46289041312</v>
      </c>
      <c r="F270" s="11">
        <f t="shared" si="38"/>
        <v>1</v>
      </c>
      <c r="G270" s="11" t="str">
        <f t="shared" si="39"/>
        <v>0 01 08.85</v>
      </c>
      <c r="H270" s="12">
        <f t="shared" si="40"/>
        <v>1.0000289720304327</v>
      </c>
      <c r="I270" s="53" t="str">
        <f t="shared" si="41"/>
        <v>-21 12 43.53613</v>
      </c>
      <c r="J270" s="53" t="str">
        <f t="shared" si="42"/>
        <v>117 05 10.29340</v>
      </c>
      <c r="K270" s="54">
        <f t="shared" si="43"/>
        <v>1.0000289720304327</v>
      </c>
      <c r="L270" s="55" t="str">
        <f t="shared" si="44"/>
        <v>0 01 08.85</v>
      </c>
    </row>
    <row r="271" spans="1:12" x14ac:dyDescent="0.25">
      <c r="A271" s="13" t="s">
        <v>966</v>
      </c>
      <c r="B271" s="14" t="s">
        <v>967</v>
      </c>
      <c r="C271" s="14" t="s">
        <v>968</v>
      </c>
      <c r="D271" s="9">
        <f t="shared" si="36"/>
        <v>51130.346937624403</v>
      </c>
      <c r="E271" s="10">
        <f t="shared" si="37"/>
        <v>259636.56897333777</v>
      </c>
      <c r="F271" s="11">
        <f t="shared" si="38"/>
        <v>1</v>
      </c>
      <c r="G271" s="11" t="str">
        <f t="shared" si="39"/>
        <v>0 00 20.42</v>
      </c>
      <c r="H271" s="12">
        <f t="shared" si="40"/>
        <v>1.0000249857589185</v>
      </c>
      <c r="I271" s="53" t="str">
        <f t="shared" si="41"/>
        <v>-29 12 27.47304</v>
      </c>
      <c r="J271" s="53" t="str">
        <f t="shared" si="42"/>
        <v>115 20 41.84491</v>
      </c>
      <c r="K271" s="54">
        <f t="shared" si="43"/>
        <v>1.0000249857589183</v>
      </c>
      <c r="L271" s="55" t="str">
        <f t="shared" si="44"/>
        <v>0 00 20.42</v>
      </c>
    </row>
    <row r="272" spans="1:12" x14ac:dyDescent="0.25">
      <c r="A272" s="13" t="s">
        <v>969</v>
      </c>
      <c r="B272" s="14" t="s">
        <v>970</v>
      </c>
      <c r="C272" s="14" t="s">
        <v>971</v>
      </c>
      <c r="D272" s="9">
        <f t="shared" si="36"/>
        <v>50048.628302069214</v>
      </c>
      <c r="E272" s="10">
        <f t="shared" si="37"/>
        <v>243456.05269760406</v>
      </c>
      <c r="F272" s="11">
        <f t="shared" si="38"/>
        <v>1</v>
      </c>
      <c r="G272" s="11" t="str">
        <f t="shared" si="39"/>
        <v>0 00 00.98</v>
      </c>
      <c r="H272" s="12">
        <f t="shared" si="40"/>
        <v>1.0000112800291503</v>
      </c>
      <c r="I272" s="53" t="str">
        <f t="shared" si="41"/>
        <v>-31 56 01.43041</v>
      </c>
      <c r="J272" s="53" t="str">
        <f t="shared" si="42"/>
        <v>126 26 28.85129</v>
      </c>
      <c r="K272" s="54">
        <f t="shared" si="43"/>
        <v>1.0000112800291503</v>
      </c>
      <c r="L272" s="55" t="str">
        <f t="shared" si="44"/>
        <v>0 00 00.98</v>
      </c>
    </row>
    <row r="273" spans="1:12" x14ac:dyDescent="0.25">
      <c r="A273" s="13" t="s">
        <v>972</v>
      </c>
      <c r="B273" s="14" t="s">
        <v>973</v>
      </c>
      <c r="C273" s="14" t="s">
        <v>974</v>
      </c>
      <c r="D273" s="9">
        <f t="shared" si="36"/>
        <v>55341.009236442464</v>
      </c>
      <c r="E273" s="10">
        <f t="shared" si="37"/>
        <v>243442.52622451913</v>
      </c>
      <c r="F273" s="11">
        <f t="shared" si="38"/>
        <v>1</v>
      </c>
      <c r="G273" s="11" t="str">
        <f t="shared" si="39"/>
        <v>0 02 00.08</v>
      </c>
      <c r="H273" s="12">
        <f t="shared" si="40"/>
        <v>1.000001611435809</v>
      </c>
      <c r="I273" s="53" t="str">
        <f t="shared" si="41"/>
        <v>-34 50 14.53790</v>
      </c>
      <c r="J273" s="53" t="str">
        <f t="shared" si="42"/>
        <v>117 31 30.21035</v>
      </c>
      <c r="K273" s="54">
        <f t="shared" si="43"/>
        <v>1.0000016114358088</v>
      </c>
      <c r="L273" s="55" t="str">
        <f t="shared" si="44"/>
        <v>0 02 00.08</v>
      </c>
    </row>
    <row r="274" spans="1:12" x14ac:dyDescent="0.25">
      <c r="A274" s="13" t="s">
        <v>975</v>
      </c>
      <c r="B274" s="14" t="s">
        <v>976</v>
      </c>
      <c r="C274" s="14" t="s">
        <v>977</v>
      </c>
      <c r="D274" s="9">
        <f t="shared" si="36"/>
        <v>56383.232272312904</v>
      </c>
      <c r="E274" s="10">
        <f t="shared" si="37"/>
        <v>247440.11248878157</v>
      </c>
      <c r="F274" s="11">
        <f t="shared" si="38"/>
        <v>1</v>
      </c>
      <c r="G274" s="11" t="str">
        <f t="shared" si="39"/>
        <v>0 01 03.03</v>
      </c>
      <c r="H274" s="12">
        <f t="shared" si="40"/>
        <v>1.000050213573568</v>
      </c>
      <c r="I274" s="53" t="str">
        <f t="shared" si="41"/>
        <v>-16 59 00.09308</v>
      </c>
      <c r="J274" s="53" t="str">
        <f t="shared" si="42"/>
        <v>125 12 00.77015</v>
      </c>
      <c r="K274" s="54">
        <f t="shared" si="43"/>
        <v>1.000050213573568</v>
      </c>
      <c r="L274" s="55" t="str">
        <f t="shared" si="44"/>
        <v>0 01 03.03</v>
      </c>
    </row>
    <row r="275" spans="1:12" x14ac:dyDescent="0.25">
      <c r="A275" s="13" t="s">
        <v>978</v>
      </c>
      <c r="B275" s="14" t="s">
        <v>979</v>
      </c>
      <c r="C275" s="14" t="s">
        <v>980</v>
      </c>
      <c r="D275" s="9">
        <f t="shared" si="36"/>
        <v>50989.184868059128</v>
      </c>
      <c r="E275" s="10">
        <f t="shared" si="37"/>
        <v>220654.06413983274</v>
      </c>
      <c r="F275" s="11">
        <f t="shared" si="38"/>
        <v>1</v>
      </c>
      <c r="G275" s="11" t="str">
        <f t="shared" si="39"/>
        <v>0 00 17.52</v>
      </c>
      <c r="H275" s="12">
        <f t="shared" si="40"/>
        <v>1.0000627020693178</v>
      </c>
      <c r="I275" s="53" t="str">
        <f t="shared" si="41"/>
        <v>-28 43 41.57918</v>
      </c>
      <c r="J275" s="53" t="str">
        <f t="shared" si="42"/>
        <v>117 48 36.44942</v>
      </c>
      <c r="K275" s="54">
        <f t="shared" si="43"/>
        <v>1.0000627020693178</v>
      </c>
      <c r="L275" s="55" t="str">
        <f t="shared" si="44"/>
        <v>0 00 17.52</v>
      </c>
    </row>
    <row r="276" spans="1:12" x14ac:dyDescent="0.25">
      <c r="A276" s="13" t="s">
        <v>981</v>
      </c>
      <c r="B276" s="14" t="s">
        <v>982</v>
      </c>
      <c r="C276" s="14" t="s">
        <v>983</v>
      </c>
      <c r="D276" s="9">
        <f t="shared" si="36"/>
        <v>50992.699430332206</v>
      </c>
      <c r="E276" s="10">
        <f t="shared" si="37"/>
        <v>549773.28649776662</v>
      </c>
      <c r="F276" s="11">
        <f t="shared" si="38"/>
        <v>1</v>
      </c>
      <c r="G276" s="11" t="str">
        <f t="shared" si="39"/>
        <v>0 00 19.40</v>
      </c>
      <c r="H276" s="12">
        <f t="shared" si="40"/>
        <v>1.0000181421497611</v>
      </c>
      <c r="I276" s="53" t="str">
        <f t="shared" si="41"/>
        <v>-31 10 23.09603</v>
      </c>
      <c r="J276" s="53" t="str">
        <f t="shared" si="42"/>
        <v>115 57 37.48666</v>
      </c>
      <c r="K276" s="54">
        <f t="shared" si="43"/>
        <v>1.0000181421497611</v>
      </c>
      <c r="L276" s="55" t="str">
        <f t="shared" si="44"/>
        <v>0 00 19.40</v>
      </c>
    </row>
    <row r="277" spans="1:12" x14ac:dyDescent="0.25">
      <c r="A277" s="13" t="s">
        <v>984</v>
      </c>
      <c r="B277" s="14" t="s">
        <v>985</v>
      </c>
      <c r="C277" s="14" t="s">
        <v>986</v>
      </c>
      <c r="D277" s="9">
        <f t="shared" si="36"/>
        <v>54043.216544563111</v>
      </c>
      <c r="E277" s="10">
        <f t="shared" si="37"/>
        <v>212894.9903183016</v>
      </c>
      <c r="F277" s="11">
        <f t="shared" si="38"/>
        <v>1</v>
      </c>
      <c r="G277" s="11" t="str">
        <f t="shared" si="39"/>
        <v>0 00 46.98</v>
      </c>
      <c r="H277" s="12">
        <f t="shared" si="40"/>
        <v>1.000061161958167</v>
      </c>
      <c r="I277" s="53" t="str">
        <f t="shared" si="41"/>
        <v>-19 46 14.16695</v>
      </c>
      <c r="J277" s="53" t="str">
        <f t="shared" si="42"/>
        <v>128 20 18.88350</v>
      </c>
      <c r="K277" s="54">
        <f t="shared" si="43"/>
        <v>1.000061161958167</v>
      </c>
      <c r="L277" s="55" t="str">
        <f t="shared" si="44"/>
        <v>0 00 46.98</v>
      </c>
    </row>
    <row r="278" spans="1:12" x14ac:dyDescent="0.25">
      <c r="A278" s="13" t="s">
        <v>987</v>
      </c>
      <c r="B278" s="14" t="s">
        <v>988</v>
      </c>
      <c r="C278" s="14" t="s">
        <v>989</v>
      </c>
      <c r="D278" s="9">
        <f t="shared" si="36"/>
        <v>52902.554882832133</v>
      </c>
      <c r="E278" s="10">
        <f t="shared" si="37"/>
        <v>205611.15442031296</v>
      </c>
      <c r="F278" s="11">
        <f t="shared" si="38"/>
        <v>1</v>
      </c>
      <c r="G278" s="11" t="str">
        <f t="shared" si="39"/>
        <v>0 00 48.14</v>
      </c>
      <c r="H278" s="12">
        <f t="shared" si="40"/>
        <v>1.0000678039484081</v>
      </c>
      <c r="I278" s="53" t="str">
        <f t="shared" si="41"/>
        <v>-27 10 02.83375</v>
      </c>
      <c r="J278" s="53" t="str">
        <f t="shared" si="42"/>
        <v>125 27 27.42588</v>
      </c>
      <c r="K278" s="54">
        <f t="shared" si="43"/>
        <v>1.0000678039484079</v>
      </c>
      <c r="L278" s="55" t="str">
        <f t="shared" si="44"/>
        <v>0 00 48.14</v>
      </c>
    </row>
    <row r="279" spans="1:12" x14ac:dyDescent="0.25">
      <c r="A279" s="13" t="s">
        <v>990</v>
      </c>
      <c r="B279" s="14" t="s">
        <v>991</v>
      </c>
      <c r="C279" s="14" t="s">
        <v>992</v>
      </c>
      <c r="D279" s="9">
        <f t="shared" si="36"/>
        <v>57858.965417520849</v>
      </c>
      <c r="E279" s="10">
        <f t="shared" si="37"/>
        <v>218647.81734562712</v>
      </c>
      <c r="F279" s="11">
        <f t="shared" si="38"/>
        <v>1</v>
      </c>
      <c r="G279" s="11" t="str">
        <f t="shared" si="39"/>
        <v>0 02 32.04</v>
      </c>
      <c r="H279" s="12">
        <f t="shared" si="40"/>
        <v>1.0000504115050752</v>
      </c>
      <c r="I279" s="53" t="str">
        <f t="shared" si="41"/>
        <v>-30 54 41.95141</v>
      </c>
      <c r="J279" s="53" t="str">
        <f t="shared" si="42"/>
        <v>118 21 55.95372</v>
      </c>
      <c r="K279" s="54">
        <f t="shared" si="43"/>
        <v>1.0000504115050752</v>
      </c>
      <c r="L279" s="55" t="str">
        <f t="shared" si="44"/>
        <v>0 02 32.04</v>
      </c>
    </row>
    <row r="280" spans="1:12" x14ac:dyDescent="0.25">
      <c r="A280" s="13" t="s">
        <v>993</v>
      </c>
      <c r="B280" s="14" t="s">
        <v>994</v>
      </c>
      <c r="C280" s="14" t="s">
        <v>995</v>
      </c>
      <c r="D280" s="9">
        <f t="shared" si="36"/>
        <v>51552.681005261293</v>
      </c>
      <c r="E280" s="10">
        <f t="shared" si="37"/>
        <v>237018.34838959388</v>
      </c>
      <c r="F280" s="11">
        <f t="shared" si="38"/>
        <v>1</v>
      </c>
      <c r="G280" s="11" t="str">
        <f t="shared" si="39"/>
        <v>0 00 20.57</v>
      </c>
      <c r="H280" s="12">
        <f t="shared" si="40"/>
        <v>1.0000657097713495</v>
      </c>
      <c r="I280" s="53" t="str">
        <f t="shared" si="41"/>
        <v>-22 17 20.96981</v>
      </c>
      <c r="J280" s="53" t="str">
        <f t="shared" si="42"/>
        <v>118 32 42.23778</v>
      </c>
      <c r="K280" s="54">
        <f t="shared" si="43"/>
        <v>1.0000657097713495</v>
      </c>
      <c r="L280" s="55" t="str">
        <f t="shared" si="44"/>
        <v>0 00 20.57</v>
      </c>
    </row>
    <row r="281" spans="1:12" x14ac:dyDescent="0.25">
      <c r="A281" s="13" t="s">
        <v>996</v>
      </c>
      <c r="B281" s="14" t="s">
        <v>997</v>
      </c>
      <c r="C281" s="14" t="s">
        <v>998</v>
      </c>
      <c r="D281" s="9">
        <f t="shared" si="36"/>
        <v>51886.03156089929</v>
      </c>
      <c r="E281" s="10">
        <f t="shared" si="37"/>
        <v>245481.99980813917</v>
      </c>
      <c r="F281" s="11">
        <f t="shared" si="38"/>
        <v>1</v>
      </c>
      <c r="G281" s="11" t="str">
        <f t="shared" si="39"/>
        <v>0 00 37.95</v>
      </c>
      <c r="H281" s="12">
        <f t="shared" si="40"/>
        <v>0.9999990338501501</v>
      </c>
      <c r="I281" s="53" t="str">
        <f t="shared" si="41"/>
        <v>-31 54 57.06076</v>
      </c>
      <c r="J281" s="53" t="str">
        <f t="shared" si="42"/>
        <v>127 36 41.78862</v>
      </c>
      <c r="K281" s="54">
        <f t="shared" si="43"/>
        <v>0.9999990338501501</v>
      </c>
      <c r="L281" s="55" t="str">
        <f t="shared" si="44"/>
        <v>0 00 37.95</v>
      </c>
    </row>
    <row r="282" spans="1:12" x14ac:dyDescent="0.25">
      <c r="A282" s="13" t="s">
        <v>999</v>
      </c>
      <c r="B282" s="14" t="s">
        <v>1000</v>
      </c>
      <c r="C282" s="14" t="s">
        <v>1001</v>
      </c>
      <c r="D282" s="9">
        <f t="shared" si="36"/>
        <v>48990.574216623732</v>
      </c>
      <c r="E282" s="10">
        <f t="shared" si="37"/>
        <v>233342.7914566109</v>
      </c>
      <c r="F282" s="11">
        <f t="shared" si="38"/>
        <v>1</v>
      </c>
      <c r="G282" s="11" t="str">
        <f t="shared" si="39"/>
        <v>0 00 21.72</v>
      </c>
      <c r="H282" s="12">
        <f t="shared" si="40"/>
        <v>1.0000158825560377</v>
      </c>
      <c r="I282" s="53" t="str">
        <f t="shared" si="41"/>
        <v>-33 39 57.06911</v>
      </c>
      <c r="J282" s="53" t="str">
        <f t="shared" si="42"/>
        <v>120 36 20.81862</v>
      </c>
      <c r="K282" s="54">
        <f t="shared" si="43"/>
        <v>1.0000158825560377</v>
      </c>
      <c r="L282" s="55" t="str">
        <f t="shared" si="44"/>
        <v>0 00 21.72</v>
      </c>
    </row>
    <row r="283" spans="1:12" x14ac:dyDescent="0.25">
      <c r="A283" s="13" t="s">
        <v>1002</v>
      </c>
      <c r="B283" s="14" t="s">
        <v>1003</v>
      </c>
      <c r="C283" s="14" t="s">
        <v>1004</v>
      </c>
      <c r="D283" s="9">
        <f t="shared" si="36"/>
        <v>60517.280007884088</v>
      </c>
      <c r="E283" s="10">
        <f t="shared" si="37"/>
        <v>200869.11074180994</v>
      </c>
      <c r="F283" s="11">
        <f t="shared" si="38"/>
        <v>1</v>
      </c>
      <c r="G283" s="11" t="str">
        <f t="shared" si="39"/>
        <v>0 02 54.21</v>
      </c>
      <c r="H283" s="12">
        <f t="shared" si="40"/>
        <v>1.0000389948324702</v>
      </c>
      <c r="I283" s="53" t="str">
        <f t="shared" si="41"/>
        <v>-27 08 19.79272</v>
      </c>
      <c r="J283" s="53" t="str">
        <f t="shared" si="42"/>
        <v>116 03 51.92006</v>
      </c>
      <c r="K283" s="54">
        <f t="shared" si="43"/>
        <v>1.0000389948324702</v>
      </c>
      <c r="L283" s="55" t="str">
        <f t="shared" si="44"/>
        <v>0 02 54.21</v>
      </c>
    </row>
    <row r="284" spans="1:12" x14ac:dyDescent="0.25">
      <c r="A284" s="13" t="s">
        <v>1005</v>
      </c>
      <c r="B284" s="14" t="s">
        <v>1006</v>
      </c>
      <c r="C284" s="14" t="s">
        <v>1007</v>
      </c>
      <c r="D284" s="9">
        <f t="shared" si="36"/>
        <v>100051.9008956677</v>
      </c>
      <c r="E284" s="10">
        <f t="shared" si="37"/>
        <v>524131.13851486193</v>
      </c>
      <c r="F284" s="11">
        <f t="shared" si="38"/>
        <v>1</v>
      </c>
      <c r="G284" s="11" t="str">
        <f t="shared" si="39"/>
        <v>0 00 00.85</v>
      </c>
      <c r="H284" s="12">
        <f t="shared" si="40"/>
        <v>1.0000670900332376</v>
      </c>
      <c r="I284" s="53" t="str">
        <f t="shared" si="41"/>
        <v>-26 53 31.38252</v>
      </c>
      <c r="J284" s="53" t="str">
        <f t="shared" si="42"/>
        <v>118 15 06.88054</v>
      </c>
      <c r="K284" s="54">
        <f t="shared" si="43"/>
        <v>1.0000670900332376</v>
      </c>
      <c r="L284" s="55" t="str">
        <f t="shared" si="44"/>
        <v>0 00 00.85</v>
      </c>
    </row>
    <row r="285" spans="1:12" x14ac:dyDescent="0.25">
      <c r="A285" s="13" t="s">
        <v>1008</v>
      </c>
      <c r="B285" s="14" t="s">
        <v>1009</v>
      </c>
      <c r="C285" s="14" t="s">
        <v>1010</v>
      </c>
      <c r="D285" s="9">
        <f t="shared" si="36"/>
        <v>53700.313618433232</v>
      </c>
      <c r="E285" s="10">
        <f t="shared" si="37"/>
        <v>249702.17823798815</v>
      </c>
      <c r="F285" s="11">
        <f t="shared" si="38"/>
        <v>1</v>
      </c>
      <c r="G285" s="11" t="str">
        <f t="shared" si="39"/>
        <v>0 00 48.69</v>
      </c>
      <c r="H285" s="12">
        <f t="shared" si="40"/>
        <v>1.0000080291010121</v>
      </c>
      <c r="I285" s="53" t="str">
        <f t="shared" si="41"/>
        <v>-22 08 55.70711</v>
      </c>
      <c r="J285" s="53" t="str">
        <f t="shared" si="42"/>
        <v>115 27 09.13716</v>
      </c>
      <c r="K285" s="54">
        <f t="shared" si="43"/>
        <v>1.0000080291010121</v>
      </c>
      <c r="L285" s="55" t="str">
        <f t="shared" si="44"/>
        <v>0 00 48.69</v>
      </c>
    </row>
    <row r="286" spans="1:12" x14ac:dyDescent="0.25">
      <c r="A286" s="13" t="s">
        <v>1011</v>
      </c>
      <c r="B286" s="14" t="s">
        <v>1012</v>
      </c>
      <c r="C286" s="14" t="s">
        <v>1013</v>
      </c>
      <c r="D286" s="9">
        <f t="shared" si="36"/>
        <v>52284.077820895291</v>
      </c>
      <c r="E286" s="10">
        <f t="shared" si="37"/>
        <v>250791.29614193388</v>
      </c>
      <c r="F286" s="11">
        <f t="shared" si="38"/>
        <v>1</v>
      </c>
      <c r="G286" s="11" t="str">
        <f t="shared" si="39"/>
        <v>0 00 22.70</v>
      </c>
      <c r="H286" s="12">
        <f t="shared" si="40"/>
        <v>1.0000264744773975</v>
      </c>
      <c r="I286" s="53" t="str">
        <f t="shared" si="41"/>
        <v>-17 05 20.46160</v>
      </c>
      <c r="J286" s="53" t="str">
        <f t="shared" si="42"/>
        <v>124 58 55.25306</v>
      </c>
      <c r="K286" s="54">
        <f t="shared" si="43"/>
        <v>1.0000264744773977</v>
      </c>
      <c r="L286" s="55" t="str">
        <f t="shared" si="44"/>
        <v>0 00 22.70</v>
      </c>
    </row>
    <row r="287" spans="1:12" x14ac:dyDescent="0.25">
      <c r="A287" s="13" t="s">
        <v>1014</v>
      </c>
      <c r="B287" s="14" t="s">
        <v>1015</v>
      </c>
      <c r="C287" s="14" t="s">
        <v>1016</v>
      </c>
      <c r="D287" s="9">
        <f t="shared" si="36"/>
        <v>52246.394750926571</v>
      </c>
      <c r="E287" s="10">
        <f t="shared" si="37"/>
        <v>260396.49596917396</v>
      </c>
      <c r="F287" s="11">
        <f t="shared" si="38"/>
        <v>1</v>
      </c>
      <c r="G287" s="11" t="str">
        <f t="shared" si="39"/>
        <v>0 00 46.91</v>
      </c>
      <c r="H287" s="12">
        <f t="shared" si="40"/>
        <v>1.0000454721922787</v>
      </c>
      <c r="I287" s="53" t="str">
        <f t="shared" si="41"/>
        <v>-32 52 47.94629</v>
      </c>
      <c r="J287" s="53" t="str">
        <f t="shared" si="42"/>
        <v>117 11 26.41477</v>
      </c>
      <c r="K287" s="54">
        <f t="shared" si="43"/>
        <v>1.0000454721922787</v>
      </c>
      <c r="L287" s="55" t="str">
        <f t="shared" si="44"/>
        <v>0 00 46.91</v>
      </c>
    </row>
    <row r="288" spans="1:12" x14ac:dyDescent="0.25">
      <c r="A288" s="13" t="s">
        <v>1017</v>
      </c>
      <c r="B288" s="14" t="s">
        <v>1018</v>
      </c>
      <c r="C288" s="14" t="s">
        <v>1019</v>
      </c>
      <c r="D288" s="9">
        <f t="shared" si="36"/>
        <v>57181.761436674045</v>
      </c>
      <c r="E288" s="10">
        <f t="shared" si="37"/>
        <v>237670.79596133623</v>
      </c>
      <c r="F288" s="11">
        <f t="shared" si="38"/>
        <v>1</v>
      </c>
      <c r="G288" s="11" t="str">
        <f t="shared" si="39"/>
        <v>0 02 31.16</v>
      </c>
      <c r="H288" s="12">
        <f t="shared" si="40"/>
        <v>1.0000451056348285</v>
      </c>
      <c r="I288" s="53" t="str">
        <f t="shared" si="41"/>
        <v>-33 05 05.63417</v>
      </c>
      <c r="J288" s="53" t="str">
        <f t="shared" si="42"/>
        <v>119 07 36.90862</v>
      </c>
      <c r="K288" s="54">
        <f t="shared" si="43"/>
        <v>1.0000451056348285</v>
      </c>
      <c r="L288" s="55" t="str">
        <f t="shared" si="44"/>
        <v>0 02 31.16</v>
      </c>
    </row>
    <row r="289" spans="1:12" x14ac:dyDescent="0.25">
      <c r="A289" s="13" t="s">
        <v>1020</v>
      </c>
      <c r="B289" s="14" t="s">
        <v>1021</v>
      </c>
      <c r="C289" s="14" t="s">
        <v>1022</v>
      </c>
      <c r="D289" s="9">
        <f t="shared" si="36"/>
        <v>50455.756271438986</v>
      </c>
      <c r="E289" s="10">
        <f t="shared" si="37"/>
        <v>223811.33065308398</v>
      </c>
      <c r="F289" s="11">
        <f t="shared" si="38"/>
        <v>1</v>
      </c>
      <c r="G289" s="11" t="str">
        <f t="shared" si="39"/>
        <v>0 00 06.48</v>
      </c>
      <c r="H289" s="12">
        <f t="shared" si="40"/>
        <v>1.0000886225643877</v>
      </c>
      <c r="I289" s="53" t="str">
        <f t="shared" si="41"/>
        <v>-23 44 06.57593</v>
      </c>
      <c r="J289" s="53" t="str">
        <f t="shared" si="42"/>
        <v>119 43 16.09057</v>
      </c>
      <c r="K289" s="54">
        <f t="shared" si="43"/>
        <v>1.0000886225643877</v>
      </c>
      <c r="L289" s="55" t="str">
        <f t="shared" si="44"/>
        <v>0 00 06.48</v>
      </c>
    </row>
    <row r="290" spans="1:12" x14ac:dyDescent="0.25">
      <c r="A290" s="13" t="s">
        <v>1023</v>
      </c>
      <c r="B290" s="14" t="s">
        <v>1024</v>
      </c>
      <c r="C290" s="14" t="s">
        <v>1025</v>
      </c>
      <c r="D290" s="9">
        <f t="shared" si="36"/>
        <v>52744.120150152346</v>
      </c>
      <c r="E290" s="10">
        <f t="shared" si="37"/>
        <v>245367.10358669562</v>
      </c>
      <c r="F290" s="11">
        <f t="shared" si="38"/>
        <v>1</v>
      </c>
      <c r="G290" s="11" t="str">
        <f t="shared" si="39"/>
        <v>0 00 35.87</v>
      </c>
      <c r="H290" s="12">
        <f t="shared" si="40"/>
        <v>1.0000613729953436</v>
      </c>
      <c r="I290" s="53" t="str">
        <f t="shared" si="41"/>
        <v>-22 01 16.69087</v>
      </c>
      <c r="J290" s="53" t="str">
        <f t="shared" si="42"/>
        <v>120 07 35.67594</v>
      </c>
      <c r="K290" s="54">
        <f t="shared" si="43"/>
        <v>1.0000613729953438</v>
      </c>
      <c r="L290" s="55" t="str">
        <f t="shared" si="44"/>
        <v>0 00 35.87</v>
      </c>
    </row>
    <row r="291" spans="1:12" x14ac:dyDescent="0.25">
      <c r="A291" s="13" t="s">
        <v>1026</v>
      </c>
      <c r="B291" s="14" t="s">
        <v>1027</v>
      </c>
      <c r="C291" s="14" t="s">
        <v>1028</v>
      </c>
      <c r="D291" s="9">
        <f t="shared" si="36"/>
        <v>51565.905318938821</v>
      </c>
      <c r="E291" s="10">
        <f t="shared" si="37"/>
        <v>237328.53514047898</v>
      </c>
      <c r="F291" s="11">
        <f t="shared" si="38"/>
        <v>1</v>
      </c>
      <c r="G291" s="11" t="str">
        <f t="shared" si="39"/>
        <v>0 00 19.82</v>
      </c>
      <c r="H291" s="12">
        <f t="shared" si="40"/>
        <v>1.0000372502859283</v>
      </c>
      <c r="I291" s="53" t="str">
        <f t="shared" si="41"/>
        <v>-21 23 02.08046</v>
      </c>
      <c r="J291" s="53" t="str">
        <f t="shared" si="42"/>
        <v>121 05 40.35804</v>
      </c>
      <c r="K291" s="54">
        <f t="shared" si="43"/>
        <v>1.0000372502859283</v>
      </c>
      <c r="L291" s="55" t="str">
        <f t="shared" si="44"/>
        <v>0 00 19.82</v>
      </c>
    </row>
    <row r="292" spans="1:12" x14ac:dyDescent="0.25">
      <c r="A292" s="13" t="s">
        <v>1029</v>
      </c>
      <c r="B292" s="14" t="s">
        <v>1030</v>
      </c>
      <c r="C292" s="14" t="s">
        <v>1031</v>
      </c>
      <c r="D292" s="9">
        <f t="shared" si="36"/>
        <v>51415.061040035449</v>
      </c>
      <c r="E292" s="10">
        <f t="shared" si="37"/>
        <v>247498.73121932242</v>
      </c>
      <c r="F292" s="11">
        <f t="shared" si="38"/>
        <v>1</v>
      </c>
      <c r="G292" s="11" t="str">
        <f t="shared" si="39"/>
        <v>0 00 30.83</v>
      </c>
      <c r="H292" s="12">
        <f t="shared" si="40"/>
        <v>1.0000380946725118</v>
      </c>
      <c r="I292" s="53" t="str">
        <f t="shared" si="41"/>
        <v>-33 59 50.14824</v>
      </c>
      <c r="J292" s="53" t="str">
        <f t="shared" si="42"/>
        <v>118 29 25.13746</v>
      </c>
      <c r="K292" s="54">
        <f t="shared" si="43"/>
        <v>1.0000380946725118</v>
      </c>
      <c r="L292" s="55" t="str">
        <f t="shared" si="44"/>
        <v>0 00 30.83</v>
      </c>
    </row>
    <row r="293" spans="1:12" x14ac:dyDescent="0.25">
      <c r="A293" s="13" t="s">
        <v>1032</v>
      </c>
      <c r="B293" s="14" t="s">
        <v>1033</v>
      </c>
      <c r="C293" s="14" t="s">
        <v>1034</v>
      </c>
      <c r="D293" s="9">
        <f t="shared" si="36"/>
        <v>50992.259022887854</v>
      </c>
      <c r="E293" s="10">
        <f t="shared" si="37"/>
        <v>253488.89562778221</v>
      </c>
      <c r="F293" s="11">
        <f t="shared" si="38"/>
        <v>1</v>
      </c>
      <c r="G293" s="11" t="str">
        <f t="shared" si="39"/>
        <v>0 00 13.74</v>
      </c>
      <c r="H293" s="12">
        <f t="shared" si="40"/>
        <v>1.0001095321562632</v>
      </c>
      <c r="I293" s="53" t="str">
        <f t="shared" si="41"/>
        <v>-23 11 12.65305</v>
      </c>
      <c r="J293" s="53" t="str">
        <f t="shared" si="42"/>
        <v>119 26 07.88680</v>
      </c>
      <c r="K293" s="54">
        <f t="shared" si="43"/>
        <v>1.0001095321562632</v>
      </c>
      <c r="L293" s="55" t="str">
        <f t="shared" si="44"/>
        <v>0 00 13.74</v>
      </c>
    </row>
    <row r="294" spans="1:12" x14ac:dyDescent="0.25">
      <c r="A294" s="13" t="s">
        <v>1035</v>
      </c>
      <c r="B294" s="14" t="s">
        <v>1036</v>
      </c>
      <c r="C294" s="14" t="s">
        <v>1037</v>
      </c>
      <c r="D294" s="9">
        <f t="shared" si="36"/>
        <v>50098.644591508739</v>
      </c>
      <c r="E294" s="10">
        <f t="shared" si="37"/>
        <v>244064.25489199534</v>
      </c>
      <c r="F294" s="11">
        <f t="shared" si="38"/>
        <v>1</v>
      </c>
      <c r="G294" s="11" t="str">
        <f t="shared" si="39"/>
        <v>0 00 01.16</v>
      </c>
      <c r="H294" s="12">
        <f t="shared" si="40"/>
        <v>1.0000083101202148</v>
      </c>
      <c r="I294" s="53" t="str">
        <f t="shared" si="41"/>
        <v>-20 02 27.99614</v>
      </c>
      <c r="J294" s="53" t="str">
        <f t="shared" si="42"/>
        <v>119 55 45.39436</v>
      </c>
      <c r="K294" s="54">
        <f t="shared" si="43"/>
        <v>1.0000083101202148</v>
      </c>
      <c r="L294" s="55" t="str">
        <f t="shared" si="44"/>
        <v>0 00 01.16</v>
      </c>
    </row>
    <row r="295" spans="1:12" x14ac:dyDescent="0.25">
      <c r="A295" s="13" t="s">
        <v>1038</v>
      </c>
      <c r="B295" s="14" t="s">
        <v>1039</v>
      </c>
      <c r="C295" s="14" t="s">
        <v>1040</v>
      </c>
      <c r="D295" s="9">
        <f t="shared" si="36"/>
        <v>54167.849011265527</v>
      </c>
      <c r="E295" s="10">
        <f t="shared" si="37"/>
        <v>219672.58792349836</v>
      </c>
      <c r="F295" s="11">
        <f t="shared" si="38"/>
        <v>1</v>
      </c>
      <c r="G295" s="11" t="str">
        <f t="shared" si="39"/>
        <v>0 00 40.43</v>
      </c>
      <c r="H295" s="12">
        <f t="shared" si="40"/>
        <v>1.0000071947039202</v>
      </c>
      <c r="I295" s="53" t="str">
        <f t="shared" si="41"/>
        <v>-16 42 06.74165</v>
      </c>
      <c r="J295" s="53" t="str">
        <f t="shared" si="42"/>
        <v>122 56 18.68226</v>
      </c>
      <c r="K295" s="54">
        <f t="shared" si="43"/>
        <v>1.0000071947039202</v>
      </c>
      <c r="L295" s="55" t="str">
        <f t="shared" si="44"/>
        <v>0 00 40.43</v>
      </c>
    </row>
    <row r="296" spans="1:12" x14ac:dyDescent="0.25">
      <c r="A296" s="13" t="s">
        <v>1041</v>
      </c>
      <c r="B296" s="14" t="s">
        <v>1042</v>
      </c>
      <c r="C296" s="14" t="s">
        <v>1043</v>
      </c>
      <c r="D296" s="9">
        <f t="shared" si="36"/>
        <v>58630.221356563001</v>
      </c>
      <c r="E296" s="10">
        <f t="shared" si="37"/>
        <v>226237.05218718713</v>
      </c>
      <c r="F296" s="11">
        <f t="shared" si="38"/>
        <v>1</v>
      </c>
      <c r="G296" s="11" t="str">
        <f t="shared" si="39"/>
        <v>0 03 09.13</v>
      </c>
      <c r="H296" s="12">
        <f t="shared" si="40"/>
        <v>1.0000343576863293</v>
      </c>
      <c r="I296" s="53" t="str">
        <f t="shared" si="41"/>
        <v>-34 09 10.79312</v>
      </c>
      <c r="J296" s="53" t="str">
        <f t="shared" si="42"/>
        <v>116 37 36.89166</v>
      </c>
      <c r="K296" s="54">
        <f t="shared" si="43"/>
        <v>1.0000343576863293</v>
      </c>
      <c r="L296" s="55" t="str">
        <f t="shared" si="44"/>
        <v>0 03 09.13</v>
      </c>
    </row>
    <row r="297" spans="1:12" x14ac:dyDescent="0.25">
      <c r="A297" s="13" t="s">
        <v>1044</v>
      </c>
      <c r="B297" s="14" t="s">
        <v>1045</v>
      </c>
      <c r="C297" s="14" t="s">
        <v>1046</v>
      </c>
      <c r="D297" s="9">
        <f t="shared" si="36"/>
        <v>50143.340415318591</v>
      </c>
      <c r="E297" s="10">
        <f t="shared" si="37"/>
        <v>230619.00060981605</v>
      </c>
      <c r="F297" s="11">
        <f t="shared" si="38"/>
        <v>1</v>
      </c>
      <c r="G297" s="11" t="str">
        <f t="shared" si="39"/>
        <v>0 00 02.53</v>
      </c>
      <c r="H297" s="12">
        <f t="shared" si="40"/>
        <v>1.0000432102534436</v>
      </c>
      <c r="I297" s="53" t="str">
        <f t="shared" si="41"/>
        <v>-28 38 19.92480</v>
      </c>
      <c r="J297" s="53" t="str">
        <f t="shared" si="42"/>
        <v>115 48 05.27742</v>
      </c>
      <c r="K297" s="54">
        <f t="shared" si="43"/>
        <v>1.0000432102534436</v>
      </c>
      <c r="L297" s="55" t="str">
        <f t="shared" si="44"/>
        <v>0 00 02.53</v>
      </c>
    </row>
    <row r="298" spans="1:12" x14ac:dyDescent="0.25">
      <c r="A298" s="13" t="s">
        <v>1047</v>
      </c>
      <c r="B298" s="14" t="s">
        <v>1048</v>
      </c>
      <c r="C298" s="14" t="s">
        <v>1049</v>
      </c>
      <c r="D298" s="9">
        <f t="shared" si="36"/>
        <v>51066.372428292481</v>
      </c>
      <c r="E298" s="10">
        <f t="shared" si="37"/>
        <v>235568.53245707881</v>
      </c>
      <c r="F298" s="11">
        <f t="shared" si="38"/>
        <v>1</v>
      </c>
      <c r="G298" s="11" t="str">
        <f t="shared" si="39"/>
        <v>0 00 23.48</v>
      </c>
      <c r="H298" s="12">
        <f t="shared" si="40"/>
        <v>1.0000046740109922</v>
      </c>
      <c r="I298" s="53" t="str">
        <f t="shared" si="41"/>
        <v>-34 16 38.04665</v>
      </c>
      <c r="J298" s="53" t="str">
        <f t="shared" si="42"/>
        <v>119 27 41.68955</v>
      </c>
      <c r="K298" s="54">
        <f t="shared" si="43"/>
        <v>1.0000046740109922</v>
      </c>
      <c r="L298" s="55" t="str">
        <f t="shared" si="44"/>
        <v>0 00 23.48</v>
      </c>
    </row>
    <row r="299" spans="1:12" x14ac:dyDescent="0.25">
      <c r="A299" s="13" t="s">
        <v>1050</v>
      </c>
      <c r="B299" s="14" t="s">
        <v>1051</v>
      </c>
      <c r="C299" s="14" t="s">
        <v>1052</v>
      </c>
      <c r="D299" s="9">
        <f t="shared" si="36"/>
        <v>53067.307636425801</v>
      </c>
      <c r="E299" s="10">
        <f t="shared" si="37"/>
        <v>257223.07790189423</v>
      </c>
      <c r="F299" s="11">
        <f t="shared" si="38"/>
        <v>1</v>
      </c>
      <c r="G299" s="11" t="str">
        <f t="shared" si="39"/>
        <v>0 00 32.02</v>
      </c>
      <c r="H299" s="12">
        <f t="shared" si="40"/>
        <v>1.0000288862658686</v>
      </c>
      <c r="I299" s="53" t="str">
        <f t="shared" si="41"/>
        <v>-17 53 53.68254</v>
      </c>
      <c r="J299" s="53" t="str">
        <f t="shared" si="42"/>
        <v>125 06 44.20357</v>
      </c>
      <c r="K299" s="54">
        <f t="shared" si="43"/>
        <v>1.0000288862658684</v>
      </c>
      <c r="L299" s="55" t="str">
        <f t="shared" si="44"/>
        <v>0 00 32.02</v>
      </c>
    </row>
    <row r="300" spans="1:12" x14ac:dyDescent="0.25">
      <c r="A300" s="13" t="s">
        <v>1053</v>
      </c>
      <c r="B300" s="14" t="s">
        <v>1054</v>
      </c>
      <c r="C300" s="14" t="s">
        <v>1055</v>
      </c>
      <c r="D300" s="9">
        <f t="shared" si="36"/>
        <v>53431.147427778917</v>
      </c>
      <c r="E300" s="10">
        <f t="shared" si="37"/>
        <v>299814.55837961473</v>
      </c>
      <c r="F300" s="11">
        <f t="shared" si="38"/>
        <v>1</v>
      </c>
      <c r="G300" s="11" t="str">
        <f t="shared" si="39"/>
        <v>0 01 13.16</v>
      </c>
      <c r="H300" s="12">
        <f t="shared" si="40"/>
        <v>1.0000320450768261</v>
      </c>
      <c r="I300" s="53" t="str">
        <f t="shared" si="41"/>
        <v>-33 25 35.93183</v>
      </c>
      <c r="J300" s="53" t="str">
        <f t="shared" si="42"/>
        <v>120 04 12.81317</v>
      </c>
      <c r="K300" s="54">
        <f t="shared" si="43"/>
        <v>1.0000320450768261</v>
      </c>
      <c r="L300" s="55" t="str">
        <f t="shared" si="44"/>
        <v>0 01 13.16</v>
      </c>
    </row>
    <row r="301" spans="1:12" x14ac:dyDescent="0.25">
      <c r="A301" s="13" t="s">
        <v>1056</v>
      </c>
      <c r="B301" s="14" t="s">
        <v>1057</v>
      </c>
      <c r="C301" s="14" t="s">
        <v>1058</v>
      </c>
      <c r="D301" s="9">
        <f t="shared" si="36"/>
        <v>52049.763244275542</v>
      </c>
      <c r="E301" s="10">
        <f t="shared" si="37"/>
        <v>238151.89885406336</v>
      </c>
      <c r="F301" s="11">
        <f t="shared" si="38"/>
        <v>1</v>
      </c>
      <c r="G301" s="11" t="str">
        <f t="shared" si="39"/>
        <v>0 00 25.86</v>
      </c>
      <c r="H301" s="12">
        <f t="shared" si="40"/>
        <v>1.0000495318939207</v>
      </c>
      <c r="I301" s="53" t="str">
        <f t="shared" si="41"/>
        <v>-21 19 06.28716</v>
      </c>
      <c r="J301" s="53" t="str">
        <f t="shared" si="42"/>
        <v>120 31 29.12196</v>
      </c>
      <c r="K301" s="54">
        <f t="shared" si="43"/>
        <v>1.0000495318939204</v>
      </c>
      <c r="L301" s="55" t="str">
        <f t="shared" si="44"/>
        <v>0 00 25.86</v>
      </c>
    </row>
    <row r="302" spans="1:12" x14ac:dyDescent="0.25">
      <c r="A302" s="13" t="s">
        <v>1059</v>
      </c>
      <c r="B302" s="14" t="s">
        <v>1060</v>
      </c>
      <c r="C302" s="14" t="s">
        <v>1061</v>
      </c>
      <c r="D302" s="9">
        <f t="shared" si="36"/>
        <v>56310.967344848526</v>
      </c>
      <c r="E302" s="10">
        <f t="shared" si="37"/>
        <v>216010.61760311387</v>
      </c>
      <c r="F302" s="11">
        <f t="shared" si="38"/>
        <v>1</v>
      </c>
      <c r="G302" s="11" t="str">
        <f t="shared" si="39"/>
        <v>0 01 11.99</v>
      </c>
      <c r="H302" s="12">
        <f t="shared" si="40"/>
        <v>1.0000053520906591</v>
      </c>
      <c r="I302" s="53" t="str">
        <f t="shared" si="41"/>
        <v>-19 26 11.12287</v>
      </c>
      <c r="J302" s="53" t="str">
        <f t="shared" si="42"/>
        <v>121 21 36.34513</v>
      </c>
      <c r="K302" s="54">
        <f t="shared" si="43"/>
        <v>1.0000053520906591</v>
      </c>
      <c r="L302" s="55" t="str">
        <f t="shared" si="44"/>
        <v>0 01 11.99</v>
      </c>
    </row>
    <row r="303" spans="1:12" x14ac:dyDescent="0.25">
      <c r="A303" s="13" t="s">
        <v>1062</v>
      </c>
      <c r="B303" s="14" t="s">
        <v>1063</v>
      </c>
      <c r="C303" s="14" t="s">
        <v>1064</v>
      </c>
      <c r="D303" s="9">
        <f t="shared" si="36"/>
        <v>51620.704558632329</v>
      </c>
      <c r="E303" s="10">
        <f t="shared" si="37"/>
        <v>356298.22586488444</v>
      </c>
      <c r="F303" s="11">
        <f t="shared" si="38"/>
        <v>1</v>
      </c>
      <c r="G303" s="11" t="str">
        <f t="shared" si="39"/>
        <v>0 00 33.90</v>
      </c>
      <c r="H303" s="12">
        <f t="shared" si="40"/>
        <v>1.000027842372496</v>
      </c>
      <c r="I303" s="53" t="str">
        <f t="shared" si="41"/>
        <v>-32 55 03.05929</v>
      </c>
      <c r="J303" s="53" t="str">
        <f t="shared" si="42"/>
        <v>121 43 02.37299</v>
      </c>
      <c r="K303" s="54">
        <f t="shared" si="43"/>
        <v>1.000027842372496</v>
      </c>
      <c r="L303" s="55" t="str">
        <f t="shared" si="44"/>
        <v>0 00 33.90</v>
      </c>
    </row>
    <row r="304" spans="1:12" x14ac:dyDescent="0.25">
      <c r="A304" s="13" t="s">
        <v>1065</v>
      </c>
      <c r="B304" s="14" t="s">
        <v>1066</v>
      </c>
      <c r="C304" s="14" t="s">
        <v>1067</v>
      </c>
      <c r="D304" s="9">
        <f t="shared" si="36"/>
        <v>49256.689921817422</v>
      </c>
      <c r="E304" s="10">
        <f t="shared" si="37"/>
        <v>206069.74615695002</v>
      </c>
      <c r="F304" s="11">
        <f t="shared" si="38"/>
        <v>1</v>
      </c>
      <c r="G304" s="11" t="str">
        <f t="shared" si="39"/>
        <v>0 00 14.55</v>
      </c>
      <c r="H304" s="12">
        <f t="shared" si="40"/>
        <v>1.0000528068116805</v>
      </c>
      <c r="I304" s="53" t="str">
        <f t="shared" si="41"/>
        <v>-31 12 19.45933</v>
      </c>
      <c r="J304" s="53" t="str">
        <f t="shared" si="42"/>
        <v>119 02 31.92230</v>
      </c>
      <c r="K304" s="54">
        <f t="shared" si="43"/>
        <v>1.0000528068116805</v>
      </c>
      <c r="L304" s="55" t="str">
        <f t="shared" si="44"/>
        <v>0 00 14.55</v>
      </c>
    </row>
    <row r="305" spans="1:12" x14ac:dyDescent="0.25">
      <c r="A305" s="13" t="s">
        <v>1068</v>
      </c>
      <c r="B305" s="14" t="s">
        <v>1069</v>
      </c>
      <c r="C305" s="14" t="s">
        <v>1070</v>
      </c>
      <c r="D305" s="9">
        <f t="shared" si="36"/>
        <v>54820.849968086346</v>
      </c>
      <c r="E305" s="10">
        <f t="shared" si="37"/>
        <v>235368.69039649284</v>
      </c>
      <c r="F305" s="11">
        <f t="shared" si="38"/>
        <v>1</v>
      </c>
      <c r="G305" s="11" t="str">
        <f t="shared" si="39"/>
        <v>0 01 48.10</v>
      </c>
      <c r="H305" s="12">
        <f t="shared" si="40"/>
        <v>1.0000080463192775</v>
      </c>
      <c r="I305" s="53" t="str">
        <f t="shared" si="41"/>
        <v>-34 45 56.52500</v>
      </c>
      <c r="J305" s="53" t="str">
        <f t="shared" si="42"/>
        <v>116 30 09.57265</v>
      </c>
      <c r="K305" s="54">
        <f t="shared" si="43"/>
        <v>1.0000080463192775</v>
      </c>
      <c r="L305" s="55" t="str">
        <f t="shared" si="44"/>
        <v>0 01 48.10</v>
      </c>
    </row>
    <row r="306" spans="1:12" x14ac:dyDescent="0.25">
      <c r="A306" s="13" t="s">
        <v>1071</v>
      </c>
      <c r="B306" s="14" t="s">
        <v>1072</v>
      </c>
      <c r="C306" s="14" t="s">
        <v>1073</v>
      </c>
      <c r="D306" s="9">
        <f t="shared" si="36"/>
        <v>54503.640401202276</v>
      </c>
      <c r="E306" s="10">
        <f t="shared" si="37"/>
        <v>226504.11857510544</v>
      </c>
      <c r="F306" s="11">
        <f t="shared" si="38"/>
        <v>1</v>
      </c>
      <c r="G306" s="11" t="str">
        <f t="shared" si="39"/>
        <v>0 00 54.58</v>
      </c>
      <c r="H306" s="12">
        <f t="shared" si="40"/>
        <v>1.0000110905562551</v>
      </c>
      <c r="I306" s="53" t="str">
        <f t="shared" si="41"/>
        <v>-20 33 06.99527</v>
      </c>
      <c r="J306" s="53" t="str">
        <f t="shared" si="42"/>
        <v>119 17 35.47867</v>
      </c>
      <c r="K306" s="54">
        <f t="shared" si="43"/>
        <v>1.0000110905562554</v>
      </c>
      <c r="L306" s="55" t="str">
        <f t="shared" si="44"/>
        <v>0 00 54.58</v>
      </c>
    </row>
    <row r="307" spans="1:12" x14ac:dyDescent="0.25">
      <c r="A307" s="13" t="s">
        <v>1074</v>
      </c>
      <c r="B307" s="14" t="s">
        <v>1075</v>
      </c>
      <c r="C307" s="14" t="s">
        <v>1076</v>
      </c>
      <c r="D307" s="9">
        <f t="shared" si="36"/>
        <v>51582.47508445241</v>
      </c>
      <c r="E307" s="10">
        <f t="shared" si="37"/>
        <v>256032.49818281736</v>
      </c>
      <c r="F307" s="11">
        <f t="shared" si="38"/>
        <v>1</v>
      </c>
      <c r="G307" s="11" t="str">
        <f t="shared" si="39"/>
        <v>0 00 25.43</v>
      </c>
      <c r="H307" s="12">
        <f t="shared" si="40"/>
        <v>1.000083540901785</v>
      </c>
      <c r="I307" s="53" t="str">
        <f t="shared" si="41"/>
        <v>-26 26 14.84797</v>
      </c>
      <c r="J307" s="53" t="str">
        <f t="shared" si="42"/>
        <v>118 52 47.11055</v>
      </c>
      <c r="K307" s="54">
        <f t="shared" si="43"/>
        <v>1.000083540901785</v>
      </c>
      <c r="L307" s="55" t="str">
        <f t="shared" si="44"/>
        <v>0 00 25.43</v>
      </c>
    </row>
    <row r="308" spans="1:12" x14ac:dyDescent="0.25">
      <c r="A308" s="13" t="s">
        <v>1077</v>
      </c>
      <c r="B308" s="14" t="s">
        <v>1078</v>
      </c>
      <c r="C308" s="14" t="s">
        <v>1079</v>
      </c>
      <c r="D308" s="9">
        <f t="shared" si="36"/>
        <v>52245.7177356877</v>
      </c>
      <c r="E308" s="10">
        <f t="shared" si="37"/>
        <v>255768.53211684525</v>
      </c>
      <c r="F308" s="11">
        <f t="shared" si="38"/>
        <v>1</v>
      </c>
      <c r="G308" s="11" t="str">
        <f t="shared" si="39"/>
        <v>0 00 48.28</v>
      </c>
      <c r="H308" s="12">
        <f t="shared" si="40"/>
        <v>1.0000068221469978</v>
      </c>
      <c r="I308" s="53" t="str">
        <f t="shared" si="41"/>
        <v>-33 38 39.43259</v>
      </c>
      <c r="J308" s="53" t="str">
        <f t="shared" si="42"/>
        <v>121 12 27.14774</v>
      </c>
      <c r="K308" s="54">
        <f t="shared" si="43"/>
        <v>1.000006822146998</v>
      </c>
      <c r="L308" s="55" t="str">
        <f t="shared" si="44"/>
        <v>0 00 48.28</v>
      </c>
    </row>
    <row r="309" spans="1:12" x14ac:dyDescent="0.25">
      <c r="A309" s="13" t="s">
        <v>1080</v>
      </c>
      <c r="B309" s="14" t="s">
        <v>1081</v>
      </c>
      <c r="C309" s="14" t="s">
        <v>1082</v>
      </c>
      <c r="D309" s="9">
        <f t="shared" si="36"/>
        <v>54180.562113975378</v>
      </c>
      <c r="E309" s="10">
        <f t="shared" si="37"/>
        <v>264247.73212957801</v>
      </c>
      <c r="F309" s="11">
        <f t="shared" si="38"/>
        <v>1</v>
      </c>
      <c r="G309" s="11" t="str">
        <f t="shared" si="39"/>
        <v>0 00 52.32</v>
      </c>
      <c r="H309" s="12">
        <f t="shared" si="40"/>
        <v>1.000014675875877</v>
      </c>
      <c r="I309" s="53" t="str">
        <f t="shared" si="41"/>
        <v>-21 09 57.78875</v>
      </c>
      <c r="J309" s="53" t="str">
        <f t="shared" si="42"/>
        <v>116 26 24.91174</v>
      </c>
      <c r="K309" s="54">
        <f t="shared" si="43"/>
        <v>1.000014675875877</v>
      </c>
      <c r="L309" s="55" t="str">
        <f t="shared" si="44"/>
        <v>0 00 52.32</v>
      </c>
    </row>
    <row r="310" spans="1:12" x14ac:dyDescent="0.25">
      <c r="A310" s="13" t="s">
        <v>1083</v>
      </c>
      <c r="B310" s="14" t="s">
        <v>1084</v>
      </c>
      <c r="C310" s="14" t="s">
        <v>1085</v>
      </c>
      <c r="D310" s="9">
        <f t="shared" si="36"/>
        <v>56307.337706652354</v>
      </c>
      <c r="E310" s="10">
        <f t="shared" si="37"/>
        <v>217985.98821116053</v>
      </c>
      <c r="F310" s="11">
        <f t="shared" si="38"/>
        <v>1</v>
      </c>
      <c r="G310" s="11" t="str">
        <f t="shared" si="39"/>
        <v>0 01 46.91</v>
      </c>
      <c r="H310" s="12">
        <f t="shared" si="40"/>
        <v>1.0000616508056197</v>
      </c>
      <c r="I310" s="53" t="str">
        <f t="shared" si="41"/>
        <v>-27 40 42.95507</v>
      </c>
      <c r="J310" s="53" t="str">
        <f t="shared" si="42"/>
        <v>124 05 38.15232</v>
      </c>
      <c r="K310" s="54">
        <f t="shared" si="43"/>
        <v>1.0000616508056197</v>
      </c>
      <c r="L310" s="55" t="str">
        <f t="shared" si="44"/>
        <v>0 01 46.91</v>
      </c>
    </row>
    <row r="311" spans="1:12" x14ac:dyDescent="0.25">
      <c r="A311" s="13" t="s">
        <v>1086</v>
      </c>
      <c r="B311" s="14" t="s">
        <v>1087</v>
      </c>
      <c r="C311" s="14" t="s">
        <v>1088</v>
      </c>
      <c r="D311" s="9">
        <f t="shared" si="36"/>
        <v>57698.880596414798</v>
      </c>
      <c r="E311" s="10">
        <f t="shared" si="37"/>
        <v>242587.7805841337</v>
      </c>
      <c r="F311" s="11">
        <f t="shared" si="38"/>
        <v>1</v>
      </c>
      <c r="G311" s="11" t="str">
        <f t="shared" si="39"/>
        <v>0 02 46.37</v>
      </c>
      <c r="H311" s="12">
        <f t="shared" si="40"/>
        <v>1.0000514803536724</v>
      </c>
      <c r="I311" s="53" t="str">
        <f t="shared" si="41"/>
        <v>-33 46 46.71458</v>
      </c>
      <c r="J311" s="53" t="str">
        <f t="shared" si="42"/>
        <v>118 26 59.22010</v>
      </c>
      <c r="K311" s="54">
        <f t="shared" si="43"/>
        <v>1.0000514803536724</v>
      </c>
      <c r="L311" s="55" t="str">
        <f t="shared" si="44"/>
        <v>0 02 46.37</v>
      </c>
    </row>
    <row r="312" spans="1:12" x14ac:dyDescent="0.25">
      <c r="A312" s="13" t="s">
        <v>1089</v>
      </c>
      <c r="B312" s="14" t="s">
        <v>1090</v>
      </c>
      <c r="C312" s="14" t="s">
        <v>1091</v>
      </c>
      <c r="D312" s="9">
        <f t="shared" si="36"/>
        <v>52205.936685543988</v>
      </c>
      <c r="E312" s="10">
        <f t="shared" si="37"/>
        <v>202700.57328971196</v>
      </c>
      <c r="F312" s="11">
        <f t="shared" si="38"/>
        <v>1</v>
      </c>
      <c r="G312" s="11" t="str">
        <f t="shared" si="39"/>
        <v>0 00 37.09</v>
      </c>
      <c r="H312" s="12">
        <f t="shared" si="40"/>
        <v>1.0000677600366128</v>
      </c>
      <c r="I312" s="53" t="str">
        <f t="shared" si="41"/>
        <v>-27 29 29.43722</v>
      </c>
      <c r="J312" s="53" t="str">
        <f t="shared" si="42"/>
        <v>124 42 52.35678</v>
      </c>
      <c r="K312" s="54">
        <f t="shared" si="43"/>
        <v>1.0000677600366128</v>
      </c>
      <c r="L312" s="55" t="str">
        <f t="shared" si="44"/>
        <v>0 00 37.09</v>
      </c>
    </row>
    <row r="313" spans="1:12" x14ac:dyDescent="0.25">
      <c r="A313" s="13" t="s">
        <v>1092</v>
      </c>
      <c r="B313" s="14" t="s">
        <v>1093</v>
      </c>
      <c r="C313" s="14" t="s">
        <v>1094</v>
      </c>
      <c r="D313" s="9">
        <f t="shared" si="36"/>
        <v>56362.732269268847</v>
      </c>
      <c r="E313" s="10">
        <f t="shared" si="37"/>
        <v>274379.60625122394</v>
      </c>
      <c r="F313" s="11">
        <f t="shared" si="38"/>
        <v>1</v>
      </c>
      <c r="G313" s="11" t="str">
        <f t="shared" si="39"/>
        <v>0 01 24.66</v>
      </c>
      <c r="H313" s="12">
        <f t="shared" si="40"/>
        <v>1.0001015299192504</v>
      </c>
      <c r="I313" s="53" t="str">
        <f t="shared" si="41"/>
        <v>-22 22 31.42128</v>
      </c>
      <c r="J313" s="53" t="str">
        <f t="shared" si="42"/>
        <v>117 47 42.38981</v>
      </c>
      <c r="K313" s="54">
        <f t="shared" si="43"/>
        <v>1.0001015299192506</v>
      </c>
      <c r="L313" s="55" t="str">
        <f t="shared" si="44"/>
        <v>0 01 24.66</v>
      </c>
    </row>
    <row r="314" spans="1:12" x14ac:dyDescent="0.25">
      <c r="A314" s="13" t="s">
        <v>1095</v>
      </c>
      <c r="B314" s="14" t="s">
        <v>1096</v>
      </c>
      <c r="C314" s="14" t="s">
        <v>1097</v>
      </c>
      <c r="D314" s="9">
        <f t="shared" si="36"/>
        <v>55917.532285015754</v>
      </c>
      <c r="E314" s="10">
        <f t="shared" si="37"/>
        <v>272170.25889547355</v>
      </c>
      <c r="F314" s="11">
        <f t="shared" si="38"/>
        <v>1</v>
      </c>
      <c r="G314" s="11" t="str">
        <f t="shared" si="39"/>
        <v>0 01 19.49</v>
      </c>
      <c r="H314" s="12">
        <f t="shared" si="40"/>
        <v>1.0000257324272286</v>
      </c>
      <c r="I314" s="53" t="str">
        <f t="shared" si="41"/>
        <v>-22 33 57.90726</v>
      </c>
      <c r="J314" s="53" t="str">
        <f t="shared" si="42"/>
        <v>115 59 27.12818</v>
      </c>
      <c r="K314" s="54">
        <f t="shared" si="43"/>
        <v>1.0000257324272288</v>
      </c>
      <c r="L314" s="55" t="str">
        <f t="shared" si="44"/>
        <v>0 01 19.49</v>
      </c>
    </row>
    <row r="315" spans="1:12" x14ac:dyDescent="0.25">
      <c r="A315" s="13" t="s">
        <v>1098</v>
      </c>
      <c r="B315" s="14" t="s">
        <v>1099</v>
      </c>
      <c r="C315" s="14" t="s">
        <v>1100</v>
      </c>
      <c r="D315" s="9">
        <f t="shared" si="36"/>
        <v>57064.568558037354</v>
      </c>
      <c r="E315" s="10">
        <f t="shared" si="37"/>
        <v>216281.67031528335</v>
      </c>
      <c r="F315" s="11">
        <f t="shared" si="38"/>
        <v>1</v>
      </c>
      <c r="G315" s="11" t="str">
        <f t="shared" si="39"/>
        <v>0 02 23.71</v>
      </c>
      <c r="H315" s="12">
        <f t="shared" si="40"/>
        <v>1.0000161651933355</v>
      </c>
      <c r="I315" s="53" t="str">
        <f t="shared" si="41"/>
        <v>-32 11 47.99810</v>
      </c>
      <c r="J315" s="53" t="str">
        <f t="shared" si="42"/>
        <v>125 15 29.71904</v>
      </c>
      <c r="K315" s="54">
        <f t="shared" si="43"/>
        <v>1.0000161651933355</v>
      </c>
      <c r="L315" s="55" t="str">
        <f t="shared" si="44"/>
        <v>0 02 23.71</v>
      </c>
    </row>
    <row r="316" spans="1:12" x14ac:dyDescent="0.25">
      <c r="A316" s="13" t="s">
        <v>1101</v>
      </c>
      <c r="B316" s="14" t="s">
        <v>1102</v>
      </c>
      <c r="C316" s="14" t="s">
        <v>1103</v>
      </c>
      <c r="D316" s="9">
        <f t="shared" si="36"/>
        <v>56496.595799968731</v>
      </c>
      <c r="E316" s="10">
        <f t="shared" si="37"/>
        <v>207293.05755522754</v>
      </c>
      <c r="F316" s="11">
        <f t="shared" si="38"/>
        <v>1</v>
      </c>
      <c r="G316" s="11" t="str">
        <f t="shared" si="39"/>
        <v>0 01 55.35</v>
      </c>
      <c r="H316" s="12">
        <f t="shared" si="40"/>
        <v>1.0000053106185209</v>
      </c>
      <c r="I316" s="53" t="str">
        <f t="shared" si="41"/>
        <v>-28 47 14.11555</v>
      </c>
      <c r="J316" s="53" t="str">
        <f t="shared" si="42"/>
        <v>114 52 59.53469</v>
      </c>
      <c r="K316" s="54">
        <f t="shared" si="43"/>
        <v>1.0000053106185209</v>
      </c>
      <c r="L316" s="55" t="str">
        <f t="shared" si="44"/>
        <v>0 01 55.35</v>
      </c>
    </row>
    <row r="317" spans="1:12" x14ac:dyDescent="0.25">
      <c r="A317" s="13" t="s">
        <v>1104</v>
      </c>
      <c r="B317" s="14" t="s">
        <v>1105</v>
      </c>
      <c r="C317" s="14" t="s">
        <v>1106</v>
      </c>
      <c r="D317" s="9">
        <f t="shared" si="36"/>
        <v>100174.16553407791</v>
      </c>
      <c r="E317" s="10">
        <f t="shared" si="37"/>
        <v>242892.99526526872</v>
      </c>
      <c r="F317" s="11">
        <f t="shared" si="38"/>
        <v>1</v>
      </c>
      <c r="G317" s="11" t="str">
        <f t="shared" si="39"/>
        <v>0 00 02.03</v>
      </c>
      <c r="H317" s="12">
        <f t="shared" si="40"/>
        <v>1.0000054703747583</v>
      </c>
      <c r="I317" s="53" t="str">
        <f t="shared" si="41"/>
        <v>-19 50 38.34992</v>
      </c>
      <c r="J317" s="53" t="str">
        <f t="shared" si="42"/>
        <v>120 34 40.98562</v>
      </c>
      <c r="K317" s="54">
        <f t="shared" si="43"/>
        <v>1.0000054703747583</v>
      </c>
      <c r="L317" s="55" t="str">
        <f t="shared" si="44"/>
        <v>0 00 02.03</v>
      </c>
    </row>
    <row r="318" spans="1:12" x14ac:dyDescent="0.25">
      <c r="A318" s="13" t="s">
        <v>1107</v>
      </c>
      <c r="B318" s="14" t="s">
        <v>1108</v>
      </c>
      <c r="C318" s="14" t="s">
        <v>1109</v>
      </c>
      <c r="D318" s="9">
        <f t="shared" si="36"/>
        <v>51060.287097892498</v>
      </c>
      <c r="E318" s="10">
        <f t="shared" si="37"/>
        <v>260401.5539089432</v>
      </c>
      <c r="F318" s="11">
        <f t="shared" si="38"/>
        <v>1</v>
      </c>
      <c r="G318" s="11" t="str">
        <f t="shared" si="39"/>
        <v>0 00 23.97</v>
      </c>
      <c r="H318" s="12">
        <f t="shared" si="40"/>
        <v>1.0000014438494185</v>
      </c>
      <c r="I318" s="53" t="str">
        <f t="shared" si="41"/>
        <v>-34 59 27.54834</v>
      </c>
      <c r="J318" s="53" t="str">
        <f t="shared" si="42"/>
        <v>116 41 41.80837</v>
      </c>
      <c r="K318" s="54">
        <f t="shared" si="43"/>
        <v>1.0000014438494185</v>
      </c>
      <c r="L318" s="55" t="str">
        <f t="shared" si="44"/>
        <v>0 00 23.97</v>
      </c>
    </row>
    <row r="319" spans="1:12" x14ac:dyDescent="0.25">
      <c r="A319" s="13" t="s">
        <v>1110</v>
      </c>
      <c r="B319" s="14" t="s">
        <v>1111</v>
      </c>
      <c r="C319" s="14" t="s">
        <v>1112</v>
      </c>
      <c r="D319" s="9">
        <f t="shared" si="36"/>
        <v>58425.098123970129</v>
      </c>
      <c r="E319" s="10">
        <f t="shared" si="37"/>
        <v>210359.98959805025</v>
      </c>
      <c r="F319" s="11">
        <f t="shared" si="38"/>
        <v>1</v>
      </c>
      <c r="G319" s="11" t="str">
        <f t="shared" si="39"/>
        <v>0 02 11.23</v>
      </c>
      <c r="H319" s="12">
        <f t="shared" si="40"/>
        <v>1.000082206026365</v>
      </c>
      <c r="I319" s="53" t="str">
        <f t="shared" si="41"/>
        <v>-25 44 03.70774</v>
      </c>
      <c r="J319" s="53" t="str">
        <f t="shared" si="42"/>
        <v>127 20 12.24571</v>
      </c>
      <c r="K319" s="54">
        <f t="shared" si="43"/>
        <v>1.000082206026365</v>
      </c>
      <c r="L319" s="55" t="str">
        <f t="shared" si="44"/>
        <v>0 02 11.23</v>
      </c>
    </row>
    <row r="320" spans="1:12" x14ac:dyDescent="0.25">
      <c r="A320" s="13" t="s">
        <v>1113</v>
      </c>
      <c r="B320" s="14" t="s">
        <v>1114</v>
      </c>
      <c r="C320" s="14" t="s">
        <v>1115</v>
      </c>
      <c r="D320" s="9">
        <f t="shared" si="36"/>
        <v>57003.797145084471</v>
      </c>
      <c r="E320" s="10">
        <f t="shared" si="37"/>
        <v>246756.15708570695</v>
      </c>
      <c r="F320" s="11">
        <f t="shared" si="38"/>
        <v>1</v>
      </c>
      <c r="G320" s="11" t="str">
        <f t="shared" si="39"/>
        <v>0 01 45.33</v>
      </c>
      <c r="H320" s="12">
        <f t="shared" si="40"/>
        <v>1.0000938354670339</v>
      </c>
      <c r="I320" s="53" t="str">
        <f t="shared" si="41"/>
        <v>-24 57 15.24550</v>
      </c>
      <c r="J320" s="53" t="str">
        <f t="shared" si="42"/>
        <v>128 41 56.64800</v>
      </c>
      <c r="K320" s="54">
        <f t="shared" si="43"/>
        <v>1.0000938354670339</v>
      </c>
      <c r="L320" s="55" t="str">
        <f t="shared" si="44"/>
        <v>0 01 45.33</v>
      </c>
    </row>
    <row r="321" spans="1:12" x14ac:dyDescent="0.25">
      <c r="A321" s="13" t="s">
        <v>1116</v>
      </c>
      <c r="B321" s="14" t="s">
        <v>1117</v>
      </c>
      <c r="C321" s="14" t="s">
        <v>1118</v>
      </c>
      <c r="D321" s="9">
        <f t="shared" si="36"/>
        <v>57485.049408351522</v>
      </c>
      <c r="E321" s="10">
        <f t="shared" si="37"/>
        <v>224859.88784391107</v>
      </c>
      <c r="F321" s="11">
        <f t="shared" si="38"/>
        <v>1</v>
      </c>
      <c r="G321" s="11" t="str">
        <f t="shared" si="39"/>
        <v>0 01 58.45</v>
      </c>
      <c r="H321" s="12">
        <f t="shared" si="40"/>
        <v>1.0000837613967601</v>
      </c>
      <c r="I321" s="53" t="str">
        <f t="shared" si="41"/>
        <v>-26 05 27.00877</v>
      </c>
      <c r="J321" s="53" t="str">
        <f t="shared" si="42"/>
        <v>126 48 06.33002</v>
      </c>
      <c r="K321" s="54">
        <f t="shared" si="43"/>
        <v>1.0000837613967599</v>
      </c>
      <c r="L321" s="55" t="str">
        <f t="shared" si="44"/>
        <v>0 01 58.45</v>
      </c>
    </row>
    <row r="322" spans="1:12" x14ac:dyDescent="0.25">
      <c r="A322" s="13" t="s">
        <v>1119</v>
      </c>
      <c r="B322" s="14" t="s">
        <v>1120</v>
      </c>
      <c r="C322" s="14" t="s">
        <v>1121</v>
      </c>
      <c r="D322" s="9">
        <f t="shared" si="36"/>
        <v>50022.590482143576</v>
      </c>
      <c r="E322" s="10">
        <f t="shared" si="37"/>
        <v>276229.79939045245</v>
      </c>
      <c r="F322" s="11">
        <f t="shared" si="38"/>
        <v>1</v>
      </c>
      <c r="G322" s="11" t="str">
        <f t="shared" si="39"/>
        <v>0 00 00.42</v>
      </c>
      <c r="H322" s="12">
        <f t="shared" si="40"/>
        <v>1.0000205800062933</v>
      </c>
      <c r="I322" s="53" t="str">
        <f t="shared" si="41"/>
        <v>-30 01 56.53520</v>
      </c>
      <c r="J322" s="53" t="str">
        <f t="shared" si="42"/>
        <v>115 19 00.84313</v>
      </c>
      <c r="K322" s="54">
        <f t="shared" si="43"/>
        <v>1.0000205800062933</v>
      </c>
      <c r="L322" s="55" t="str">
        <f t="shared" si="44"/>
        <v>0 00 00.42</v>
      </c>
    </row>
    <row r="323" spans="1:12" x14ac:dyDescent="0.25">
      <c r="A323" s="13" t="s">
        <v>1122</v>
      </c>
      <c r="B323" s="14" t="s">
        <v>1123</v>
      </c>
      <c r="C323" s="14" t="s">
        <v>1124</v>
      </c>
      <c r="D323" s="9">
        <f t="shared" ref="D323:D342" si="45">grideasting(B323,C323,A323)</f>
        <v>51525.841601979118</v>
      </c>
      <c r="E323" s="10">
        <f t="shared" ref="E323:E342" si="46">gridnorthing(B323,C323,A323)</f>
        <v>243141.60871081473</v>
      </c>
      <c r="F323" s="11">
        <f t="shared" ref="F323:F342" si="47">gridzone(B323,C323,A323)</f>
        <v>1</v>
      </c>
      <c r="G323" s="11" t="str">
        <f t="shared" ref="G323:G342" si="48">GridGridCon(B323,C323,A323)</f>
        <v>0 00 18.70</v>
      </c>
      <c r="H323" s="12">
        <f t="shared" ref="H323:H342" si="49">GridPntScleFact(B323,C323,A323)</f>
        <v>1.0000169987594065</v>
      </c>
      <c r="I323" s="53" t="str">
        <f t="shared" ref="I323:I342" si="50">datumlat(D323,E323,F323,A323)</f>
        <v>-20 45 46.21626</v>
      </c>
      <c r="J323" s="53" t="str">
        <f t="shared" ref="J323:J342" si="51">datumlong(D323,E323,F323,A323)</f>
        <v>119 39 52.74886</v>
      </c>
      <c r="K323" s="54">
        <f t="shared" ref="K323:K342" si="52">DatumPntScle(D323,E323,F323,A323)</f>
        <v>1.0000169987594065</v>
      </c>
      <c r="L323" s="55" t="str">
        <f t="shared" ref="L323:L342" si="53">DatumGridConv(D323,E323,F323,A323)</f>
        <v>0 00 18.70</v>
      </c>
    </row>
    <row r="324" spans="1:12" x14ac:dyDescent="0.25">
      <c r="A324" s="13" t="s">
        <v>1125</v>
      </c>
      <c r="B324" s="14" t="s">
        <v>1126</v>
      </c>
      <c r="C324" s="14" t="s">
        <v>1127</v>
      </c>
      <c r="D324" s="9">
        <f t="shared" si="45"/>
        <v>55134.272988516866</v>
      </c>
      <c r="E324" s="10">
        <f t="shared" si="46"/>
        <v>214807.89967548894</v>
      </c>
      <c r="F324" s="11">
        <f t="shared" si="47"/>
        <v>1</v>
      </c>
      <c r="G324" s="11" t="str">
        <f t="shared" si="48"/>
        <v>0 01 29.41</v>
      </c>
      <c r="H324" s="12">
        <f t="shared" si="49"/>
        <v>1.00006634517642</v>
      </c>
      <c r="I324" s="53" t="str">
        <f t="shared" si="50"/>
        <v>-28 19 14.57540</v>
      </c>
      <c r="J324" s="53" t="str">
        <f t="shared" si="51"/>
        <v>121 03 08.46058</v>
      </c>
      <c r="K324" s="54">
        <f t="shared" si="52"/>
        <v>1.0000663451764198</v>
      </c>
      <c r="L324" s="55" t="str">
        <f t="shared" si="53"/>
        <v>0 01 29.41</v>
      </c>
    </row>
    <row r="325" spans="1:12" x14ac:dyDescent="0.25">
      <c r="A325" s="13" t="s">
        <v>1128</v>
      </c>
      <c r="B325" s="14" t="s">
        <v>1129</v>
      </c>
      <c r="C325" s="14" t="s">
        <v>1130</v>
      </c>
      <c r="D325" s="9">
        <f t="shared" si="45"/>
        <v>52683.920676196576</v>
      </c>
      <c r="E325" s="10">
        <f t="shared" si="46"/>
        <v>269743.55459609628</v>
      </c>
      <c r="F325" s="11">
        <f t="shared" si="47"/>
        <v>1</v>
      </c>
      <c r="G325" s="11" t="str">
        <f t="shared" si="48"/>
        <v>0 00 36.59</v>
      </c>
      <c r="H325" s="12">
        <f t="shared" si="49"/>
        <v>1.0001037589436921</v>
      </c>
      <c r="I325" s="53" t="str">
        <f t="shared" si="50"/>
        <v>-22 52 07.21963</v>
      </c>
      <c r="J325" s="53" t="str">
        <f t="shared" si="51"/>
        <v>119 02 29.14321</v>
      </c>
      <c r="K325" s="54">
        <f t="shared" si="52"/>
        <v>1.0001037589436921</v>
      </c>
      <c r="L325" s="55" t="str">
        <f t="shared" si="53"/>
        <v>0 00 36.59</v>
      </c>
    </row>
    <row r="326" spans="1:12" x14ac:dyDescent="0.25">
      <c r="A326" s="13" t="s">
        <v>1131</v>
      </c>
      <c r="B326" s="14" t="s">
        <v>1132</v>
      </c>
      <c r="C326" s="14" t="s">
        <v>1133</v>
      </c>
      <c r="D326" s="9">
        <f t="shared" si="45"/>
        <v>51132.52544266999</v>
      </c>
      <c r="E326" s="10">
        <f t="shared" si="46"/>
        <v>291919.21826986084</v>
      </c>
      <c r="F326" s="11">
        <f t="shared" si="47"/>
        <v>1</v>
      </c>
      <c r="G326" s="11" t="str">
        <f t="shared" si="48"/>
        <v>0 00 13.95</v>
      </c>
      <c r="H326" s="12">
        <f t="shared" si="49"/>
        <v>1.0000053558436466</v>
      </c>
      <c r="I326" s="53" t="str">
        <f t="shared" si="50"/>
        <v>-20 51 51.99149</v>
      </c>
      <c r="J326" s="53" t="str">
        <f t="shared" si="51"/>
        <v>117 46 39.17849</v>
      </c>
      <c r="K326" s="54">
        <f t="shared" si="52"/>
        <v>1.0000053558436466</v>
      </c>
      <c r="L326" s="55" t="str">
        <f t="shared" si="53"/>
        <v>0 00 13.95</v>
      </c>
    </row>
    <row r="327" spans="1:12" x14ac:dyDescent="0.25">
      <c r="A327" s="13" t="s">
        <v>1134</v>
      </c>
      <c r="B327" s="14" t="s">
        <v>1135</v>
      </c>
      <c r="C327" s="14" t="s">
        <v>1136</v>
      </c>
      <c r="D327" s="9">
        <f t="shared" si="45"/>
        <v>50868.613438460867</v>
      </c>
      <c r="E327" s="10">
        <f t="shared" si="46"/>
        <v>198397.01266673533</v>
      </c>
      <c r="F327" s="11">
        <f t="shared" si="47"/>
        <v>1</v>
      </c>
      <c r="G327" s="11" t="str">
        <f t="shared" si="48"/>
        <v>0 00 10.67</v>
      </c>
      <c r="H327" s="12">
        <f t="shared" si="49"/>
        <v>1.0000045693200144</v>
      </c>
      <c r="I327" s="53" t="str">
        <f t="shared" si="50"/>
        <v>-20 48 21.41986</v>
      </c>
      <c r="J327" s="53" t="str">
        <f t="shared" si="51"/>
        <v>117 56 30.03716</v>
      </c>
      <c r="K327" s="54">
        <f t="shared" si="52"/>
        <v>1.0000045693200144</v>
      </c>
      <c r="L327" s="55" t="str">
        <f t="shared" si="53"/>
        <v>0 00 10.67</v>
      </c>
    </row>
    <row r="328" spans="1:12" x14ac:dyDescent="0.25">
      <c r="A328" s="13" t="s">
        <v>1137</v>
      </c>
      <c r="B328" s="14" t="s">
        <v>1138</v>
      </c>
      <c r="C328" s="14" t="s">
        <v>1139</v>
      </c>
      <c r="D328" s="9">
        <f t="shared" si="45"/>
        <v>53712.175320290044</v>
      </c>
      <c r="E328" s="10">
        <f t="shared" si="46"/>
        <v>291774.9749629451</v>
      </c>
      <c r="F328" s="11">
        <f t="shared" si="47"/>
        <v>1</v>
      </c>
      <c r="G328" s="11" t="str">
        <f t="shared" si="48"/>
        <v>0 00 45.74</v>
      </c>
      <c r="H328" s="12">
        <f t="shared" si="49"/>
        <v>1.0000017402227979</v>
      </c>
      <c r="I328" s="53" t="str">
        <f t="shared" si="50"/>
        <v>-20 51 56.95247</v>
      </c>
      <c r="J328" s="53" t="str">
        <f t="shared" si="51"/>
        <v>117 36 08.42033</v>
      </c>
      <c r="K328" s="54">
        <f t="shared" si="52"/>
        <v>1.0000017402227979</v>
      </c>
      <c r="L328" s="55" t="str">
        <f t="shared" si="53"/>
        <v>0 00 45.74</v>
      </c>
    </row>
    <row r="329" spans="1:12" x14ac:dyDescent="0.25">
      <c r="A329" s="13" t="s">
        <v>1140</v>
      </c>
      <c r="B329" s="14" t="s">
        <v>1141</v>
      </c>
      <c r="C329" s="14" t="s">
        <v>1142</v>
      </c>
      <c r="D329" s="9">
        <f t="shared" si="45"/>
        <v>50892.053825838084</v>
      </c>
      <c r="E329" s="10">
        <f t="shared" si="46"/>
        <v>210299.1828971128</v>
      </c>
      <c r="F329" s="11">
        <f t="shared" si="47"/>
        <v>1</v>
      </c>
      <c r="G329" s="11" t="str">
        <f t="shared" si="48"/>
        <v>0 00 15.30</v>
      </c>
      <c r="H329" s="12">
        <f t="shared" si="49"/>
        <v>1.0000670698168668</v>
      </c>
      <c r="I329" s="53" t="str">
        <f t="shared" si="50"/>
        <v>-27 57 51.73222</v>
      </c>
      <c r="J329" s="53" t="str">
        <f t="shared" si="51"/>
        <v>123 21 43.63585</v>
      </c>
      <c r="K329" s="54">
        <f t="shared" si="52"/>
        <v>1.000067069816867</v>
      </c>
      <c r="L329" s="55" t="str">
        <f t="shared" si="53"/>
        <v>0 00 15.30</v>
      </c>
    </row>
    <row r="330" spans="1:12" x14ac:dyDescent="0.25">
      <c r="A330" s="13" t="s">
        <v>1143</v>
      </c>
      <c r="B330" s="14" t="s">
        <v>1144</v>
      </c>
      <c r="C330" s="14" t="s">
        <v>1145</v>
      </c>
      <c r="D330" s="9">
        <f t="shared" si="45"/>
        <v>51807.877279714754</v>
      </c>
      <c r="E330" s="10">
        <f t="shared" si="46"/>
        <v>135985.29189398885</v>
      </c>
      <c r="F330" s="11">
        <f t="shared" si="47"/>
        <v>1</v>
      </c>
      <c r="G330" s="11" t="str">
        <f t="shared" si="48"/>
        <v>0 00 29.33</v>
      </c>
      <c r="H330" s="12">
        <f t="shared" si="49"/>
        <v>1.0000766203304203</v>
      </c>
      <c r="I330" s="53" t="str">
        <f t="shared" si="50"/>
        <v>-26 39 30.49855</v>
      </c>
      <c r="J330" s="53" t="str">
        <f t="shared" si="51"/>
        <v>120 13 05.37082</v>
      </c>
      <c r="K330" s="54">
        <f t="shared" si="52"/>
        <v>1.0000766203304201</v>
      </c>
      <c r="L330" s="55" t="str">
        <f t="shared" si="53"/>
        <v>0 00 29.33</v>
      </c>
    </row>
    <row r="331" spans="1:12" x14ac:dyDescent="0.25">
      <c r="A331" s="13" t="s">
        <v>1146</v>
      </c>
      <c r="B331" s="14" t="s">
        <v>1147</v>
      </c>
      <c r="C331" s="14" t="s">
        <v>1148</v>
      </c>
      <c r="D331" s="9">
        <f t="shared" si="45"/>
        <v>56254.590589153893</v>
      </c>
      <c r="E331" s="10">
        <f t="shared" si="46"/>
        <v>243109.14281030744</v>
      </c>
      <c r="F331" s="11">
        <f t="shared" si="47"/>
        <v>1</v>
      </c>
      <c r="G331" s="11" t="str">
        <f t="shared" si="48"/>
        <v>0 01 22.53</v>
      </c>
      <c r="H331" s="12">
        <f t="shared" si="49"/>
        <v>1.000082663092783</v>
      </c>
      <c r="I331" s="53" t="str">
        <f t="shared" si="50"/>
        <v>-22 12 24.08753</v>
      </c>
      <c r="J331" s="53" t="str">
        <f t="shared" si="51"/>
        <v>118 07 38.35196</v>
      </c>
      <c r="K331" s="54">
        <f t="shared" si="52"/>
        <v>1.000082663092783</v>
      </c>
      <c r="L331" s="55" t="str">
        <f t="shared" si="53"/>
        <v>0 01 22.53</v>
      </c>
    </row>
    <row r="332" spans="1:12" x14ac:dyDescent="0.25">
      <c r="A332" s="13" t="s">
        <v>1149</v>
      </c>
      <c r="B332" s="14" t="s">
        <v>1150</v>
      </c>
      <c r="C332" s="14" t="s">
        <v>1151</v>
      </c>
      <c r="D332" s="9">
        <f t="shared" si="45"/>
        <v>50519.715146727322</v>
      </c>
      <c r="E332" s="10">
        <f t="shared" si="46"/>
        <v>227017.58011763357</v>
      </c>
      <c r="F332" s="11">
        <f t="shared" si="47"/>
        <v>1</v>
      </c>
      <c r="G332" s="11" t="str">
        <f t="shared" si="48"/>
        <v>0 00 06.56</v>
      </c>
      <c r="H332" s="12">
        <f t="shared" si="49"/>
        <v>1.0000360133361481</v>
      </c>
      <c r="I332" s="53" t="str">
        <f t="shared" si="50"/>
        <v>-21 19 24.69616</v>
      </c>
      <c r="J332" s="53" t="str">
        <f t="shared" si="51"/>
        <v>118 48 48.03376</v>
      </c>
      <c r="K332" s="54">
        <f t="shared" si="52"/>
        <v>1.0000360133361481</v>
      </c>
      <c r="L332" s="55" t="str">
        <f t="shared" si="53"/>
        <v>0 00 06.56</v>
      </c>
    </row>
    <row r="333" spans="1:12" x14ac:dyDescent="0.25">
      <c r="A333" s="13" t="s">
        <v>1152</v>
      </c>
      <c r="B333" s="14" t="s">
        <v>1153</v>
      </c>
      <c r="C333" s="14" t="s">
        <v>1154</v>
      </c>
      <c r="D333" s="9">
        <f t="shared" si="45"/>
        <v>56708.462532115707</v>
      </c>
      <c r="E333" s="10">
        <f t="shared" si="46"/>
        <v>220901.48301117169</v>
      </c>
      <c r="F333" s="11">
        <f t="shared" si="47"/>
        <v>1</v>
      </c>
      <c r="G333" s="11" t="str">
        <f t="shared" si="48"/>
        <v>0 02 17.20</v>
      </c>
      <c r="H333" s="12">
        <f t="shared" si="49"/>
        <v>1.0000173647190123</v>
      </c>
      <c r="I333" s="53" t="str">
        <f t="shared" si="50"/>
        <v>-32 20 07.15646</v>
      </c>
      <c r="J333" s="53" t="str">
        <f t="shared" si="51"/>
        <v>124 43 16.51264</v>
      </c>
      <c r="K333" s="54">
        <f t="shared" si="52"/>
        <v>1.0000173647190123</v>
      </c>
      <c r="L333" s="55" t="str">
        <f t="shared" si="53"/>
        <v>0 02 17.20</v>
      </c>
    </row>
    <row r="334" spans="1:12" x14ac:dyDescent="0.25">
      <c r="A334" s="13" t="s">
        <v>1155</v>
      </c>
      <c r="B334" s="14" t="s">
        <v>1156</v>
      </c>
      <c r="C334" s="14" t="s">
        <v>1157</v>
      </c>
      <c r="D334" s="9">
        <f t="shared" si="45"/>
        <v>50382.722678872582</v>
      </c>
      <c r="E334" s="10">
        <f t="shared" si="46"/>
        <v>277594.45541720605</v>
      </c>
      <c r="F334" s="11">
        <f t="shared" si="47"/>
        <v>1</v>
      </c>
      <c r="G334" s="11" t="str">
        <f t="shared" si="48"/>
        <v>0 00 07.15</v>
      </c>
      <c r="H334" s="12">
        <f t="shared" si="49"/>
        <v>1.0000457218063061</v>
      </c>
      <c r="I334" s="53" t="str">
        <f t="shared" si="50"/>
        <v>-30 01 09.50570</v>
      </c>
      <c r="J334" s="53" t="str">
        <f t="shared" si="51"/>
        <v>116 42 14.28188</v>
      </c>
      <c r="K334" s="54">
        <f t="shared" si="52"/>
        <v>1.0000457218063061</v>
      </c>
      <c r="L334" s="55" t="str">
        <f t="shared" si="53"/>
        <v>0 00 07.15</v>
      </c>
    </row>
    <row r="335" spans="1:12" x14ac:dyDescent="0.25">
      <c r="A335" s="13" t="s">
        <v>1158</v>
      </c>
      <c r="B335" s="14" t="s">
        <v>1159</v>
      </c>
      <c r="C335" s="14" t="s">
        <v>1160</v>
      </c>
      <c r="D335" s="9">
        <f t="shared" si="45"/>
        <v>52923.115316218871</v>
      </c>
      <c r="E335" s="10">
        <f t="shared" si="46"/>
        <v>282707.3436329877</v>
      </c>
      <c r="F335" s="11">
        <f t="shared" si="47"/>
        <v>1</v>
      </c>
      <c r="G335" s="11" t="str">
        <f t="shared" si="48"/>
        <v>0 00 39.63</v>
      </c>
      <c r="H335" s="12">
        <f t="shared" si="49"/>
        <v>1.0000381255126671</v>
      </c>
      <c r="I335" s="53" t="str">
        <f t="shared" si="50"/>
        <v>-22 45 11.20435</v>
      </c>
      <c r="J335" s="53" t="str">
        <f t="shared" si="51"/>
        <v>116 31 42.45366</v>
      </c>
      <c r="K335" s="54">
        <f t="shared" si="52"/>
        <v>1.0000381255126671</v>
      </c>
      <c r="L335" s="55" t="str">
        <f t="shared" si="53"/>
        <v>0 00 39.63</v>
      </c>
    </row>
    <row r="336" spans="1:12" x14ac:dyDescent="0.25">
      <c r="A336" s="13" t="s">
        <v>1161</v>
      </c>
      <c r="B336" s="14" t="s">
        <v>1162</v>
      </c>
      <c r="C336" s="14" t="s">
        <v>1163</v>
      </c>
      <c r="D336" s="9">
        <f t="shared" si="45"/>
        <v>47265.108956535347</v>
      </c>
      <c r="E336" s="10">
        <f t="shared" si="46"/>
        <v>215175.47170929494</v>
      </c>
      <c r="F336" s="11">
        <f t="shared" si="47"/>
        <v>1</v>
      </c>
      <c r="G336" s="11" t="str">
        <f t="shared" si="48"/>
        <v>0 00 25.13</v>
      </c>
      <c r="H336" s="12">
        <f t="shared" si="49"/>
        <v>1.000023662455886</v>
      </c>
      <c r="I336" s="53" t="str">
        <f t="shared" si="50"/>
        <v>-15 51 56.55701</v>
      </c>
      <c r="J336" s="53" t="str">
        <f t="shared" si="51"/>
        <v>128 10 28.07785</v>
      </c>
      <c r="K336" s="54">
        <f t="shared" si="52"/>
        <v>1.000023662455886</v>
      </c>
      <c r="L336" s="55" t="str">
        <f t="shared" si="53"/>
        <v>0 00 25.13</v>
      </c>
    </row>
    <row r="337" spans="1:12" x14ac:dyDescent="0.25">
      <c r="A337" s="13" t="s">
        <v>1164</v>
      </c>
      <c r="B337" s="14" t="s">
        <v>1165</v>
      </c>
      <c r="C337" s="14" t="s">
        <v>1166</v>
      </c>
      <c r="D337" s="9">
        <f t="shared" si="45"/>
        <v>52062.273326293362</v>
      </c>
      <c r="E337" s="10">
        <f t="shared" si="46"/>
        <v>219508.42522009509</v>
      </c>
      <c r="F337" s="11">
        <f t="shared" si="47"/>
        <v>1</v>
      </c>
      <c r="G337" s="11" t="str">
        <f t="shared" si="48"/>
        <v>0 00 36.13</v>
      </c>
      <c r="H337" s="12">
        <f t="shared" si="49"/>
        <v>1.0000474424625143</v>
      </c>
      <c r="I337" s="53" t="str">
        <f t="shared" si="50"/>
        <v>-28 28 05.93940</v>
      </c>
      <c r="J337" s="53" t="str">
        <f t="shared" si="51"/>
        <v>116 52 46.94495</v>
      </c>
      <c r="K337" s="54">
        <f t="shared" si="52"/>
        <v>1.0000474424625143</v>
      </c>
      <c r="L337" s="55" t="str">
        <f t="shared" si="53"/>
        <v>0 00 36.13</v>
      </c>
    </row>
    <row r="338" spans="1:12" x14ac:dyDescent="0.25">
      <c r="A338" s="13" t="s">
        <v>1167</v>
      </c>
      <c r="B338" s="14" t="s">
        <v>1168</v>
      </c>
      <c r="C338" s="14" t="s">
        <v>1169</v>
      </c>
      <c r="D338" s="9">
        <f t="shared" si="45"/>
        <v>50536.181285456842</v>
      </c>
      <c r="E338" s="10">
        <f t="shared" si="46"/>
        <v>251366.51640853658</v>
      </c>
      <c r="F338" s="11">
        <f t="shared" si="47"/>
        <v>1</v>
      </c>
      <c r="G338" s="11" t="str">
        <f t="shared" si="48"/>
        <v>0 00 07.28</v>
      </c>
      <c r="H338" s="12">
        <f t="shared" si="49"/>
        <v>1.0000140035501295</v>
      </c>
      <c r="I338" s="53" t="str">
        <f t="shared" si="50"/>
        <v>-22 47 01.78195</v>
      </c>
      <c r="J338" s="53" t="str">
        <f t="shared" si="51"/>
        <v>115 05 18.79753</v>
      </c>
      <c r="K338" s="54">
        <f t="shared" si="52"/>
        <v>1.0000140035501295</v>
      </c>
      <c r="L338" s="55" t="str">
        <f t="shared" si="53"/>
        <v>0 00 07.28</v>
      </c>
    </row>
    <row r="339" spans="1:12" x14ac:dyDescent="0.25">
      <c r="A339" s="13" t="s">
        <v>1170</v>
      </c>
      <c r="B339" s="14" t="s">
        <v>1171</v>
      </c>
      <c r="C339" s="14" t="s">
        <v>1172</v>
      </c>
      <c r="D339" s="9">
        <f t="shared" si="45"/>
        <v>51815.392816964144</v>
      </c>
      <c r="E339" s="10">
        <f t="shared" si="46"/>
        <v>208686.44561499823</v>
      </c>
      <c r="F339" s="11">
        <f t="shared" si="47"/>
        <v>1</v>
      </c>
      <c r="G339" s="11" t="str">
        <f t="shared" si="48"/>
        <v>0 00 28.78</v>
      </c>
      <c r="H339" s="12">
        <f t="shared" si="49"/>
        <v>1.0000060106733057</v>
      </c>
      <c r="I339" s="53" t="str">
        <f t="shared" si="50"/>
        <v>-26 07 49.91797</v>
      </c>
      <c r="J339" s="53" t="str">
        <f t="shared" si="51"/>
        <v>114 23 05.34930</v>
      </c>
      <c r="K339" s="54">
        <f t="shared" si="52"/>
        <v>1.0000060106733055</v>
      </c>
      <c r="L339" s="55" t="str">
        <f t="shared" si="53"/>
        <v>0 00 28.78</v>
      </c>
    </row>
    <row r="340" spans="1:12" x14ac:dyDescent="0.25">
      <c r="A340" s="13" t="s">
        <v>1173</v>
      </c>
      <c r="B340" s="14" t="s">
        <v>1174</v>
      </c>
      <c r="C340" s="14" t="s">
        <v>1175</v>
      </c>
      <c r="D340" s="9">
        <f t="shared" si="45"/>
        <v>58862.237443081314</v>
      </c>
      <c r="E340" s="10">
        <f t="shared" si="46"/>
        <v>249908.89525005454</v>
      </c>
      <c r="F340" s="11">
        <f t="shared" si="47"/>
        <v>1</v>
      </c>
      <c r="G340" s="11" t="str">
        <f t="shared" si="48"/>
        <v>0 01 51.67</v>
      </c>
      <c r="H340" s="12">
        <f t="shared" si="49"/>
        <v>1.0000405000668935</v>
      </c>
      <c r="I340" s="53" t="str">
        <f t="shared" si="50"/>
        <v>-21 17 50.34358</v>
      </c>
      <c r="J340" s="53" t="str">
        <f t="shared" si="51"/>
        <v>120 51 37.45786</v>
      </c>
      <c r="K340" s="54">
        <f t="shared" si="52"/>
        <v>1.0000405000668935</v>
      </c>
      <c r="L340" s="55" t="str">
        <f t="shared" si="53"/>
        <v>0 01 51.67</v>
      </c>
    </row>
    <row r="341" spans="1:12" x14ac:dyDescent="0.25">
      <c r="A341" s="13" t="s">
        <v>1176</v>
      </c>
      <c r="B341" s="14" t="s">
        <v>1177</v>
      </c>
      <c r="C341" s="14" t="s">
        <v>1178</v>
      </c>
      <c r="D341" s="9">
        <f t="shared" si="45"/>
        <v>54842.52677245978</v>
      </c>
      <c r="E341" s="10">
        <f t="shared" si="46"/>
        <v>251224.06968825124</v>
      </c>
      <c r="F341" s="11">
        <f t="shared" si="47"/>
        <v>1</v>
      </c>
      <c r="G341" s="11" t="str">
        <f t="shared" si="48"/>
        <v>0 01 02.66</v>
      </c>
      <c r="H341" s="12">
        <f t="shared" si="49"/>
        <v>1.0000465496141993</v>
      </c>
      <c r="I341" s="53" t="str">
        <f t="shared" si="50"/>
        <v>-21 49 05.31199</v>
      </c>
      <c r="J341" s="53" t="str">
        <f t="shared" si="51"/>
        <v>118 52 48.60174</v>
      </c>
      <c r="K341" s="54">
        <f t="shared" si="52"/>
        <v>1.000046549614199</v>
      </c>
      <c r="L341" s="55" t="str">
        <f t="shared" si="53"/>
        <v>0 01 02.66</v>
      </c>
    </row>
    <row r="342" spans="1:12" x14ac:dyDescent="0.25">
      <c r="A342" s="13" t="s">
        <v>1179</v>
      </c>
      <c r="B342" s="14" t="s">
        <v>1180</v>
      </c>
      <c r="C342" s="14" t="s">
        <v>1181</v>
      </c>
      <c r="D342" s="9">
        <f t="shared" si="45"/>
        <v>51264.214234669947</v>
      </c>
      <c r="E342" s="10">
        <f t="shared" si="46"/>
        <v>216086.90758041106</v>
      </c>
      <c r="F342" s="11">
        <f t="shared" si="47"/>
        <v>1</v>
      </c>
      <c r="G342" s="11" t="str">
        <f t="shared" si="48"/>
        <v>0 00 22.02</v>
      </c>
      <c r="H342" s="12">
        <f t="shared" si="49"/>
        <v>1.0000345497158503</v>
      </c>
      <c r="I342" s="53" t="str">
        <f t="shared" si="50"/>
        <v>-28 19 41.23474</v>
      </c>
      <c r="J342" s="53" t="str">
        <f t="shared" si="51"/>
        <v>114 55 46.40941</v>
      </c>
      <c r="K342" s="54">
        <f t="shared" si="52"/>
        <v>1.00003454971585</v>
      </c>
      <c r="L342" s="55" t="str">
        <f t="shared" si="53"/>
        <v>0 00 22.02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EEE3F-89E7-4A66-888B-580EE9D4882A}">
  <sheetPr codeName="Sheet3"/>
  <dimension ref="A6:O8"/>
  <sheetViews>
    <sheetView workbookViewId="0">
      <selection activeCell="I13" sqref="I13"/>
    </sheetView>
  </sheetViews>
  <sheetFormatPr defaultRowHeight="15" x14ac:dyDescent="0.25"/>
  <cols>
    <col min="1" max="1" width="19.5703125" bestFit="1" customWidth="1"/>
    <col min="2" max="2" width="16.7109375" bestFit="1" customWidth="1"/>
    <col min="3" max="3" width="16.7109375" customWidth="1"/>
    <col min="4" max="4" width="15" bestFit="1" customWidth="1"/>
    <col min="5" max="5" width="16.7109375" bestFit="1" customWidth="1"/>
    <col min="6" max="6" width="16.7109375" customWidth="1"/>
    <col min="7" max="7" width="11.42578125" bestFit="1" customWidth="1"/>
    <col min="8" max="8" width="18.5703125" bestFit="1" customWidth="1"/>
    <col min="9" max="9" width="21.7109375" bestFit="1" customWidth="1"/>
    <col min="10" max="10" width="21.28515625" bestFit="1" customWidth="1"/>
    <col min="11" max="11" width="18.42578125" bestFit="1" customWidth="1"/>
    <col min="12" max="12" width="20.28515625" bestFit="1" customWidth="1"/>
    <col min="13" max="13" width="18.5703125" bestFit="1" customWidth="1"/>
    <col min="14" max="15" width="14.5703125" bestFit="1" customWidth="1"/>
  </cols>
  <sheetData>
    <row r="6" spans="1:15" ht="308.25" x14ac:dyDescent="0.25">
      <c r="A6" s="96" t="s">
        <v>1182</v>
      </c>
      <c r="B6" s="96"/>
      <c r="C6" s="96"/>
      <c r="D6" s="96"/>
      <c r="E6" s="96"/>
      <c r="F6" s="97"/>
      <c r="G6" s="3" t="s">
        <v>1183</v>
      </c>
      <c r="H6" s="3" t="s">
        <v>1184</v>
      </c>
      <c r="I6" s="3" t="s">
        <v>1185</v>
      </c>
      <c r="J6" s="3" t="s">
        <v>1254</v>
      </c>
      <c r="K6" s="3" t="s">
        <v>1186</v>
      </c>
      <c r="L6" s="3" t="s">
        <v>1187</v>
      </c>
      <c r="M6" s="3" t="s">
        <v>1188</v>
      </c>
      <c r="N6" s="3" t="s">
        <v>1189</v>
      </c>
      <c r="O6" s="3" t="s">
        <v>1190</v>
      </c>
    </row>
    <row r="7" spans="1:15" ht="18" thickBot="1" x14ac:dyDescent="0.35">
      <c r="A7" s="52" t="s">
        <v>1191</v>
      </c>
      <c r="B7" s="52" t="s">
        <v>1192</v>
      </c>
      <c r="C7" s="52" t="s">
        <v>1252</v>
      </c>
      <c r="D7" s="52" t="s">
        <v>1193</v>
      </c>
      <c r="E7" s="52" t="s">
        <v>1194</v>
      </c>
      <c r="F7" s="52" t="s">
        <v>1251</v>
      </c>
      <c r="G7" s="52" t="s">
        <v>1195</v>
      </c>
      <c r="H7" s="52" t="s">
        <v>1196</v>
      </c>
      <c r="I7" s="52" t="s">
        <v>1197</v>
      </c>
      <c r="J7" s="52" t="s">
        <v>1253</v>
      </c>
      <c r="K7" s="52" t="s">
        <v>1198</v>
      </c>
      <c r="L7" s="52" t="s">
        <v>1199</v>
      </c>
      <c r="M7" s="52" t="s">
        <v>1196</v>
      </c>
      <c r="N7" s="52" t="s">
        <v>1200</v>
      </c>
      <c r="O7" s="52" t="s">
        <v>1201</v>
      </c>
    </row>
    <row r="8" spans="1:15" x14ac:dyDescent="0.25">
      <c r="A8" s="14" t="s">
        <v>90</v>
      </c>
      <c r="B8" s="14" t="s">
        <v>91</v>
      </c>
      <c r="C8" s="14">
        <v>219.45359999999999</v>
      </c>
      <c r="D8" s="14" t="s">
        <v>108</v>
      </c>
      <c r="E8" s="14" t="s">
        <v>109</v>
      </c>
      <c r="F8" s="14">
        <v>220.17230000000001</v>
      </c>
      <c r="G8" s="11" t="str">
        <f>[1]!geoaz(A8,B8,D8,E8)</f>
        <v>119 01 32.35</v>
      </c>
      <c r="H8" s="11" t="str">
        <f>[1]!georevaz(A8,B8,D8,E8)</f>
        <v>298 41 26.63</v>
      </c>
      <c r="I8" s="10">
        <f>[1]!sphdist(A8,B8,D8,E8)</f>
        <v>63652.725837865815</v>
      </c>
      <c r="J8" s="10">
        <f>HzDist(A8,B8,C8,D8,E8,F8)</f>
        <v>63654.655522268135</v>
      </c>
      <c r="K8" s="53" t="str">
        <f>[1]!fwdlat(A8,B8,G8,I8)</f>
        <v>-33 56 22.71858</v>
      </c>
      <c r="L8" s="53" t="str">
        <f>[1]!fwdlong(A8,B8,G8,I8)</f>
        <v>115 57 48.99888</v>
      </c>
      <c r="M8" s="54" t="str">
        <f>[1]!fwdrevaz(A8,B8,G8,I8)</f>
        <v>298 41 26.63</v>
      </c>
      <c r="N8" s="55">
        <f>[1]!dd(M8)</f>
        <v>298.69073055555555</v>
      </c>
      <c r="O8" s="55" t="str">
        <f>[1]!hms(N8,5)</f>
        <v>298 41 26.63000</v>
      </c>
    </row>
  </sheetData>
  <mergeCells count="1">
    <mergeCell ref="A6:F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22E97-EE69-4A3E-851F-D95119215E42}">
  <sheetPr codeName="Sheet4"/>
  <dimension ref="A1:AH6"/>
  <sheetViews>
    <sheetView workbookViewId="0">
      <selection activeCell="A7" sqref="A7"/>
    </sheetView>
  </sheetViews>
  <sheetFormatPr defaultRowHeight="15" x14ac:dyDescent="0.25"/>
  <cols>
    <col min="1" max="3" width="11.7109375" customWidth="1"/>
    <col min="4" max="4" width="6.5703125" customWidth="1"/>
    <col min="5" max="6" width="15.7109375" bestFit="1" customWidth="1"/>
    <col min="7" max="7" width="12.7109375" hidden="1" customWidth="1"/>
    <col min="8" max="8" width="5.5703125" hidden="1" customWidth="1"/>
    <col min="9" max="9" width="8.5703125" hidden="1" customWidth="1"/>
    <col min="10" max="11" width="9" customWidth="1"/>
    <col min="12" max="12" width="9" hidden="1" customWidth="1"/>
    <col min="13" max="14" width="9" customWidth="1"/>
    <col min="15" max="17" width="7.5703125" hidden="1" customWidth="1"/>
    <col min="18" max="18" width="7.140625" hidden="1" customWidth="1"/>
    <col min="19" max="19" width="12.28515625" bestFit="1" customWidth="1"/>
    <col min="20" max="20" width="8.140625" hidden="1" customWidth="1"/>
    <col min="21" max="21" width="10.5703125" hidden="1" customWidth="1"/>
    <col min="22" max="22" width="7.5703125" hidden="1" customWidth="1"/>
    <col min="23" max="23" width="14.5703125" bestFit="1" customWidth="1"/>
    <col min="24" max="25" width="6.140625" hidden="1" customWidth="1"/>
    <col min="26" max="26" width="10.5703125" bestFit="1" customWidth="1"/>
    <col min="34" max="34" width="18.7109375" customWidth="1"/>
  </cols>
  <sheetData>
    <row r="1" spans="1:34" x14ac:dyDescent="0.25">
      <c r="A1" s="71"/>
      <c r="B1" s="71"/>
      <c r="C1" s="72" t="s">
        <v>1202</v>
      </c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2" t="s">
        <v>1203</v>
      </c>
      <c r="T1" s="71"/>
      <c r="U1" s="71"/>
      <c r="V1" s="71"/>
      <c r="W1" s="72" t="s">
        <v>1204</v>
      </c>
      <c r="X1" s="71"/>
      <c r="Y1" s="71"/>
      <c r="Z1" s="73" t="s">
        <v>1205</v>
      </c>
      <c r="AA1" s="71"/>
      <c r="AB1" s="71"/>
      <c r="AC1" s="71"/>
      <c r="AD1" s="71"/>
      <c r="AE1" s="71"/>
      <c r="AF1" s="71"/>
      <c r="AG1" s="71"/>
      <c r="AH1" s="95" t="s">
        <v>1206</v>
      </c>
    </row>
    <row r="2" spans="1:34" ht="15.75" x14ac:dyDescent="0.3">
      <c r="A2" s="74" t="s">
        <v>1207</v>
      </c>
      <c r="B2" s="74" t="s">
        <v>1208</v>
      </c>
      <c r="C2" s="75" t="s">
        <v>1209</v>
      </c>
      <c r="D2" s="74" t="s">
        <v>1210</v>
      </c>
      <c r="E2" s="74" t="s">
        <v>1211</v>
      </c>
      <c r="F2" s="74" t="s">
        <v>1212</v>
      </c>
      <c r="G2" s="74" t="s">
        <v>1213</v>
      </c>
      <c r="H2" s="75" t="s">
        <v>1214</v>
      </c>
      <c r="I2" s="74" t="s">
        <v>1215</v>
      </c>
      <c r="J2" s="74" t="s">
        <v>1216</v>
      </c>
      <c r="K2" s="74" t="s">
        <v>1217</v>
      </c>
      <c r="L2" s="74" t="s">
        <v>1218</v>
      </c>
      <c r="M2" s="74" t="s">
        <v>1219</v>
      </c>
      <c r="N2" s="74" t="s">
        <v>1220</v>
      </c>
      <c r="O2" s="74" t="s">
        <v>1221</v>
      </c>
      <c r="P2" s="74" t="s">
        <v>1222</v>
      </c>
      <c r="Q2" s="74" t="s">
        <v>1223</v>
      </c>
      <c r="R2" s="74" t="s">
        <v>1224</v>
      </c>
      <c r="S2" s="75" t="s">
        <v>1225</v>
      </c>
      <c r="T2" s="74" t="s">
        <v>1226</v>
      </c>
      <c r="U2" s="74" t="s">
        <v>1227</v>
      </c>
      <c r="V2" s="74" t="s">
        <v>1228</v>
      </c>
      <c r="W2" s="75" t="s">
        <v>1229</v>
      </c>
      <c r="X2" s="76" t="s">
        <v>1230</v>
      </c>
      <c r="Y2" s="74" t="s">
        <v>1226</v>
      </c>
      <c r="Z2" s="74" t="s">
        <v>1231</v>
      </c>
      <c r="AA2" s="74"/>
      <c r="AB2" s="74"/>
      <c r="AC2" s="74"/>
      <c r="AD2" s="77"/>
      <c r="AE2" s="77"/>
      <c r="AF2" s="77"/>
      <c r="AH2" s="95"/>
    </row>
    <row r="3" spans="1:34" x14ac:dyDescent="0.25">
      <c r="A3" s="78" t="s">
        <v>1247</v>
      </c>
      <c r="B3" s="78" t="s">
        <v>1248</v>
      </c>
      <c r="C3" s="79">
        <v>2000</v>
      </c>
      <c r="D3" s="78">
        <v>0.1</v>
      </c>
      <c r="E3" s="78" t="s">
        <v>1249</v>
      </c>
      <c r="F3" s="78" t="s">
        <v>1250</v>
      </c>
      <c r="G3" s="80" t="e" cm="1">
        <f t="array" aca="1" ref="G3" ca="1">EarthRadius(AVERAGE([1]!dd(E3),[1]!dd(F3)))</f>
        <v>#NAME?</v>
      </c>
      <c r="H3" s="80" t="e">
        <f ca="1">-((D3^2*C3^3)/(24*G3^2))</f>
        <v>#NAME?</v>
      </c>
      <c r="I3" s="80" t="e">
        <f ca="1">C3+H3</f>
        <v>#NAME?</v>
      </c>
      <c r="J3" s="79">
        <v>150</v>
      </c>
      <c r="K3" s="79">
        <v>1.6</v>
      </c>
      <c r="L3" s="80">
        <f>J3+K3</f>
        <v>151.6</v>
      </c>
      <c r="M3" s="79">
        <v>200</v>
      </c>
      <c r="N3" s="79">
        <v>1.6</v>
      </c>
      <c r="O3" s="80">
        <f>M3+N3</f>
        <v>201.6</v>
      </c>
      <c r="P3" s="80">
        <f>AVERAGE(L3,O3)</f>
        <v>176.6</v>
      </c>
      <c r="Q3" s="80">
        <f>AVERAGE(J3,M3)</f>
        <v>175</v>
      </c>
      <c r="R3" s="81" t="e">
        <f ca="1">(I3^2-(L3-O3)^2)^0.5-I3</f>
        <v>#NAME?</v>
      </c>
      <c r="S3" s="80" t="e">
        <f ca="1">I3+R3</f>
        <v>#NAME?</v>
      </c>
      <c r="T3" s="82" t="e">
        <f ca="1">-(P3/G3*S3)</f>
        <v>#NAME?</v>
      </c>
      <c r="U3" s="82" t="e">
        <f ca="1">S3+T3</f>
        <v>#NAME?</v>
      </c>
      <c r="V3" s="82" t="e">
        <f ca="1">U3^3/(24*G3^2)</f>
        <v>#NAME?</v>
      </c>
      <c r="W3" s="80" t="e">
        <f ca="1">U3+V3</f>
        <v>#NAME?</v>
      </c>
      <c r="X3" s="83" t="e">
        <f ca="1">S3-((S3^2+(J3-M3)^2)^0.5)</f>
        <v>#NAME?</v>
      </c>
      <c r="Y3" s="80" t="e">
        <f ca="1">-((Q3/G3)*S3)</f>
        <v>#NAME?</v>
      </c>
      <c r="Z3" s="80" t="e">
        <f ca="1">U3-X3-Y3</f>
        <v>#NAME?</v>
      </c>
      <c r="AA3" s="84"/>
      <c r="AB3" s="84"/>
      <c r="AC3" s="84"/>
      <c r="AD3" s="84"/>
      <c r="AE3" s="84"/>
      <c r="AF3" s="84"/>
      <c r="AG3" s="85" t="s">
        <v>1232</v>
      </c>
      <c r="AH3" s="86">
        <v>0.1</v>
      </c>
    </row>
    <row r="4" spans="1:34" x14ac:dyDescent="0.25">
      <c r="A4" s="78" t="s">
        <v>1247</v>
      </c>
      <c r="B4" s="78" t="s">
        <v>1248</v>
      </c>
      <c r="C4" s="87"/>
      <c r="D4" s="88"/>
      <c r="E4" s="78" t="s">
        <v>1249</v>
      </c>
      <c r="F4" s="78" t="s">
        <v>1250</v>
      </c>
      <c r="G4" s="80" t="e" cm="1">
        <f t="array" aca="1" ref="G4" ca="1">EarthRadius(AVERAGE([1]!dd(E4),[1]!dd(F4)))</f>
        <v>#NAME?</v>
      </c>
      <c r="H4" s="88"/>
      <c r="I4" s="80">
        <f>Z4</f>
        <v>2000.6249023742557</v>
      </c>
      <c r="J4" s="79">
        <v>150</v>
      </c>
      <c r="K4" s="88"/>
      <c r="L4" s="80">
        <f>J4+K4</f>
        <v>150</v>
      </c>
      <c r="M4" s="79">
        <v>200</v>
      </c>
      <c r="N4" s="88"/>
      <c r="O4" s="80">
        <f>M4+N4</f>
        <v>200</v>
      </c>
      <c r="P4" s="80">
        <f>AVERAGE(L4,O4)</f>
        <v>175</v>
      </c>
      <c r="Q4" s="80">
        <f>AVERAGE(J4,M4)</f>
        <v>175</v>
      </c>
      <c r="R4" s="81">
        <f>(I4^2-(L4-O4)^2)^0.5-I4</f>
        <v>-0.62490237425549822</v>
      </c>
      <c r="S4" s="79">
        <v>2000</v>
      </c>
      <c r="T4" s="82" t="e">
        <f ca="1">-(P4/G4*S4)</f>
        <v>#NAME?</v>
      </c>
      <c r="U4" s="82" t="e">
        <f ca="1">S4+T4</f>
        <v>#NAME?</v>
      </c>
      <c r="V4" s="82" t="e">
        <f ca="1">U4^3/(24*G4^2)</f>
        <v>#NAME?</v>
      </c>
      <c r="W4" s="80" t="e">
        <f ca="1">U4+V4</f>
        <v>#NAME?</v>
      </c>
      <c r="X4" s="89"/>
      <c r="Y4" s="90"/>
      <c r="Z4" s="80">
        <f>(S4^2+(J4-M4)^2)^0.5</f>
        <v>2000.6249023742557</v>
      </c>
      <c r="AA4" s="71"/>
      <c r="AB4" s="71"/>
      <c r="AC4" s="71"/>
      <c r="AD4" s="71"/>
      <c r="AE4" s="71"/>
      <c r="AF4" s="71"/>
      <c r="AG4" s="85" t="s">
        <v>1233</v>
      </c>
      <c r="AH4" s="86">
        <v>0.15</v>
      </c>
    </row>
    <row r="5" spans="1:34" x14ac:dyDescent="0.25">
      <c r="AA5" s="71"/>
      <c r="AB5" s="71"/>
      <c r="AC5" s="71"/>
      <c r="AD5" s="71"/>
      <c r="AE5" s="71"/>
      <c r="AF5" s="71"/>
      <c r="AG5" s="85" t="s">
        <v>1234</v>
      </c>
      <c r="AH5" s="86">
        <v>0.2</v>
      </c>
    </row>
    <row r="6" spans="1:34" x14ac:dyDescent="0.25">
      <c r="AA6" s="71"/>
      <c r="AB6" s="71"/>
      <c r="AC6" s="71"/>
      <c r="AD6" s="71"/>
      <c r="AE6" s="71"/>
      <c r="AF6" s="71"/>
      <c r="AG6" s="71"/>
      <c r="AH6" s="71"/>
    </row>
  </sheetData>
  <mergeCells count="1">
    <mergeCell ref="AH1:AH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CDE8D-8E16-4DE1-8BD0-A150979C67E0}">
  <sheetPr codeName="Sheet5"/>
  <dimension ref="A2:H7"/>
  <sheetViews>
    <sheetView workbookViewId="0">
      <selection activeCell="O4" sqref="O4"/>
    </sheetView>
  </sheetViews>
  <sheetFormatPr defaultRowHeight="15" x14ac:dyDescent="0.25"/>
  <cols>
    <col min="1" max="1" width="19.28515625" customWidth="1"/>
    <col min="2" max="2" width="19.85546875" bestFit="1" customWidth="1"/>
    <col min="3" max="3" width="18.85546875" bestFit="1" customWidth="1"/>
    <col min="4" max="4" width="24.5703125" bestFit="1" customWidth="1"/>
    <col min="5" max="5" width="18.7109375" bestFit="1" customWidth="1"/>
    <col min="6" max="7" width="20.140625" customWidth="1"/>
    <col min="8" max="8" width="23.28515625" bestFit="1" customWidth="1"/>
  </cols>
  <sheetData>
    <row r="2" spans="1:8" x14ac:dyDescent="0.25">
      <c r="A2" s="91" t="s">
        <v>1235</v>
      </c>
    </row>
    <row r="4" spans="1:8" ht="340.5" x14ac:dyDescent="0.25">
      <c r="E4" s="1" t="s">
        <v>0</v>
      </c>
      <c r="F4" s="92" t="s">
        <v>1236</v>
      </c>
      <c r="G4" s="92" t="s">
        <v>1237</v>
      </c>
      <c r="H4" s="92" t="s">
        <v>1238</v>
      </c>
    </row>
    <row r="5" spans="1:8" ht="18" thickBot="1" x14ac:dyDescent="0.35">
      <c r="A5" s="4" t="s">
        <v>1239</v>
      </c>
      <c r="B5" s="4" t="s">
        <v>18</v>
      </c>
      <c r="C5" s="4" t="s">
        <v>19</v>
      </c>
      <c r="D5" s="4" t="s">
        <v>1240</v>
      </c>
      <c r="E5" s="4" t="s">
        <v>1239</v>
      </c>
      <c r="F5" s="4" t="s">
        <v>18</v>
      </c>
      <c r="G5" s="4" t="s">
        <v>19</v>
      </c>
      <c r="H5" s="4" t="s">
        <v>1240</v>
      </c>
    </row>
    <row r="6" spans="1:8" x14ac:dyDescent="0.25">
      <c r="A6" s="14" t="s">
        <v>1241</v>
      </c>
      <c r="B6" s="14" t="s">
        <v>1242</v>
      </c>
      <c r="C6" s="14" t="s">
        <v>1243</v>
      </c>
      <c r="D6" s="14">
        <v>603.34659999999997</v>
      </c>
      <c r="E6" s="14" t="s">
        <v>1244</v>
      </c>
      <c r="F6" s="14" t="str">
        <f>latsevenpara(A6,E6,B6,C6,D6)</f>
        <v>-23 40 12.39650</v>
      </c>
      <c r="G6" s="14" t="str">
        <f>lngsevenpara(A6,E6,B6,C6,D6)</f>
        <v>133 53 07.87779</v>
      </c>
      <c r="H6" s="93">
        <f>htsevenpara(A6,E6,B6,C6,D6)</f>
        <v>603.24887225870043</v>
      </c>
    </row>
    <row r="7" spans="1:8" x14ac:dyDescent="0.25">
      <c r="B7" s="94" t="s">
        <v>1245</v>
      </c>
      <c r="F7" s="94" t="s">
        <v>1246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Landgate Project Grids</vt:lpstr>
      <vt:lpstr>MRWA Project Grids</vt:lpstr>
      <vt:lpstr>GRS80 Geographic Calculations</vt:lpstr>
      <vt:lpstr>EDM Reductions</vt:lpstr>
      <vt:lpstr>7 Parameter Transformations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dcterms:created xsi:type="dcterms:W3CDTF">2024-09-05T04:06:56Z</dcterms:created>
  <dcterms:modified xsi:type="dcterms:W3CDTF">2024-11-12T11:18:10Z</dcterms:modified>
</cp:coreProperties>
</file>